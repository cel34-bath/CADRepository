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in Work\Documents\GitHub\CADStuff\MAPLE BENCHMARKING\Alicode\Batch Timings Runs - ECmod\"/>
    </mc:Choice>
  </mc:AlternateContent>
  <xr:revisionPtr revIDLastSave="0" documentId="13_ncr:1_{49583F81-219D-4A96-92DB-93120DC197EB}" xr6:coauthVersionLast="47" xr6:coauthVersionMax="47" xr10:uidLastSave="{00000000-0000-0000-0000-000000000000}"/>
  <bookViews>
    <workbookView xWindow="-120" yWindow="-120" windowWidth="29040" windowHeight="15840" activeTab="2" xr2:uid="{BFFDA01C-38C2-46E9-B4EA-CD86F89D2D30}"/>
  </bookViews>
  <sheets>
    <sheet name="Stats" sheetId="2" r:id="rId1"/>
    <sheet name="Template" sheetId="1" r:id="rId2"/>
    <sheet name="1" sheetId="4" r:id="rId3"/>
    <sheet name="2" sheetId="5" r:id="rId4"/>
    <sheet name="3" sheetId="6" r:id="rId5"/>
    <sheet name="4" sheetId="7" r:id="rId6"/>
    <sheet name="5" sheetId="8" r:id="rId7"/>
    <sheet name="6" sheetId="9" r:id="rId8"/>
    <sheet name="Meta" sheetId="3" r:id="rId9"/>
    <sheet name="Sorting" sheetId="10" r:id="rId10"/>
    <sheet name="Sorting 2" sheetId="11" r:id="rId11"/>
    <sheet name="SurvPlot1" sheetId="13" r:id="rId12"/>
    <sheet name="SurvPlot2" sheetId="14" r:id="rId13"/>
    <sheet name="SurvPlot3" sheetId="15" r:id="rId14"/>
  </sheets>
  <externalReferences>
    <externalReference r:id="rId15"/>
  </externalReferences>
  <definedNames>
    <definedName name="_xlnm._FilterDatabase" localSheetId="2" hidden="1">'1'!$A$1:$K$68</definedName>
    <definedName name="_xlnm._FilterDatabase" localSheetId="3" hidden="1">'2'!$A$1:$K$68</definedName>
    <definedName name="_xlnm._FilterDatabase" localSheetId="4" hidden="1">'3'!$A$1:$K$68</definedName>
    <definedName name="_xlnm._FilterDatabase" localSheetId="5" hidden="1">'4'!$A$1:$K$68</definedName>
    <definedName name="_xlnm._FilterDatabase" localSheetId="6" hidden="1">'5'!$A$1:$K$68</definedName>
    <definedName name="_xlnm._FilterDatabase" localSheetId="7" hidden="1">'6'!$A$1:$K$68</definedName>
    <definedName name="_xlnm._FilterDatabase" localSheetId="8" hidden="1">Meta!$A$1:$AE$69</definedName>
    <definedName name="_xlnm._FilterDatabase" localSheetId="0" hidden="1">Stats!$A$1:$E$68</definedName>
    <definedName name="_xlnm._FilterDatabase" localSheetId="1" hidden="1">Template!$A$1:$K$68</definedName>
  </definedNames>
  <calcPr calcId="181029"/>
  <pivotCaches>
    <pivotCache cacheId="34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11" l="1"/>
  <c r="Q5" i="11"/>
  <c r="Q6" i="11" s="1"/>
  <c r="Q7" i="11" s="1"/>
  <c r="Q8" i="11" s="1"/>
  <c r="Q9" i="11" s="1"/>
  <c r="Q10" i="11" s="1"/>
  <c r="Q11" i="11" s="1"/>
  <c r="Q12" i="11" s="1"/>
  <c r="Q13" i="11" s="1"/>
  <c r="Q14" i="11" s="1"/>
  <c r="Q15" i="11" s="1"/>
  <c r="Q16" i="11" s="1"/>
  <c r="Q17" i="11" s="1"/>
  <c r="Q18" i="11" s="1"/>
  <c r="Q19" i="11" s="1"/>
  <c r="Q20" i="11" s="1"/>
  <c r="Q21" i="11" s="1"/>
  <c r="Q22" i="11" s="1"/>
  <c r="Q23" i="11" s="1"/>
  <c r="Q24" i="11" s="1"/>
  <c r="Q25" i="11" s="1"/>
  <c r="Q26" i="11" s="1"/>
  <c r="Q27" i="11" s="1"/>
  <c r="Q28" i="11" s="1"/>
  <c r="Q29" i="11" s="1"/>
  <c r="Q30" i="11" s="1"/>
  <c r="Q31" i="11" s="1"/>
  <c r="Q32" i="11" s="1"/>
  <c r="Q33" i="11" s="1"/>
  <c r="Q34" i="11" s="1"/>
  <c r="Q35" i="11" s="1"/>
  <c r="Q36" i="11" s="1"/>
  <c r="Q37" i="11" s="1"/>
  <c r="Q38" i="11" s="1"/>
  <c r="Q39" i="11" s="1"/>
  <c r="Q40" i="11" s="1"/>
  <c r="Q41" i="11" s="1"/>
  <c r="Q42" i="11" s="1"/>
  <c r="Q43" i="11" s="1"/>
  <c r="Q44" i="11" s="1"/>
  <c r="Q45" i="11" s="1"/>
  <c r="Q46" i="11" s="1"/>
  <c r="Q47" i="11" s="1"/>
  <c r="Q48" i="11" s="1"/>
  <c r="Q49" i="11" s="1"/>
  <c r="Q50" i="11" s="1"/>
  <c r="Q51" i="11" s="1"/>
  <c r="Q52" i="11" s="1"/>
  <c r="Q53" i="11" s="1"/>
  <c r="Q54" i="11" s="1"/>
  <c r="Q55" i="11" s="1"/>
  <c r="Q56" i="11" s="1"/>
  <c r="Q57" i="11" s="1"/>
  <c r="Q58" i="11" s="1"/>
  <c r="Q59" i="11" s="1"/>
  <c r="Q60" i="11" s="1"/>
  <c r="Q61" i="11" s="1"/>
  <c r="Q62" i="11" s="1"/>
  <c r="Q63" i="11" s="1"/>
  <c r="Q64" i="11" s="1"/>
  <c r="Q65" i="11" s="1"/>
  <c r="Q66" i="11" s="1"/>
  <c r="Q67" i="11" s="1"/>
  <c r="Q68" i="11" s="1"/>
  <c r="Q69" i="11" s="1"/>
  <c r="R5" i="11"/>
  <c r="S5" i="11"/>
  <c r="S6" i="11" s="1"/>
  <c r="S7" i="11" s="1"/>
  <c r="S8" i="11" s="1"/>
  <c r="S9" i="11" s="1"/>
  <c r="S10" i="11" s="1"/>
  <c r="S11" i="11" s="1"/>
  <c r="S12" i="11" s="1"/>
  <c r="S13" i="11" s="1"/>
  <c r="S14" i="11" s="1"/>
  <c r="S15" i="11" s="1"/>
  <c r="S16" i="11" s="1"/>
  <c r="S17" i="11" s="1"/>
  <c r="S18" i="11" s="1"/>
  <c r="S19" i="11" s="1"/>
  <c r="S20" i="11" s="1"/>
  <c r="S21" i="11" s="1"/>
  <c r="S22" i="11" s="1"/>
  <c r="S23" i="11" s="1"/>
  <c r="S24" i="11" s="1"/>
  <c r="S25" i="11" s="1"/>
  <c r="S26" i="11" s="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S37" i="11" s="1"/>
  <c r="S38" i="11" s="1"/>
  <c r="S39" i="11" s="1"/>
  <c r="S40" i="11" s="1"/>
  <c r="S41" i="11" s="1"/>
  <c r="S42" i="11" s="1"/>
  <c r="S43" i="11" s="1"/>
  <c r="S44" i="11" s="1"/>
  <c r="S45" i="11" s="1"/>
  <c r="S46" i="11" s="1"/>
  <c r="S47" i="11" s="1"/>
  <c r="S48" i="11" s="1"/>
  <c r="S49" i="11" s="1"/>
  <c r="S50" i="11" s="1"/>
  <c r="S51" i="11" s="1"/>
  <c r="S52" i="11" s="1"/>
  <c r="S53" i="11" s="1"/>
  <c r="S54" i="11" s="1"/>
  <c r="S55" i="11" s="1"/>
  <c r="S56" i="11" s="1"/>
  <c r="S57" i="11" s="1"/>
  <c r="S58" i="11" s="1"/>
  <c r="S59" i="11" s="1"/>
  <c r="S60" i="11" s="1"/>
  <c r="S61" i="11" s="1"/>
  <c r="S62" i="11" s="1"/>
  <c r="S63" i="11" s="1"/>
  <c r="S64" i="11" s="1"/>
  <c r="S65" i="11" s="1"/>
  <c r="S66" i="11" s="1"/>
  <c r="S67" i="11" s="1"/>
  <c r="S68" i="11" s="1"/>
  <c r="S69" i="11" s="1"/>
  <c r="T5" i="11"/>
  <c r="U5" i="11"/>
  <c r="U6" i="11" s="1"/>
  <c r="U7" i="11" s="1"/>
  <c r="U8" i="11" s="1"/>
  <c r="U9" i="11" s="1"/>
  <c r="U10" i="11" s="1"/>
  <c r="U11" i="11" s="1"/>
  <c r="U12" i="11" s="1"/>
  <c r="U13" i="11" s="1"/>
  <c r="U14" i="11" s="1"/>
  <c r="U15" i="11" s="1"/>
  <c r="U16" i="11" s="1"/>
  <c r="U17" i="11" s="1"/>
  <c r="U18" i="11" s="1"/>
  <c r="U19" i="11" s="1"/>
  <c r="U20" i="11" s="1"/>
  <c r="U21" i="11" s="1"/>
  <c r="U22" i="11" s="1"/>
  <c r="U23" i="11" s="1"/>
  <c r="U24" i="11" s="1"/>
  <c r="U25" i="11" s="1"/>
  <c r="U26" i="11" s="1"/>
  <c r="U27" i="11" s="1"/>
  <c r="U28" i="11" s="1"/>
  <c r="U29" i="11" s="1"/>
  <c r="U30" i="11" s="1"/>
  <c r="U31" i="11" s="1"/>
  <c r="U32" i="11" s="1"/>
  <c r="U33" i="11" s="1"/>
  <c r="U34" i="11" s="1"/>
  <c r="U35" i="11" s="1"/>
  <c r="U36" i="11" s="1"/>
  <c r="U37" i="11" s="1"/>
  <c r="U38" i="11" s="1"/>
  <c r="U39" i="11" s="1"/>
  <c r="U40" i="11" s="1"/>
  <c r="U41" i="11" s="1"/>
  <c r="U42" i="11" s="1"/>
  <c r="U43" i="11" s="1"/>
  <c r="U44" i="11" s="1"/>
  <c r="U45" i="11" s="1"/>
  <c r="U46" i="11" s="1"/>
  <c r="U47" i="11" s="1"/>
  <c r="U48" i="11" s="1"/>
  <c r="U49" i="11" s="1"/>
  <c r="U50" i="11" s="1"/>
  <c r="U51" i="11" s="1"/>
  <c r="U52" i="11" s="1"/>
  <c r="U53" i="11" s="1"/>
  <c r="U54" i="11" s="1"/>
  <c r="U55" i="11" s="1"/>
  <c r="U56" i="11" s="1"/>
  <c r="U57" i="11" s="1"/>
  <c r="U58" i="11" s="1"/>
  <c r="U59" i="11" s="1"/>
  <c r="U60" i="11" s="1"/>
  <c r="U61" i="11" s="1"/>
  <c r="U62" i="11" s="1"/>
  <c r="U63" i="11" s="1"/>
  <c r="U64" i="11" s="1"/>
  <c r="U65" i="11" s="1"/>
  <c r="U66" i="11" s="1"/>
  <c r="U67" i="11" s="1"/>
  <c r="U68" i="11" s="1"/>
  <c r="U69" i="11" s="1"/>
  <c r="V5" i="11"/>
  <c r="W5" i="11"/>
  <c r="X5" i="11"/>
  <c r="Y5" i="11"/>
  <c r="Z5" i="11"/>
  <c r="AA5" i="11"/>
  <c r="AB5" i="11"/>
  <c r="AB6" i="11" s="1"/>
  <c r="AB7" i="11" s="1"/>
  <c r="AB8" i="11" s="1"/>
  <c r="AB9" i="11" s="1"/>
  <c r="AB10" i="11" s="1"/>
  <c r="AB11" i="11" s="1"/>
  <c r="AB12" i="11" s="1"/>
  <c r="AB13" i="11" s="1"/>
  <c r="AB14" i="11" s="1"/>
  <c r="AB15" i="11" s="1"/>
  <c r="AB16" i="11" s="1"/>
  <c r="AB17" i="11" s="1"/>
  <c r="AB18" i="11" s="1"/>
  <c r="AB19" i="11" s="1"/>
  <c r="AB20" i="11" s="1"/>
  <c r="AB21" i="11" s="1"/>
  <c r="AB22" i="11" s="1"/>
  <c r="AB23" i="11" s="1"/>
  <c r="AB24" i="11" s="1"/>
  <c r="AB25" i="11" s="1"/>
  <c r="AB26" i="11" s="1"/>
  <c r="AB27" i="11" s="1"/>
  <c r="AB28" i="11" s="1"/>
  <c r="AB29" i="11" s="1"/>
  <c r="AB30" i="11" s="1"/>
  <c r="AB31" i="11" s="1"/>
  <c r="AB32" i="11" s="1"/>
  <c r="AB33" i="11" s="1"/>
  <c r="AB34" i="11" s="1"/>
  <c r="AB35" i="11" s="1"/>
  <c r="AB36" i="11" s="1"/>
  <c r="AB37" i="11" s="1"/>
  <c r="AB38" i="11" s="1"/>
  <c r="AB39" i="11" s="1"/>
  <c r="AB40" i="11" s="1"/>
  <c r="AB41" i="11" s="1"/>
  <c r="AB42" i="11" s="1"/>
  <c r="AB43" i="11" s="1"/>
  <c r="AB44" i="11" s="1"/>
  <c r="AB45" i="11" s="1"/>
  <c r="AB46" i="11" s="1"/>
  <c r="AB47" i="11" s="1"/>
  <c r="AB48" i="11" s="1"/>
  <c r="AB49" i="11" s="1"/>
  <c r="AB50" i="11" s="1"/>
  <c r="AB51" i="11" s="1"/>
  <c r="AB52" i="11" s="1"/>
  <c r="AB53" i="11" s="1"/>
  <c r="AB54" i="11" s="1"/>
  <c r="AB55" i="11" s="1"/>
  <c r="AB56" i="11" s="1"/>
  <c r="AB57" i="11" s="1"/>
  <c r="AB58" i="11" s="1"/>
  <c r="AB59" i="11" s="1"/>
  <c r="AB60" i="11" s="1"/>
  <c r="AB61" i="11" s="1"/>
  <c r="AB62" i="11" s="1"/>
  <c r="AB63" i="11" s="1"/>
  <c r="AB64" i="11" s="1"/>
  <c r="AB65" i="11" s="1"/>
  <c r="AB66" i="11" s="1"/>
  <c r="AB67" i="11" s="1"/>
  <c r="AB68" i="11" s="1"/>
  <c r="AB69" i="11" s="1"/>
  <c r="P6" i="1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52" i="11" s="1"/>
  <c r="P53" i="11" s="1"/>
  <c r="P54" i="11" s="1"/>
  <c r="P55" i="11" s="1"/>
  <c r="P56" i="11" s="1"/>
  <c r="P57" i="11" s="1"/>
  <c r="P58" i="11" s="1"/>
  <c r="P59" i="11" s="1"/>
  <c r="P60" i="11" s="1"/>
  <c r="P61" i="11" s="1"/>
  <c r="P62" i="11" s="1"/>
  <c r="P63" i="11" s="1"/>
  <c r="P64" i="11" s="1"/>
  <c r="P65" i="11" s="1"/>
  <c r="P66" i="11" s="1"/>
  <c r="P67" i="11" s="1"/>
  <c r="P68" i="11" s="1"/>
  <c r="P69" i="11" s="1"/>
  <c r="R6" i="11"/>
  <c r="R7" i="11" s="1"/>
  <c r="R8" i="11" s="1"/>
  <c r="R9" i="11" s="1"/>
  <c r="R10" i="11" s="1"/>
  <c r="R11" i="11" s="1"/>
  <c r="R12" i="11" s="1"/>
  <c r="R13" i="11" s="1"/>
  <c r="R14" i="11" s="1"/>
  <c r="R15" i="11" s="1"/>
  <c r="R16" i="11" s="1"/>
  <c r="R17" i="11" s="1"/>
  <c r="R18" i="11" s="1"/>
  <c r="R19" i="11" s="1"/>
  <c r="R20" i="11" s="1"/>
  <c r="R21" i="11" s="1"/>
  <c r="R22" i="11" s="1"/>
  <c r="R23" i="11" s="1"/>
  <c r="R24" i="11" s="1"/>
  <c r="R25" i="11" s="1"/>
  <c r="R26" i="11" s="1"/>
  <c r="R27" i="11" s="1"/>
  <c r="R28" i="11" s="1"/>
  <c r="R29" i="11" s="1"/>
  <c r="R30" i="11" s="1"/>
  <c r="R31" i="11" s="1"/>
  <c r="R32" i="11" s="1"/>
  <c r="R33" i="11" s="1"/>
  <c r="R34" i="11" s="1"/>
  <c r="R35" i="11" s="1"/>
  <c r="R36" i="11" s="1"/>
  <c r="R37" i="11" s="1"/>
  <c r="R38" i="11" s="1"/>
  <c r="R39" i="11" s="1"/>
  <c r="R40" i="11" s="1"/>
  <c r="R41" i="11" s="1"/>
  <c r="R42" i="11" s="1"/>
  <c r="R43" i="11" s="1"/>
  <c r="R44" i="11" s="1"/>
  <c r="R45" i="11" s="1"/>
  <c r="R46" i="11" s="1"/>
  <c r="R47" i="11" s="1"/>
  <c r="R48" i="11" s="1"/>
  <c r="R49" i="11" s="1"/>
  <c r="R50" i="11" s="1"/>
  <c r="R51" i="11" s="1"/>
  <c r="R52" i="11" s="1"/>
  <c r="R53" i="11" s="1"/>
  <c r="R54" i="11" s="1"/>
  <c r="R55" i="11" s="1"/>
  <c r="R56" i="11" s="1"/>
  <c r="R57" i="11" s="1"/>
  <c r="R58" i="11" s="1"/>
  <c r="R59" i="11" s="1"/>
  <c r="R60" i="11" s="1"/>
  <c r="R61" i="11" s="1"/>
  <c r="R62" i="11" s="1"/>
  <c r="R63" i="11" s="1"/>
  <c r="R64" i="11" s="1"/>
  <c r="R65" i="11" s="1"/>
  <c r="R66" i="11" s="1"/>
  <c r="R67" i="11" s="1"/>
  <c r="R68" i="11" s="1"/>
  <c r="R69" i="11" s="1"/>
  <c r="T6" i="11"/>
  <c r="T7" i="11" s="1"/>
  <c r="T8" i="11" s="1"/>
  <c r="T9" i="11" s="1"/>
  <c r="T10" i="11" s="1"/>
  <c r="T11" i="11" s="1"/>
  <c r="T12" i="11" s="1"/>
  <c r="T13" i="11" s="1"/>
  <c r="T14" i="11" s="1"/>
  <c r="T15" i="11" s="1"/>
  <c r="T16" i="11" s="1"/>
  <c r="T17" i="11" s="1"/>
  <c r="T18" i="11" s="1"/>
  <c r="T19" i="11" s="1"/>
  <c r="T20" i="11" s="1"/>
  <c r="T21" i="11" s="1"/>
  <c r="T22" i="11" s="1"/>
  <c r="T23" i="11" s="1"/>
  <c r="T24" i="11" s="1"/>
  <c r="T25" i="11" s="1"/>
  <c r="T26" i="11" s="1"/>
  <c r="T27" i="11" s="1"/>
  <c r="T28" i="11" s="1"/>
  <c r="T29" i="11" s="1"/>
  <c r="T30" i="11" s="1"/>
  <c r="T31" i="11" s="1"/>
  <c r="T32" i="11" s="1"/>
  <c r="T33" i="11" s="1"/>
  <c r="T34" i="11" s="1"/>
  <c r="T35" i="11" s="1"/>
  <c r="T36" i="11" s="1"/>
  <c r="T37" i="11" s="1"/>
  <c r="T38" i="11" s="1"/>
  <c r="T39" i="11" s="1"/>
  <c r="T40" i="11" s="1"/>
  <c r="T41" i="11" s="1"/>
  <c r="T42" i="11" s="1"/>
  <c r="T43" i="11" s="1"/>
  <c r="T44" i="11" s="1"/>
  <c r="T45" i="11" s="1"/>
  <c r="T46" i="11" s="1"/>
  <c r="T47" i="11" s="1"/>
  <c r="T48" i="11" s="1"/>
  <c r="T49" i="11" s="1"/>
  <c r="T50" i="11" s="1"/>
  <c r="T51" i="11" s="1"/>
  <c r="T52" i="11" s="1"/>
  <c r="T53" i="11" s="1"/>
  <c r="T54" i="11" s="1"/>
  <c r="T55" i="11" s="1"/>
  <c r="T56" i="11" s="1"/>
  <c r="T57" i="11" s="1"/>
  <c r="T58" i="11" s="1"/>
  <c r="T59" i="11" s="1"/>
  <c r="T60" i="11" s="1"/>
  <c r="T61" i="11" s="1"/>
  <c r="T62" i="11" s="1"/>
  <c r="T63" i="11" s="1"/>
  <c r="T64" i="11" s="1"/>
  <c r="T65" i="11" s="1"/>
  <c r="T66" i="11" s="1"/>
  <c r="T67" i="11" s="1"/>
  <c r="T68" i="11" s="1"/>
  <c r="T69" i="11" s="1"/>
  <c r="V6" i="11"/>
  <c r="V7" i="11" s="1"/>
  <c r="V8" i="11" s="1"/>
  <c r="V9" i="11" s="1"/>
  <c r="V10" i="11" s="1"/>
  <c r="V11" i="11" s="1"/>
  <c r="V12" i="11" s="1"/>
  <c r="V13" i="11" s="1"/>
  <c r="V14" i="11" s="1"/>
  <c r="V15" i="11" s="1"/>
  <c r="V16" i="11" s="1"/>
  <c r="V17" i="11" s="1"/>
  <c r="V18" i="11" s="1"/>
  <c r="V19" i="11" s="1"/>
  <c r="V20" i="11" s="1"/>
  <c r="V21" i="11" s="1"/>
  <c r="V22" i="11" s="1"/>
  <c r="V23" i="11" s="1"/>
  <c r="V24" i="11" s="1"/>
  <c r="V25" i="11" s="1"/>
  <c r="V26" i="11" s="1"/>
  <c r="V27" i="11" s="1"/>
  <c r="V28" i="11" s="1"/>
  <c r="V29" i="11" s="1"/>
  <c r="V30" i="11" s="1"/>
  <c r="V31" i="11" s="1"/>
  <c r="V32" i="11" s="1"/>
  <c r="V33" i="11" s="1"/>
  <c r="V34" i="11" s="1"/>
  <c r="V35" i="11" s="1"/>
  <c r="V36" i="11" s="1"/>
  <c r="V37" i="11" s="1"/>
  <c r="V38" i="11" s="1"/>
  <c r="V39" i="11" s="1"/>
  <c r="V40" i="11" s="1"/>
  <c r="V41" i="11" s="1"/>
  <c r="V42" i="11" s="1"/>
  <c r="V43" i="11" s="1"/>
  <c r="V44" i="11" s="1"/>
  <c r="V45" i="11" s="1"/>
  <c r="V46" i="11" s="1"/>
  <c r="V47" i="11" s="1"/>
  <c r="V48" i="11" s="1"/>
  <c r="V49" i="11" s="1"/>
  <c r="V50" i="11" s="1"/>
  <c r="V51" i="11" s="1"/>
  <c r="V52" i="11" s="1"/>
  <c r="V53" i="11" s="1"/>
  <c r="V54" i="11" s="1"/>
  <c r="V55" i="11" s="1"/>
  <c r="V56" i="11" s="1"/>
  <c r="V57" i="11" s="1"/>
  <c r="V58" i="11" s="1"/>
  <c r="V59" i="11" s="1"/>
  <c r="V60" i="11" s="1"/>
  <c r="V61" i="11" s="1"/>
  <c r="V62" i="11" s="1"/>
  <c r="V63" i="11" s="1"/>
  <c r="V64" i="11" s="1"/>
  <c r="V65" i="11" s="1"/>
  <c r="V66" i="11" s="1"/>
  <c r="V67" i="11" s="1"/>
  <c r="V68" i="11" s="1"/>
  <c r="V69" i="11" s="1"/>
  <c r="W6" i="11"/>
  <c r="W7" i="11" s="1"/>
  <c r="W8" i="11" s="1"/>
  <c r="W9" i="11" s="1"/>
  <c r="W10" i="11" s="1"/>
  <c r="W11" i="11" s="1"/>
  <c r="W12" i="11" s="1"/>
  <c r="W13" i="11" s="1"/>
  <c r="W14" i="11" s="1"/>
  <c r="W15" i="11" s="1"/>
  <c r="W16" i="11" s="1"/>
  <c r="W17" i="11" s="1"/>
  <c r="W18" i="11" s="1"/>
  <c r="W19" i="11" s="1"/>
  <c r="W20" i="11" s="1"/>
  <c r="W21" i="11" s="1"/>
  <c r="W22" i="11" s="1"/>
  <c r="W23" i="11" s="1"/>
  <c r="W24" i="11" s="1"/>
  <c r="W25" i="11" s="1"/>
  <c r="W26" i="11" s="1"/>
  <c r="W27" i="11" s="1"/>
  <c r="W28" i="11" s="1"/>
  <c r="W29" i="11" s="1"/>
  <c r="W30" i="11" s="1"/>
  <c r="W31" i="11" s="1"/>
  <c r="W32" i="11" s="1"/>
  <c r="W33" i="11" s="1"/>
  <c r="W34" i="11" s="1"/>
  <c r="W35" i="11" s="1"/>
  <c r="W36" i="11" s="1"/>
  <c r="W37" i="11" s="1"/>
  <c r="W38" i="11" s="1"/>
  <c r="W39" i="11" s="1"/>
  <c r="W40" i="11" s="1"/>
  <c r="W41" i="11" s="1"/>
  <c r="W42" i="11" s="1"/>
  <c r="W43" i="11" s="1"/>
  <c r="W44" i="11" s="1"/>
  <c r="W45" i="11" s="1"/>
  <c r="W46" i="11" s="1"/>
  <c r="W47" i="11" s="1"/>
  <c r="W48" i="11" s="1"/>
  <c r="W49" i="11" s="1"/>
  <c r="W50" i="11" s="1"/>
  <c r="W51" i="11" s="1"/>
  <c r="W52" i="11" s="1"/>
  <c r="W53" i="11" s="1"/>
  <c r="W54" i="11" s="1"/>
  <c r="W55" i="11" s="1"/>
  <c r="W56" i="11" s="1"/>
  <c r="W57" i="11" s="1"/>
  <c r="W58" i="11" s="1"/>
  <c r="W59" i="11" s="1"/>
  <c r="W60" i="11" s="1"/>
  <c r="W61" i="11" s="1"/>
  <c r="W62" i="11" s="1"/>
  <c r="W63" i="11" s="1"/>
  <c r="W64" i="11" s="1"/>
  <c r="W65" i="11" s="1"/>
  <c r="W66" i="11" s="1"/>
  <c r="W67" i="11" s="1"/>
  <c r="W68" i="11" s="1"/>
  <c r="W69" i="11" s="1"/>
  <c r="X6" i="11"/>
  <c r="X7" i="11" s="1"/>
  <c r="X8" i="11" s="1"/>
  <c r="X9" i="11" s="1"/>
  <c r="X10" i="11" s="1"/>
  <c r="X11" i="11" s="1"/>
  <c r="X12" i="11" s="1"/>
  <c r="X13" i="11" s="1"/>
  <c r="X14" i="11" s="1"/>
  <c r="X15" i="11" s="1"/>
  <c r="X16" i="11" s="1"/>
  <c r="X17" i="11" s="1"/>
  <c r="X18" i="11" s="1"/>
  <c r="X19" i="11" s="1"/>
  <c r="X20" i="11" s="1"/>
  <c r="X21" i="11" s="1"/>
  <c r="X22" i="11" s="1"/>
  <c r="X23" i="11" s="1"/>
  <c r="X24" i="11" s="1"/>
  <c r="X25" i="11" s="1"/>
  <c r="X26" i="11" s="1"/>
  <c r="X27" i="11" s="1"/>
  <c r="X28" i="11" s="1"/>
  <c r="X29" i="11" s="1"/>
  <c r="X30" i="11" s="1"/>
  <c r="X31" i="11" s="1"/>
  <c r="X32" i="11" s="1"/>
  <c r="X33" i="11" s="1"/>
  <c r="X34" i="11" s="1"/>
  <c r="X35" i="11" s="1"/>
  <c r="X36" i="11" s="1"/>
  <c r="X37" i="11" s="1"/>
  <c r="X38" i="11" s="1"/>
  <c r="X39" i="11" s="1"/>
  <c r="X40" i="11" s="1"/>
  <c r="X41" i="11" s="1"/>
  <c r="X42" i="11" s="1"/>
  <c r="X43" i="11" s="1"/>
  <c r="X44" i="11" s="1"/>
  <c r="X45" i="11" s="1"/>
  <c r="X46" i="11" s="1"/>
  <c r="X47" i="11" s="1"/>
  <c r="X48" i="11" s="1"/>
  <c r="X49" i="11" s="1"/>
  <c r="X50" i="11" s="1"/>
  <c r="X51" i="11" s="1"/>
  <c r="X52" i="11" s="1"/>
  <c r="X53" i="11" s="1"/>
  <c r="X54" i="11" s="1"/>
  <c r="X55" i="11" s="1"/>
  <c r="X56" i="11" s="1"/>
  <c r="X57" i="11" s="1"/>
  <c r="X58" i="11" s="1"/>
  <c r="X59" i="11" s="1"/>
  <c r="X60" i="11" s="1"/>
  <c r="X61" i="11" s="1"/>
  <c r="X62" i="11" s="1"/>
  <c r="X63" i="11" s="1"/>
  <c r="X64" i="11" s="1"/>
  <c r="X65" i="11" s="1"/>
  <c r="X66" i="11" s="1"/>
  <c r="X67" i="11" s="1"/>
  <c r="X68" i="11" s="1"/>
  <c r="X69" i="11" s="1"/>
  <c r="Y6" i="11"/>
  <c r="Z6" i="11"/>
  <c r="AA6" i="11"/>
  <c r="Y7" i="11"/>
  <c r="Y8" i="11" s="1"/>
  <c r="Y9" i="11" s="1"/>
  <c r="Y10" i="11" s="1"/>
  <c r="Y11" i="11" s="1"/>
  <c r="Y12" i="11" s="1"/>
  <c r="Y13" i="11" s="1"/>
  <c r="Y14" i="11" s="1"/>
  <c r="Y15" i="11" s="1"/>
  <c r="Y16" i="11" s="1"/>
  <c r="Y17" i="11" s="1"/>
  <c r="Y18" i="11" s="1"/>
  <c r="Y19" i="11" s="1"/>
  <c r="Y20" i="11" s="1"/>
  <c r="Y21" i="11" s="1"/>
  <c r="Y22" i="11" s="1"/>
  <c r="Y23" i="11" s="1"/>
  <c r="Y24" i="11" s="1"/>
  <c r="Y25" i="11" s="1"/>
  <c r="Y26" i="11" s="1"/>
  <c r="Y27" i="11" s="1"/>
  <c r="Y28" i="11" s="1"/>
  <c r="Y29" i="11" s="1"/>
  <c r="Y30" i="11" s="1"/>
  <c r="Y31" i="11" s="1"/>
  <c r="Y32" i="11" s="1"/>
  <c r="Y33" i="11" s="1"/>
  <c r="Y34" i="11" s="1"/>
  <c r="Y35" i="11" s="1"/>
  <c r="Y36" i="11" s="1"/>
  <c r="Y37" i="11" s="1"/>
  <c r="Y38" i="11" s="1"/>
  <c r="Y39" i="11" s="1"/>
  <c r="Y40" i="11" s="1"/>
  <c r="Y41" i="11" s="1"/>
  <c r="Y42" i="11" s="1"/>
  <c r="Y43" i="11" s="1"/>
  <c r="Y44" i="11" s="1"/>
  <c r="Y45" i="11" s="1"/>
  <c r="Y46" i="11" s="1"/>
  <c r="Y47" i="11" s="1"/>
  <c r="Y48" i="11" s="1"/>
  <c r="Y49" i="11" s="1"/>
  <c r="Y50" i="11" s="1"/>
  <c r="Y51" i="11" s="1"/>
  <c r="Y52" i="11" s="1"/>
  <c r="Y53" i="11" s="1"/>
  <c r="Y54" i="11" s="1"/>
  <c r="Y55" i="11" s="1"/>
  <c r="Y56" i="11" s="1"/>
  <c r="Y57" i="11" s="1"/>
  <c r="Y58" i="11" s="1"/>
  <c r="Y59" i="11" s="1"/>
  <c r="Y60" i="11" s="1"/>
  <c r="Y61" i="11" s="1"/>
  <c r="Y62" i="11" s="1"/>
  <c r="Y63" i="11" s="1"/>
  <c r="Y64" i="11" s="1"/>
  <c r="Y65" i="11" s="1"/>
  <c r="Y66" i="11" s="1"/>
  <c r="Y67" i="11" s="1"/>
  <c r="Y68" i="11" s="1"/>
  <c r="Y69" i="11" s="1"/>
  <c r="Z7" i="11"/>
  <c r="Z8" i="11" s="1"/>
  <c r="Z9" i="11" s="1"/>
  <c r="Z10" i="11" s="1"/>
  <c r="Z11" i="11" s="1"/>
  <c r="Z12" i="11" s="1"/>
  <c r="Z13" i="11" s="1"/>
  <c r="Z14" i="11" s="1"/>
  <c r="Z15" i="11" s="1"/>
  <c r="Z16" i="11" s="1"/>
  <c r="Z17" i="11" s="1"/>
  <c r="Z18" i="11" s="1"/>
  <c r="Z19" i="11" s="1"/>
  <c r="Z20" i="11" s="1"/>
  <c r="Z21" i="11" s="1"/>
  <c r="Z22" i="11" s="1"/>
  <c r="Z23" i="11" s="1"/>
  <c r="Z24" i="11" s="1"/>
  <c r="Z25" i="11" s="1"/>
  <c r="Z26" i="11" s="1"/>
  <c r="Z27" i="11" s="1"/>
  <c r="Z28" i="11" s="1"/>
  <c r="Z29" i="11" s="1"/>
  <c r="Z30" i="11" s="1"/>
  <c r="Z31" i="11" s="1"/>
  <c r="Z32" i="11" s="1"/>
  <c r="Z33" i="11" s="1"/>
  <c r="Z34" i="11" s="1"/>
  <c r="Z35" i="11" s="1"/>
  <c r="Z36" i="11" s="1"/>
  <c r="Z37" i="11" s="1"/>
  <c r="Z38" i="11" s="1"/>
  <c r="Z39" i="11" s="1"/>
  <c r="Z40" i="11" s="1"/>
  <c r="Z41" i="11" s="1"/>
  <c r="Z42" i="11" s="1"/>
  <c r="Z43" i="11" s="1"/>
  <c r="Z44" i="11" s="1"/>
  <c r="Z45" i="11" s="1"/>
  <c r="Z46" i="11" s="1"/>
  <c r="Z47" i="11" s="1"/>
  <c r="Z48" i="11" s="1"/>
  <c r="Z49" i="11" s="1"/>
  <c r="Z50" i="11" s="1"/>
  <c r="Z51" i="11" s="1"/>
  <c r="Z52" i="11" s="1"/>
  <c r="Z53" i="11" s="1"/>
  <c r="Z54" i="11" s="1"/>
  <c r="Z55" i="11" s="1"/>
  <c r="Z56" i="11" s="1"/>
  <c r="Z57" i="11" s="1"/>
  <c r="Z58" i="11" s="1"/>
  <c r="Z59" i="11" s="1"/>
  <c r="Z60" i="11" s="1"/>
  <c r="Z61" i="11" s="1"/>
  <c r="Z62" i="11" s="1"/>
  <c r="Z63" i="11" s="1"/>
  <c r="Z64" i="11" s="1"/>
  <c r="Z65" i="11" s="1"/>
  <c r="Z66" i="11" s="1"/>
  <c r="Z67" i="11" s="1"/>
  <c r="Z68" i="11" s="1"/>
  <c r="Z69" i="11" s="1"/>
  <c r="AA7" i="11"/>
  <c r="AA8" i="11" s="1"/>
  <c r="AA9" i="11" s="1"/>
  <c r="AA10" i="11" s="1"/>
  <c r="AA11" i="11" s="1"/>
  <c r="AA12" i="11" s="1"/>
  <c r="AA13" i="11" s="1"/>
  <c r="AA14" i="11" s="1"/>
  <c r="AA15" i="11" s="1"/>
  <c r="AA16" i="11" s="1"/>
  <c r="AA17" i="11" s="1"/>
  <c r="AA18" i="11" s="1"/>
  <c r="AA19" i="11" s="1"/>
  <c r="AA20" i="11" s="1"/>
  <c r="AA21" i="11" s="1"/>
  <c r="AA22" i="11" s="1"/>
  <c r="AA23" i="11" s="1"/>
  <c r="AA24" i="11" s="1"/>
  <c r="AA25" i="11" s="1"/>
  <c r="AA26" i="11" s="1"/>
  <c r="AA27" i="11" s="1"/>
  <c r="AA28" i="11" s="1"/>
  <c r="AA29" i="11" s="1"/>
  <c r="AA30" i="11" s="1"/>
  <c r="AA31" i="11" s="1"/>
  <c r="AA32" i="11" s="1"/>
  <c r="AA33" i="11" s="1"/>
  <c r="AA34" i="11" s="1"/>
  <c r="AA35" i="11" s="1"/>
  <c r="AA36" i="11" s="1"/>
  <c r="AA37" i="11" s="1"/>
  <c r="AA38" i="11" s="1"/>
  <c r="AA39" i="11" s="1"/>
  <c r="AA40" i="11" s="1"/>
  <c r="AA41" i="11" s="1"/>
  <c r="AA42" i="11" s="1"/>
  <c r="AA43" i="11" s="1"/>
  <c r="AA44" i="11" s="1"/>
  <c r="AA45" i="11" s="1"/>
  <c r="AA46" i="11" s="1"/>
  <c r="AA47" i="11" s="1"/>
  <c r="AA48" i="11" s="1"/>
  <c r="AA49" i="11" s="1"/>
  <c r="AA50" i="11" s="1"/>
  <c r="AA51" i="11" s="1"/>
  <c r="AA52" i="11" s="1"/>
  <c r="AA53" i="11" s="1"/>
  <c r="AA54" i="11" s="1"/>
  <c r="AA55" i="11" s="1"/>
  <c r="AA56" i="11" s="1"/>
  <c r="AA57" i="11" s="1"/>
  <c r="AA58" i="11" s="1"/>
  <c r="AA59" i="11" s="1"/>
  <c r="AA60" i="11" s="1"/>
  <c r="AA61" i="11" s="1"/>
  <c r="AA62" i="11" s="1"/>
  <c r="AA63" i="11" s="1"/>
  <c r="AA64" i="11" s="1"/>
  <c r="AA65" i="11" s="1"/>
  <c r="AA66" i="11" s="1"/>
  <c r="AA67" i="11" s="1"/>
  <c r="AA68" i="11" s="1"/>
  <c r="AA69" i="11" s="1"/>
  <c r="Q4" i="11"/>
  <c r="R4" i="11"/>
  <c r="S4" i="11"/>
  <c r="T4" i="11"/>
  <c r="U4" i="11"/>
  <c r="V4" i="11"/>
  <c r="W4" i="11"/>
  <c r="X4" i="11"/>
  <c r="Y4" i="11"/>
  <c r="Z4" i="11"/>
  <c r="AA4" i="11"/>
  <c r="AB4" i="11"/>
  <c r="P4" i="11"/>
  <c r="Q3" i="11"/>
  <c r="R3" i="11"/>
  <c r="S3" i="11"/>
  <c r="T3" i="11"/>
  <c r="U3" i="11"/>
  <c r="V3" i="11"/>
  <c r="W3" i="11"/>
  <c r="X3" i="11"/>
  <c r="Y3" i="11"/>
  <c r="Z3" i="11"/>
  <c r="AA3" i="11"/>
  <c r="AB3" i="11"/>
  <c r="P3" i="11"/>
  <c r="B4" i="11"/>
  <c r="N4" i="11" s="1"/>
  <c r="C4" i="11"/>
  <c r="D4" i="11"/>
  <c r="E4" i="11"/>
  <c r="F4" i="11"/>
  <c r="G4" i="11"/>
  <c r="H4" i="11"/>
  <c r="I4" i="11"/>
  <c r="J4" i="11"/>
  <c r="K4" i="11"/>
  <c r="L4" i="11"/>
  <c r="M4" i="11"/>
  <c r="B5" i="11"/>
  <c r="N5" i="11" s="1"/>
  <c r="C5" i="11"/>
  <c r="D5" i="11"/>
  <c r="E5" i="11"/>
  <c r="F5" i="11"/>
  <c r="G5" i="11"/>
  <c r="H5" i="11"/>
  <c r="I5" i="11"/>
  <c r="J5" i="11"/>
  <c r="K5" i="11"/>
  <c r="L5" i="11"/>
  <c r="M5" i="11"/>
  <c r="B6" i="11"/>
  <c r="N6" i="11" s="1"/>
  <c r="C6" i="11"/>
  <c r="D6" i="11"/>
  <c r="E6" i="11"/>
  <c r="F6" i="11"/>
  <c r="G6" i="11"/>
  <c r="H6" i="11"/>
  <c r="I6" i="11"/>
  <c r="J6" i="11"/>
  <c r="K6" i="11"/>
  <c r="L6" i="11"/>
  <c r="M6" i="11"/>
  <c r="B7" i="11"/>
  <c r="N7" i="11" s="1"/>
  <c r="C7" i="11"/>
  <c r="D7" i="11"/>
  <c r="E7" i="11"/>
  <c r="F7" i="11"/>
  <c r="G7" i="11"/>
  <c r="H7" i="11"/>
  <c r="I7" i="11"/>
  <c r="J7" i="11"/>
  <c r="K7" i="11"/>
  <c r="L7" i="11"/>
  <c r="M7" i="11"/>
  <c r="B8" i="11"/>
  <c r="N8" i="11" s="1"/>
  <c r="C8" i="11"/>
  <c r="D8" i="11"/>
  <c r="E8" i="11"/>
  <c r="F8" i="11"/>
  <c r="G8" i="11"/>
  <c r="H8" i="11"/>
  <c r="I8" i="11"/>
  <c r="J8" i="11"/>
  <c r="K8" i="11"/>
  <c r="L8" i="11"/>
  <c r="M8" i="11"/>
  <c r="B9" i="11"/>
  <c r="N9" i="11" s="1"/>
  <c r="C9" i="11"/>
  <c r="D9" i="11"/>
  <c r="E9" i="11"/>
  <c r="F9" i="11"/>
  <c r="G9" i="11"/>
  <c r="H9" i="11"/>
  <c r="I9" i="11"/>
  <c r="J9" i="11"/>
  <c r="K9" i="11"/>
  <c r="L9" i="11"/>
  <c r="M9" i="11"/>
  <c r="B10" i="11"/>
  <c r="N10" i="11" s="1"/>
  <c r="C10" i="11"/>
  <c r="D10" i="11"/>
  <c r="E10" i="11"/>
  <c r="F10" i="11"/>
  <c r="G10" i="11"/>
  <c r="H10" i="11"/>
  <c r="I10" i="11"/>
  <c r="J10" i="11"/>
  <c r="K10" i="11"/>
  <c r="L10" i="11"/>
  <c r="M10" i="11"/>
  <c r="B11" i="11"/>
  <c r="N11" i="11" s="1"/>
  <c r="C11" i="11"/>
  <c r="D11" i="11"/>
  <c r="E11" i="11"/>
  <c r="F11" i="11"/>
  <c r="G11" i="11"/>
  <c r="H11" i="11"/>
  <c r="I11" i="11"/>
  <c r="J11" i="11"/>
  <c r="K11" i="11"/>
  <c r="L11" i="11"/>
  <c r="M11" i="11"/>
  <c r="B12" i="11"/>
  <c r="N12" i="11" s="1"/>
  <c r="C12" i="11"/>
  <c r="D12" i="11"/>
  <c r="E12" i="11"/>
  <c r="F12" i="11"/>
  <c r="G12" i="11"/>
  <c r="H12" i="11"/>
  <c r="I12" i="11"/>
  <c r="J12" i="11"/>
  <c r="K12" i="11"/>
  <c r="L12" i="11"/>
  <c r="M12" i="11"/>
  <c r="B13" i="11"/>
  <c r="N13" i="11" s="1"/>
  <c r="C13" i="11"/>
  <c r="D13" i="11"/>
  <c r="E13" i="11"/>
  <c r="F13" i="11"/>
  <c r="G13" i="11"/>
  <c r="H13" i="11"/>
  <c r="I13" i="11"/>
  <c r="J13" i="11"/>
  <c r="K13" i="11"/>
  <c r="L13" i="11"/>
  <c r="M13" i="11"/>
  <c r="B14" i="11"/>
  <c r="N14" i="11" s="1"/>
  <c r="C14" i="11"/>
  <c r="D14" i="11"/>
  <c r="E14" i="11"/>
  <c r="F14" i="11"/>
  <c r="G14" i="11"/>
  <c r="H14" i="11"/>
  <c r="I14" i="11"/>
  <c r="J14" i="11"/>
  <c r="K14" i="11"/>
  <c r="L14" i="11"/>
  <c r="M14" i="11"/>
  <c r="B15" i="11"/>
  <c r="N15" i="11" s="1"/>
  <c r="C15" i="11"/>
  <c r="D15" i="11"/>
  <c r="E15" i="11"/>
  <c r="F15" i="11"/>
  <c r="G15" i="11"/>
  <c r="H15" i="11"/>
  <c r="I15" i="11"/>
  <c r="J15" i="11"/>
  <c r="K15" i="11"/>
  <c r="L15" i="11"/>
  <c r="M15" i="11"/>
  <c r="B16" i="11"/>
  <c r="N16" i="11" s="1"/>
  <c r="C16" i="11"/>
  <c r="D16" i="11"/>
  <c r="E16" i="11"/>
  <c r="F16" i="11"/>
  <c r="G16" i="11"/>
  <c r="H16" i="11"/>
  <c r="I16" i="11"/>
  <c r="J16" i="11"/>
  <c r="K16" i="11"/>
  <c r="L16" i="11"/>
  <c r="M16" i="11"/>
  <c r="B17" i="11"/>
  <c r="N17" i="11" s="1"/>
  <c r="C17" i="11"/>
  <c r="D17" i="11"/>
  <c r="E17" i="11"/>
  <c r="F17" i="11"/>
  <c r="G17" i="11"/>
  <c r="H17" i="11"/>
  <c r="I17" i="11"/>
  <c r="J17" i="11"/>
  <c r="K17" i="11"/>
  <c r="L17" i="11"/>
  <c r="M17" i="11"/>
  <c r="B18" i="11"/>
  <c r="N18" i="11" s="1"/>
  <c r="C18" i="11"/>
  <c r="D18" i="11"/>
  <c r="E18" i="11"/>
  <c r="F18" i="11"/>
  <c r="G18" i="11"/>
  <c r="H18" i="11"/>
  <c r="I18" i="11"/>
  <c r="J18" i="11"/>
  <c r="K18" i="11"/>
  <c r="L18" i="11"/>
  <c r="M18" i="11"/>
  <c r="B19" i="11"/>
  <c r="N19" i="11" s="1"/>
  <c r="C19" i="11"/>
  <c r="D19" i="11"/>
  <c r="E19" i="11"/>
  <c r="F19" i="11"/>
  <c r="G19" i="11"/>
  <c r="H19" i="11"/>
  <c r="I19" i="11"/>
  <c r="J19" i="11"/>
  <c r="K19" i="11"/>
  <c r="L19" i="11"/>
  <c r="M19" i="11"/>
  <c r="B20" i="11"/>
  <c r="N20" i="11" s="1"/>
  <c r="C20" i="11"/>
  <c r="D20" i="11"/>
  <c r="E20" i="11"/>
  <c r="F20" i="11"/>
  <c r="G20" i="11"/>
  <c r="H20" i="11"/>
  <c r="I20" i="11"/>
  <c r="J20" i="11"/>
  <c r="K20" i="11"/>
  <c r="L20" i="11"/>
  <c r="M20" i="11"/>
  <c r="B21" i="11"/>
  <c r="N21" i="11" s="1"/>
  <c r="C21" i="11"/>
  <c r="D21" i="11"/>
  <c r="E21" i="11"/>
  <c r="F21" i="11"/>
  <c r="G21" i="11"/>
  <c r="H21" i="11"/>
  <c r="I21" i="11"/>
  <c r="J21" i="11"/>
  <c r="K21" i="11"/>
  <c r="L21" i="11"/>
  <c r="M21" i="11"/>
  <c r="B22" i="11"/>
  <c r="N22" i="11" s="1"/>
  <c r="C22" i="11"/>
  <c r="D22" i="11"/>
  <c r="E22" i="11"/>
  <c r="F22" i="11"/>
  <c r="G22" i="11"/>
  <c r="H22" i="11"/>
  <c r="I22" i="11"/>
  <c r="J22" i="11"/>
  <c r="K22" i="11"/>
  <c r="L22" i="11"/>
  <c r="M22" i="11"/>
  <c r="B23" i="11"/>
  <c r="N23" i="11" s="1"/>
  <c r="C23" i="11"/>
  <c r="D23" i="11"/>
  <c r="E23" i="11"/>
  <c r="F23" i="11"/>
  <c r="G23" i="11"/>
  <c r="H23" i="11"/>
  <c r="I23" i="11"/>
  <c r="J23" i="11"/>
  <c r="K23" i="11"/>
  <c r="L23" i="11"/>
  <c r="M23" i="11"/>
  <c r="B24" i="11"/>
  <c r="N24" i="11" s="1"/>
  <c r="C24" i="11"/>
  <c r="D24" i="11"/>
  <c r="E24" i="11"/>
  <c r="F24" i="11"/>
  <c r="G24" i="11"/>
  <c r="H24" i="11"/>
  <c r="I24" i="11"/>
  <c r="J24" i="11"/>
  <c r="K24" i="11"/>
  <c r="L24" i="11"/>
  <c r="M24" i="11"/>
  <c r="B25" i="11"/>
  <c r="N25" i="11" s="1"/>
  <c r="C25" i="11"/>
  <c r="D25" i="11"/>
  <c r="E25" i="11"/>
  <c r="F25" i="11"/>
  <c r="G25" i="11"/>
  <c r="H25" i="11"/>
  <c r="I25" i="11"/>
  <c r="J25" i="11"/>
  <c r="K25" i="11"/>
  <c r="L25" i="11"/>
  <c r="M25" i="11"/>
  <c r="B26" i="11"/>
  <c r="N26" i="11" s="1"/>
  <c r="C26" i="11"/>
  <c r="D26" i="11"/>
  <c r="E26" i="11"/>
  <c r="F26" i="11"/>
  <c r="G26" i="11"/>
  <c r="H26" i="11"/>
  <c r="I26" i="11"/>
  <c r="J26" i="11"/>
  <c r="K26" i="11"/>
  <c r="L26" i="11"/>
  <c r="M26" i="11"/>
  <c r="B27" i="11"/>
  <c r="N27" i="11" s="1"/>
  <c r="C27" i="11"/>
  <c r="D27" i="11"/>
  <c r="E27" i="11"/>
  <c r="F27" i="11"/>
  <c r="G27" i="11"/>
  <c r="H27" i="11"/>
  <c r="I27" i="11"/>
  <c r="J27" i="11"/>
  <c r="K27" i="11"/>
  <c r="L27" i="11"/>
  <c r="M27" i="11"/>
  <c r="B28" i="11"/>
  <c r="N28" i="11" s="1"/>
  <c r="C28" i="11"/>
  <c r="D28" i="11"/>
  <c r="E28" i="11"/>
  <c r="F28" i="11"/>
  <c r="G28" i="11"/>
  <c r="H28" i="11"/>
  <c r="I28" i="11"/>
  <c r="J28" i="11"/>
  <c r="K28" i="11"/>
  <c r="L28" i="11"/>
  <c r="M28" i="11"/>
  <c r="B29" i="11"/>
  <c r="N29" i="11" s="1"/>
  <c r="C29" i="11"/>
  <c r="D29" i="11"/>
  <c r="E29" i="11"/>
  <c r="F29" i="11"/>
  <c r="G29" i="11"/>
  <c r="H29" i="11"/>
  <c r="I29" i="11"/>
  <c r="J29" i="11"/>
  <c r="K29" i="11"/>
  <c r="L29" i="11"/>
  <c r="M29" i="11"/>
  <c r="B30" i="11"/>
  <c r="N30" i="11" s="1"/>
  <c r="C30" i="11"/>
  <c r="D30" i="11"/>
  <c r="E30" i="11"/>
  <c r="F30" i="11"/>
  <c r="G30" i="11"/>
  <c r="H30" i="11"/>
  <c r="I30" i="11"/>
  <c r="J30" i="11"/>
  <c r="K30" i="11"/>
  <c r="L30" i="11"/>
  <c r="M30" i="11"/>
  <c r="B31" i="11"/>
  <c r="N31" i="11" s="1"/>
  <c r="C31" i="11"/>
  <c r="D31" i="11"/>
  <c r="E31" i="11"/>
  <c r="F31" i="11"/>
  <c r="G31" i="11"/>
  <c r="H31" i="11"/>
  <c r="I31" i="11"/>
  <c r="J31" i="11"/>
  <c r="K31" i="11"/>
  <c r="L31" i="11"/>
  <c r="M31" i="11"/>
  <c r="B32" i="11"/>
  <c r="N32" i="11" s="1"/>
  <c r="C32" i="11"/>
  <c r="D32" i="11"/>
  <c r="E32" i="11"/>
  <c r="F32" i="11"/>
  <c r="G32" i="11"/>
  <c r="H32" i="11"/>
  <c r="I32" i="11"/>
  <c r="J32" i="11"/>
  <c r="K32" i="11"/>
  <c r="L32" i="11"/>
  <c r="M32" i="11"/>
  <c r="B33" i="11"/>
  <c r="N33" i="11" s="1"/>
  <c r="C33" i="11"/>
  <c r="D33" i="11"/>
  <c r="E33" i="11"/>
  <c r="F33" i="11"/>
  <c r="G33" i="11"/>
  <c r="H33" i="11"/>
  <c r="I33" i="11"/>
  <c r="J33" i="11"/>
  <c r="K33" i="11"/>
  <c r="L33" i="11"/>
  <c r="M33" i="11"/>
  <c r="B34" i="11"/>
  <c r="N34" i="11" s="1"/>
  <c r="C34" i="11"/>
  <c r="D34" i="11"/>
  <c r="E34" i="11"/>
  <c r="F34" i="11"/>
  <c r="G34" i="11"/>
  <c r="H34" i="11"/>
  <c r="I34" i="11"/>
  <c r="J34" i="11"/>
  <c r="K34" i="11"/>
  <c r="L34" i="11"/>
  <c r="M34" i="11"/>
  <c r="B35" i="11"/>
  <c r="N35" i="11" s="1"/>
  <c r="C35" i="11"/>
  <c r="D35" i="11"/>
  <c r="E35" i="11"/>
  <c r="F35" i="11"/>
  <c r="G35" i="11"/>
  <c r="H35" i="11"/>
  <c r="I35" i="11"/>
  <c r="J35" i="11"/>
  <c r="K35" i="11"/>
  <c r="L35" i="11"/>
  <c r="M35" i="11"/>
  <c r="B36" i="11"/>
  <c r="N36" i="11" s="1"/>
  <c r="C36" i="11"/>
  <c r="D36" i="11"/>
  <c r="E36" i="11"/>
  <c r="F36" i="11"/>
  <c r="G36" i="11"/>
  <c r="H36" i="11"/>
  <c r="I36" i="11"/>
  <c r="J36" i="11"/>
  <c r="K36" i="11"/>
  <c r="L36" i="11"/>
  <c r="M36" i="11"/>
  <c r="B37" i="11"/>
  <c r="N37" i="11" s="1"/>
  <c r="C37" i="11"/>
  <c r="D37" i="11"/>
  <c r="E37" i="11"/>
  <c r="F37" i="11"/>
  <c r="G37" i="11"/>
  <c r="H37" i="11"/>
  <c r="I37" i="11"/>
  <c r="J37" i="11"/>
  <c r="K37" i="11"/>
  <c r="L37" i="11"/>
  <c r="M37" i="11"/>
  <c r="B38" i="11"/>
  <c r="N38" i="11" s="1"/>
  <c r="C38" i="11"/>
  <c r="D38" i="11"/>
  <c r="E38" i="11"/>
  <c r="F38" i="11"/>
  <c r="G38" i="11"/>
  <c r="H38" i="11"/>
  <c r="I38" i="11"/>
  <c r="J38" i="11"/>
  <c r="K38" i="11"/>
  <c r="L38" i="11"/>
  <c r="M38" i="11"/>
  <c r="B39" i="11"/>
  <c r="N39" i="11" s="1"/>
  <c r="C39" i="11"/>
  <c r="D39" i="11"/>
  <c r="E39" i="11"/>
  <c r="F39" i="11"/>
  <c r="G39" i="11"/>
  <c r="H39" i="11"/>
  <c r="I39" i="11"/>
  <c r="J39" i="11"/>
  <c r="K39" i="11"/>
  <c r="L39" i="11"/>
  <c r="M39" i="11"/>
  <c r="B40" i="11"/>
  <c r="N40" i="11" s="1"/>
  <c r="C40" i="11"/>
  <c r="D40" i="11"/>
  <c r="E40" i="11"/>
  <c r="F40" i="11"/>
  <c r="G40" i="11"/>
  <c r="H40" i="11"/>
  <c r="I40" i="11"/>
  <c r="J40" i="11"/>
  <c r="K40" i="11"/>
  <c r="L40" i="11"/>
  <c r="M40" i="11"/>
  <c r="B41" i="11"/>
  <c r="N41" i="11" s="1"/>
  <c r="C41" i="11"/>
  <c r="D41" i="11"/>
  <c r="E41" i="11"/>
  <c r="F41" i="11"/>
  <c r="G41" i="11"/>
  <c r="H41" i="11"/>
  <c r="I41" i="11"/>
  <c r="J41" i="11"/>
  <c r="K41" i="11"/>
  <c r="L41" i="11"/>
  <c r="M41" i="11"/>
  <c r="B42" i="11"/>
  <c r="N42" i="11" s="1"/>
  <c r="C42" i="11"/>
  <c r="D42" i="11"/>
  <c r="E42" i="11"/>
  <c r="F42" i="11"/>
  <c r="G42" i="11"/>
  <c r="H42" i="11"/>
  <c r="I42" i="11"/>
  <c r="J42" i="11"/>
  <c r="K42" i="11"/>
  <c r="L42" i="11"/>
  <c r="M42" i="11"/>
  <c r="B43" i="11"/>
  <c r="N43" i="11" s="1"/>
  <c r="C43" i="11"/>
  <c r="D43" i="11"/>
  <c r="E43" i="11"/>
  <c r="F43" i="11"/>
  <c r="G43" i="11"/>
  <c r="H43" i="11"/>
  <c r="I43" i="11"/>
  <c r="J43" i="11"/>
  <c r="K43" i="11"/>
  <c r="L43" i="11"/>
  <c r="M43" i="11"/>
  <c r="B44" i="11"/>
  <c r="N44" i="11" s="1"/>
  <c r="C44" i="11"/>
  <c r="D44" i="11"/>
  <c r="E44" i="11"/>
  <c r="F44" i="11"/>
  <c r="G44" i="11"/>
  <c r="H44" i="11"/>
  <c r="I44" i="11"/>
  <c r="J44" i="11"/>
  <c r="K44" i="11"/>
  <c r="L44" i="11"/>
  <c r="M44" i="11"/>
  <c r="B45" i="11"/>
  <c r="N45" i="11" s="1"/>
  <c r="C45" i="11"/>
  <c r="D45" i="11"/>
  <c r="E45" i="11"/>
  <c r="F45" i="11"/>
  <c r="G45" i="11"/>
  <c r="H45" i="11"/>
  <c r="I45" i="11"/>
  <c r="J45" i="11"/>
  <c r="K45" i="11"/>
  <c r="L45" i="11"/>
  <c r="M45" i="11"/>
  <c r="B46" i="11"/>
  <c r="N46" i="11" s="1"/>
  <c r="C46" i="11"/>
  <c r="D46" i="11"/>
  <c r="E46" i="11"/>
  <c r="F46" i="11"/>
  <c r="G46" i="11"/>
  <c r="H46" i="11"/>
  <c r="I46" i="11"/>
  <c r="J46" i="11"/>
  <c r="K46" i="11"/>
  <c r="L46" i="11"/>
  <c r="M46" i="11"/>
  <c r="B47" i="11"/>
  <c r="N47" i="11" s="1"/>
  <c r="C47" i="11"/>
  <c r="D47" i="11"/>
  <c r="E47" i="11"/>
  <c r="F47" i="11"/>
  <c r="G47" i="11"/>
  <c r="H47" i="11"/>
  <c r="I47" i="11"/>
  <c r="J47" i="11"/>
  <c r="K47" i="11"/>
  <c r="L47" i="11"/>
  <c r="M47" i="11"/>
  <c r="B48" i="11"/>
  <c r="N48" i="11" s="1"/>
  <c r="C48" i="11"/>
  <c r="D48" i="11"/>
  <c r="E48" i="11"/>
  <c r="F48" i="11"/>
  <c r="G48" i="11"/>
  <c r="H48" i="11"/>
  <c r="I48" i="11"/>
  <c r="J48" i="11"/>
  <c r="K48" i="11"/>
  <c r="L48" i="11"/>
  <c r="M48" i="11"/>
  <c r="B49" i="11"/>
  <c r="N49" i="11" s="1"/>
  <c r="C49" i="11"/>
  <c r="D49" i="11"/>
  <c r="E49" i="11"/>
  <c r="F49" i="11"/>
  <c r="G49" i="11"/>
  <c r="H49" i="11"/>
  <c r="I49" i="11"/>
  <c r="J49" i="11"/>
  <c r="K49" i="11"/>
  <c r="L49" i="11"/>
  <c r="M49" i="11"/>
  <c r="B50" i="11"/>
  <c r="N50" i="11" s="1"/>
  <c r="C50" i="11"/>
  <c r="D50" i="11"/>
  <c r="E50" i="11"/>
  <c r="F50" i="11"/>
  <c r="G50" i="11"/>
  <c r="H50" i="11"/>
  <c r="I50" i="11"/>
  <c r="J50" i="11"/>
  <c r="K50" i="11"/>
  <c r="L50" i="11"/>
  <c r="M50" i="11"/>
  <c r="B51" i="11"/>
  <c r="N51" i="11" s="1"/>
  <c r="C51" i="11"/>
  <c r="D51" i="11"/>
  <c r="E51" i="11"/>
  <c r="F51" i="11"/>
  <c r="G51" i="11"/>
  <c r="H51" i="11"/>
  <c r="I51" i="11"/>
  <c r="J51" i="11"/>
  <c r="K51" i="11"/>
  <c r="L51" i="11"/>
  <c r="M51" i="11"/>
  <c r="B52" i="11"/>
  <c r="N52" i="11" s="1"/>
  <c r="C52" i="11"/>
  <c r="D52" i="11"/>
  <c r="E52" i="11"/>
  <c r="F52" i="11"/>
  <c r="G52" i="11"/>
  <c r="H52" i="11"/>
  <c r="I52" i="11"/>
  <c r="J52" i="11"/>
  <c r="K52" i="11"/>
  <c r="L52" i="11"/>
  <c r="M52" i="11"/>
  <c r="B53" i="11"/>
  <c r="N53" i="11" s="1"/>
  <c r="C53" i="11"/>
  <c r="D53" i="11"/>
  <c r="E53" i="11"/>
  <c r="F53" i="11"/>
  <c r="G53" i="11"/>
  <c r="H53" i="11"/>
  <c r="I53" i="11"/>
  <c r="J53" i="11"/>
  <c r="K53" i="11"/>
  <c r="L53" i="11"/>
  <c r="M53" i="11"/>
  <c r="B54" i="11"/>
  <c r="N54" i="11" s="1"/>
  <c r="C54" i="11"/>
  <c r="D54" i="11"/>
  <c r="E54" i="11"/>
  <c r="F54" i="11"/>
  <c r="G54" i="11"/>
  <c r="H54" i="11"/>
  <c r="I54" i="11"/>
  <c r="J54" i="11"/>
  <c r="K54" i="11"/>
  <c r="L54" i="11"/>
  <c r="M54" i="11"/>
  <c r="B55" i="11"/>
  <c r="N55" i="11" s="1"/>
  <c r="C55" i="11"/>
  <c r="D55" i="11"/>
  <c r="E55" i="11"/>
  <c r="F55" i="11"/>
  <c r="G55" i="11"/>
  <c r="H55" i="11"/>
  <c r="I55" i="11"/>
  <c r="J55" i="11"/>
  <c r="K55" i="11"/>
  <c r="L55" i="11"/>
  <c r="M55" i="11"/>
  <c r="B56" i="11"/>
  <c r="N56" i="11" s="1"/>
  <c r="C56" i="11"/>
  <c r="D56" i="11"/>
  <c r="E56" i="11"/>
  <c r="F56" i="11"/>
  <c r="G56" i="11"/>
  <c r="H56" i="11"/>
  <c r="I56" i="11"/>
  <c r="J56" i="11"/>
  <c r="K56" i="11"/>
  <c r="L56" i="11"/>
  <c r="M56" i="11"/>
  <c r="B57" i="11"/>
  <c r="N57" i="11" s="1"/>
  <c r="C57" i="11"/>
  <c r="D57" i="11"/>
  <c r="E57" i="11"/>
  <c r="F57" i="11"/>
  <c r="G57" i="11"/>
  <c r="H57" i="11"/>
  <c r="I57" i="11"/>
  <c r="J57" i="11"/>
  <c r="K57" i="11"/>
  <c r="L57" i="11"/>
  <c r="M57" i="11"/>
  <c r="B58" i="11"/>
  <c r="N58" i="11" s="1"/>
  <c r="C58" i="11"/>
  <c r="D58" i="11"/>
  <c r="E58" i="11"/>
  <c r="F58" i="11"/>
  <c r="G58" i="11"/>
  <c r="H58" i="11"/>
  <c r="I58" i="11"/>
  <c r="J58" i="11"/>
  <c r="K58" i="11"/>
  <c r="L58" i="11"/>
  <c r="M58" i="11"/>
  <c r="B59" i="11"/>
  <c r="N59" i="11" s="1"/>
  <c r="C59" i="11"/>
  <c r="D59" i="11"/>
  <c r="E59" i="11"/>
  <c r="F59" i="11"/>
  <c r="G59" i="11"/>
  <c r="H59" i="11"/>
  <c r="I59" i="11"/>
  <c r="J59" i="11"/>
  <c r="K59" i="11"/>
  <c r="L59" i="11"/>
  <c r="M59" i="11"/>
  <c r="B60" i="11"/>
  <c r="N60" i="11" s="1"/>
  <c r="C60" i="11"/>
  <c r="D60" i="11"/>
  <c r="E60" i="11"/>
  <c r="F60" i="11"/>
  <c r="G60" i="11"/>
  <c r="H60" i="11"/>
  <c r="I60" i="11"/>
  <c r="J60" i="11"/>
  <c r="K60" i="11"/>
  <c r="L60" i="11"/>
  <c r="M60" i="11"/>
  <c r="B61" i="11"/>
  <c r="N61" i="11" s="1"/>
  <c r="C61" i="11"/>
  <c r="D61" i="11"/>
  <c r="E61" i="11"/>
  <c r="F61" i="11"/>
  <c r="G61" i="11"/>
  <c r="H61" i="11"/>
  <c r="I61" i="11"/>
  <c r="J61" i="11"/>
  <c r="K61" i="11"/>
  <c r="L61" i="11"/>
  <c r="M61" i="11"/>
  <c r="B62" i="11"/>
  <c r="N62" i="11" s="1"/>
  <c r="C62" i="11"/>
  <c r="D62" i="11"/>
  <c r="E62" i="11"/>
  <c r="F62" i="11"/>
  <c r="G62" i="11"/>
  <c r="H62" i="11"/>
  <c r="I62" i="11"/>
  <c r="J62" i="11"/>
  <c r="K62" i="11"/>
  <c r="L62" i="11"/>
  <c r="M62" i="11"/>
  <c r="B63" i="11"/>
  <c r="N63" i="11" s="1"/>
  <c r="C63" i="11"/>
  <c r="D63" i="11"/>
  <c r="E63" i="11"/>
  <c r="F63" i="11"/>
  <c r="G63" i="11"/>
  <c r="H63" i="11"/>
  <c r="I63" i="11"/>
  <c r="J63" i="11"/>
  <c r="K63" i="11"/>
  <c r="L63" i="11"/>
  <c r="M63" i="11"/>
  <c r="B64" i="11"/>
  <c r="N64" i="11" s="1"/>
  <c r="C64" i="11"/>
  <c r="D64" i="11"/>
  <c r="E64" i="11"/>
  <c r="F64" i="11"/>
  <c r="G64" i="11"/>
  <c r="H64" i="11"/>
  <c r="I64" i="11"/>
  <c r="J64" i="11"/>
  <c r="K64" i="11"/>
  <c r="L64" i="11"/>
  <c r="M64" i="11"/>
  <c r="B65" i="11"/>
  <c r="N65" i="11" s="1"/>
  <c r="C65" i="11"/>
  <c r="D65" i="11"/>
  <c r="E65" i="11"/>
  <c r="F65" i="11"/>
  <c r="G65" i="11"/>
  <c r="H65" i="11"/>
  <c r="I65" i="11"/>
  <c r="J65" i="11"/>
  <c r="K65" i="11"/>
  <c r="L65" i="11"/>
  <c r="M65" i="11"/>
  <c r="B66" i="11"/>
  <c r="N66" i="11" s="1"/>
  <c r="C66" i="11"/>
  <c r="D66" i="11"/>
  <c r="E66" i="11"/>
  <c r="F66" i="11"/>
  <c r="G66" i="11"/>
  <c r="H66" i="11"/>
  <c r="I66" i="11"/>
  <c r="J66" i="11"/>
  <c r="K66" i="11"/>
  <c r="L66" i="11"/>
  <c r="M66" i="11"/>
  <c r="B67" i="11"/>
  <c r="N67" i="11" s="1"/>
  <c r="C67" i="11"/>
  <c r="D67" i="11"/>
  <c r="E67" i="11"/>
  <c r="F67" i="11"/>
  <c r="G67" i="11"/>
  <c r="H67" i="11"/>
  <c r="I67" i="11"/>
  <c r="J67" i="11"/>
  <c r="K67" i="11"/>
  <c r="L67" i="11"/>
  <c r="M67" i="11"/>
  <c r="B68" i="11"/>
  <c r="N68" i="11" s="1"/>
  <c r="C68" i="11"/>
  <c r="D68" i="11"/>
  <c r="E68" i="11"/>
  <c r="F68" i="11"/>
  <c r="G68" i="11"/>
  <c r="H68" i="11"/>
  <c r="I68" i="11"/>
  <c r="J68" i="11"/>
  <c r="K68" i="11"/>
  <c r="L68" i="11"/>
  <c r="M68" i="11"/>
  <c r="B69" i="11"/>
  <c r="N69" i="11" s="1"/>
  <c r="C69" i="11"/>
  <c r="D69" i="11"/>
  <c r="E69" i="11"/>
  <c r="F69" i="11"/>
  <c r="G69" i="11"/>
  <c r="H69" i="11"/>
  <c r="I69" i="11"/>
  <c r="J69" i="11"/>
  <c r="K69" i="11"/>
  <c r="L69" i="11"/>
  <c r="M69" i="11"/>
  <c r="I3" i="11"/>
  <c r="J3" i="11"/>
  <c r="K3" i="11"/>
  <c r="L3" i="11"/>
  <c r="M3" i="11"/>
  <c r="H3" i="11"/>
  <c r="G3" i="11"/>
  <c r="F3" i="11"/>
  <c r="E3" i="11"/>
  <c r="D3" i="11"/>
  <c r="C3" i="11"/>
  <c r="B3" i="11"/>
  <c r="B3" i="3"/>
  <c r="C3" i="3"/>
  <c r="D3" i="3"/>
  <c r="E3" i="3"/>
  <c r="F3" i="3"/>
  <c r="G3" i="3"/>
  <c r="H3" i="3"/>
  <c r="I3" i="3"/>
  <c r="J3" i="3"/>
  <c r="K3" i="3"/>
  <c r="L3" i="3"/>
  <c r="M3" i="3"/>
  <c r="B4" i="3"/>
  <c r="C4" i="3"/>
  <c r="D4" i="3"/>
  <c r="E4" i="3"/>
  <c r="F4" i="3"/>
  <c r="G4" i="3"/>
  <c r="H4" i="3"/>
  <c r="I4" i="3"/>
  <c r="J4" i="3"/>
  <c r="K4" i="3"/>
  <c r="L4" i="3"/>
  <c r="M4" i="3"/>
  <c r="B5" i="3"/>
  <c r="C5" i="3"/>
  <c r="D5" i="3"/>
  <c r="E5" i="3"/>
  <c r="F5" i="3"/>
  <c r="G5" i="3"/>
  <c r="H5" i="3"/>
  <c r="I5" i="3"/>
  <c r="J5" i="3"/>
  <c r="K5" i="3"/>
  <c r="L5" i="3"/>
  <c r="M5" i="3"/>
  <c r="B6" i="3"/>
  <c r="C6" i="3"/>
  <c r="D6" i="3"/>
  <c r="E6" i="3"/>
  <c r="F6" i="3"/>
  <c r="G6" i="3"/>
  <c r="H6" i="3"/>
  <c r="I6" i="3"/>
  <c r="J6" i="3"/>
  <c r="K6" i="3"/>
  <c r="L6" i="3"/>
  <c r="M6" i="3"/>
  <c r="B7" i="3"/>
  <c r="C7" i="3"/>
  <c r="D7" i="3"/>
  <c r="E7" i="3"/>
  <c r="F7" i="3"/>
  <c r="G7" i="3"/>
  <c r="H7" i="3"/>
  <c r="I7" i="3"/>
  <c r="J7" i="3"/>
  <c r="K7" i="3"/>
  <c r="L7" i="3"/>
  <c r="M7" i="3"/>
  <c r="B8" i="3"/>
  <c r="C8" i="3"/>
  <c r="D8" i="3"/>
  <c r="E8" i="3"/>
  <c r="F8" i="3"/>
  <c r="G8" i="3"/>
  <c r="H8" i="3"/>
  <c r="I8" i="3"/>
  <c r="J8" i="3"/>
  <c r="K8" i="3"/>
  <c r="L8" i="3"/>
  <c r="M8" i="3"/>
  <c r="B9" i="3"/>
  <c r="C9" i="3"/>
  <c r="D9" i="3"/>
  <c r="E9" i="3"/>
  <c r="F9" i="3"/>
  <c r="G9" i="3"/>
  <c r="H9" i="3"/>
  <c r="I9" i="3"/>
  <c r="J9" i="3"/>
  <c r="K9" i="3"/>
  <c r="L9" i="3"/>
  <c r="M9" i="3"/>
  <c r="B10" i="3"/>
  <c r="C10" i="3"/>
  <c r="D10" i="3"/>
  <c r="E10" i="3"/>
  <c r="F10" i="3"/>
  <c r="G10" i="3"/>
  <c r="H10" i="3"/>
  <c r="I10" i="3"/>
  <c r="J10" i="3"/>
  <c r="K10" i="3"/>
  <c r="L10" i="3"/>
  <c r="M10" i="3"/>
  <c r="B11" i="3"/>
  <c r="C11" i="3"/>
  <c r="D11" i="3"/>
  <c r="E11" i="3"/>
  <c r="F11" i="3"/>
  <c r="G11" i="3"/>
  <c r="H11" i="3"/>
  <c r="I11" i="3"/>
  <c r="J11" i="3"/>
  <c r="K11" i="3"/>
  <c r="L11" i="3"/>
  <c r="M11" i="3"/>
  <c r="B12" i="3"/>
  <c r="C12" i="3"/>
  <c r="D12" i="3"/>
  <c r="E12" i="3"/>
  <c r="F12" i="3"/>
  <c r="G12" i="3"/>
  <c r="H12" i="3"/>
  <c r="I12" i="3"/>
  <c r="J12" i="3"/>
  <c r="K12" i="3"/>
  <c r="L12" i="3"/>
  <c r="M12" i="3"/>
  <c r="B13" i="3"/>
  <c r="C13" i="3"/>
  <c r="D13" i="3"/>
  <c r="E13" i="3"/>
  <c r="F13" i="3"/>
  <c r="G13" i="3"/>
  <c r="H13" i="3"/>
  <c r="I13" i="3"/>
  <c r="J13" i="3"/>
  <c r="K13" i="3"/>
  <c r="L13" i="3"/>
  <c r="M13" i="3"/>
  <c r="B14" i="3"/>
  <c r="C14" i="3"/>
  <c r="D14" i="3"/>
  <c r="E14" i="3"/>
  <c r="F14" i="3"/>
  <c r="G14" i="3"/>
  <c r="H14" i="3"/>
  <c r="I14" i="3"/>
  <c r="J14" i="3"/>
  <c r="K14" i="3"/>
  <c r="L14" i="3"/>
  <c r="M14" i="3"/>
  <c r="B15" i="3"/>
  <c r="C15" i="3"/>
  <c r="D15" i="3"/>
  <c r="E15" i="3"/>
  <c r="F15" i="3"/>
  <c r="G15" i="3"/>
  <c r="H15" i="3"/>
  <c r="I15" i="3"/>
  <c r="J15" i="3"/>
  <c r="K15" i="3"/>
  <c r="L15" i="3"/>
  <c r="M15" i="3"/>
  <c r="B16" i="3"/>
  <c r="C16" i="3"/>
  <c r="D16" i="3"/>
  <c r="E16" i="3"/>
  <c r="F16" i="3"/>
  <c r="G16" i="3"/>
  <c r="H16" i="3"/>
  <c r="I16" i="3"/>
  <c r="J16" i="3"/>
  <c r="K16" i="3"/>
  <c r="L16" i="3"/>
  <c r="M16" i="3"/>
  <c r="B17" i="3"/>
  <c r="C17" i="3"/>
  <c r="D17" i="3"/>
  <c r="E17" i="3"/>
  <c r="F17" i="3"/>
  <c r="G17" i="3"/>
  <c r="H17" i="3"/>
  <c r="I17" i="3"/>
  <c r="J17" i="3"/>
  <c r="K17" i="3"/>
  <c r="L17" i="3"/>
  <c r="M17" i="3"/>
  <c r="B18" i="3"/>
  <c r="C18" i="3"/>
  <c r="D18" i="3"/>
  <c r="E18" i="3"/>
  <c r="F18" i="3"/>
  <c r="G18" i="3"/>
  <c r="H18" i="3"/>
  <c r="I18" i="3"/>
  <c r="J18" i="3"/>
  <c r="K18" i="3"/>
  <c r="L18" i="3"/>
  <c r="M18" i="3"/>
  <c r="B19" i="3"/>
  <c r="C19" i="3"/>
  <c r="D19" i="3"/>
  <c r="E19" i="3"/>
  <c r="F19" i="3"/>
  <c r="G19" i="3"/>
  <c r="H19" i="3"/>
  <c r="I19" i="3"/>
  <c r="J19" i="3"/>
  <c r="K19" i="3"/>
  <c r="L19" i="3"/>
  <c r="M19" i="3"/>
  <c r="B20" i="3"/>
  <c r="C20" i="3"/>
  <c r="D20" i="3"/>
  <c r="E20" i="3"/>
  <c r="F20" i="3"/>
  <c r="G20" i="3"/>
  <c r="H20" i="3"/>
  <c r="I20" i="3"/>
  <c r="J20" i="3"/>
  <c r="K20" i="3"/>
  <c r="L20" i="3"/>
  <c r="M20" i="3"/>
  <c r="B21" i="3"/>
  <c r="C21" i="3"/>
  <c r="D21" i="3"/>
  <c r="E21" i="3"/>
  <c r="F21" i="3"/>
  <c r="G21" i="3"/>
  <c r="H21" i="3"/>
  <c r="I21" i="3"/>
  <c r="J21" i="3"/>
  <c r="K21" i="3"/>
  <c r="L21" i="3"/>
  <c r="M21" i="3"/>
  <c r="B22" i="3"/>
  <c r="C22" i="3"/>
  <c r="D22" i="3"/>
  <c r="E22" i="3"/>
  <c r="F22" i="3"/>
  <c r="G22" i="3"/>
  <c r="H22" i="3"/>
  <c r="I22" i="3"/>
  <c r="J22" i="3"/>
  <c r="K22" i="3"/>
  <c r="L22" i="3"/>
  <c r="M22" i="3"/>
  <c r="B23" i="3"/>
  <c r="C23" i="3"/>
  <c r="D23" i="3"/>
  <c r="E23" i="3"/>
  <c r="F23" i="3"/>
  <c r="G23" i="3"/>
  <c r="H23" i="3"/>
  <c r="I23" i="3"/>
  <c r="J23" i="3"/>
  <c r="K23" i="3"/>
  <c r="L23" i="3"/>
  <c r="M23" i="3"/>
  <c r="B24" i="3"/>
  <c r="C24" i="3"/>
  <c r="D24" i="3"/>
  <c r="E24" i="3"/>
  <c r="F24" i="3"/>
  <c r="G24" i="3"/>
  <c r="H24" i="3"/>
  <c r="I24" i="3"/>
  <c r="J24" i="3"/>
  <c r="K24" i="3"/>
  <c r="L24" i="3"/>
  <c r="M24" i="3"/>
  <c r="B25" i="3"/>
  <c r="C25" i="3"/>
  <c r="D25" i="3"/>
  <c r="E25" i="3"/>
  <c r="F25" i="3"/>
  <c r="G25" i="3"/>
  <c r="H25" i="3"/>
  <c r="I25" i="3"/>
  <c r="J25" i="3"/>
  <c r="K25" i="3"/>
  <c r="L25" i="3"/>
  <c r="M25" i="3"/>
  <c r="B26" i="3"/>
  <c r="C26" i="3"/>
  <c r="D26" i="3"/>
  <c r="E26" i="3"/>
  <c r="F26" i="3"/>
  <c r="G26" i="3"/>
  <c r="H26" i="3"/>
  <c r="I26" i="3"/>
  <c r="J26" i="3"/>
  <c r="K26" i="3"/>
  <c r="L26" i="3"/>
  <c r="M26" i="3"/>
  <c r="B27" i="3"/>
  <c r="C27" i="3"/>
  <c r="D27" i="3"/>
  <c r="E27" i="3"/>
  <c r="F27" i="3"/>
  <c r="G27" i="3"/>
  <c r="H27" i="3"/>
  <c r="I27" i="3"/>
  <c r="J27" i="3"/>
  <c r="K27" i="3"/>
  <c r="L27" i="3"/>
  <c r="M27" i="3"/>
  <c r="B28" i="3"/>
  <c r="C28" i="3"/>
  <c r="D28" i="3"/>
  <c r="E28" i="3"/>
  <c r="F28" i="3"/>
  <c r="G28" i="3"/>
  <c r="H28" i="3"/>
  <c r="I28" i="3"/>
  <c r="J28" i="3"/>
  <c r="K28" i="3"/>
  <c r="L28" i="3"/>
  <c r="M28" i="3"/>
  <c r="B29" i="3"/>
  <c r="C29" i="3"/>
  <c r="D29" i="3"/>
  <c r="E29" i="3"/>
  <c r="F29" i="3"/>
  <c r="G29" i="3"/>
  <c r="H29" i="3"/>
  <c r="I29" i="3"/>
  <c r="J29" i="3"/>
  <c r="K29" i="3"/>
  <c r="L29" i="3"/>
  <c r="M29" i="3"/>
  <c r="B30" i="3"/>
  <c r="C30" i="3"/>
  <c r="D30" i="3"/>
  <c r="E30" i="3"/>
  <c r="F30" i="3"/>
  <c r="G30" i="3"/>
  <c r="H30" i="3"/>
  <c r="I30" i="3"/>
  <c r="J30" i="3"/>
  <c r="K30" i="3"/>
  <c r="L30" i="3"/>
  <c r="M30" i="3"/>
  <c r="B31" i="3"/>
  <c r="C31" i="3"/>
  <c r="D31" i="3"/>
  <c r="E31" i="3"/>
  <c r="F31" i="3"/>
  <c r="G31" i="3"/>
  <c r="H31" i="3"/>
  <c r="I31" i="3"/>
  <c r="J31" i="3"/>
  <c r="K31" i="3"/>
  <c r="L31" i="3"/>
  <c r="M31" i="3"/>
  <c r="B32" i="3"/>
  <c r="C32" i="3"/>
  <c r="D32" i="3"/>
  <c r="E32" i="3"/>
  <c r="F32" i="3"/>
  <c r="G32" i="3"/>
  <c r="H32" i="3"/>
  <c r="I32" i="3"/>
  <c r="J32" i="3"/>
  <c r="K32" i="3"/>
  <c r="L32" i="3"/>
  <c r="M32" i="3"/>
  <c r="B33" i="3"/>
  <c r="C33" i="3"/>
  <c r="D33" i="3"/>
  <c r="E33" i="3"/>
  <c r="F33" i="3"/>
  <c r="G33" i="3"/>
  <c r="H33" i="3"/>
  <c r="I33" i="3"/>
  <c r="J33" i="3"/>
  <c r="K33" i="3"/>
  <c r="L33" i="3"/>
  <c r="M33" i="3"/>
  <c r="B34" i="3"/>
  <c r="C34" i="3"/>
  <c r="D34" i="3"/>
  <c r="E34" i="3"/>
  <c r="F34" i="3"/>
  <c r="G34" i="3"/>
  <c r="H34" i="3"/>
  <c r="I34" i="3"/>
  <c r="J34" i="3"/>
  <c r="K34" i="3"/>
  <c r="L34" i="3"/>
  <c r="M34" i="3"/>
  <c r="B35" i="3"/>
  <c r="C35" i="3"/>
  <c r="D35" i="3"/>
  <c r="E35" i="3"/>
  <c r="F35" i="3"/>
  <c r="G35" i="3"/>
  <c r="H35" i="3"/>
  <c r="I35" i="3"/>
  <c r="J35" i="3"/>
  <c r="K35" i="3"/>
  <c r="L35" i="3"/>
  <c r="M35" i="3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/>
  <c r="E38" i="3"/>
  <c r="F38" i="3"/>
  <c r="G38" i="3"/>
  <c r="H38" i="3"/>
  <c r="I38" i="3"/>
  <c r="J38" i="3"/>
  <c r="K38" i="3"/>
  <c r="L38" i="3"/>
  <c r="M38" i="3"/>
  <c r="B39" i="3"/>
  <c r="C39" i="3"/>
  <c r="D39" i="3"/>
  <c r="E39" i="3"/>
  <c r="F39" i="3"/>
  <c r="G39" i="3"/>
  <c r="H39" i="3"/>
  <c r="I39" i="3"/>
  <c r="J39" i="3"/>
  <c r="K39" i="3"/>
  <c r="L39" i="3"/>
  <c r="M39" i="3"/>
  <c r="B40" i="3"/>
  <c r="C40" i="3"/>
  <c r="D40" i="3"/>
  <c r="E40" i="3"/>
  <c r="F40" i="3"/>
  <c r="G40" i="3"/>
  <c r="H40" i="3"/>
  <c r="I40" i="3"/>
  <c r="J40" i="3"/>
  <c r="K40" i="3"/>
  <c r="L40" i="3"/>
  <c r="M40" i="3"/>
  <c r="B41" i="3"/>
  <c r="C41" i="3"/>
  <c r="D41" i="3"/>
  <c r="E41" i="3"/>
  <c r="F41" i="3"/>
  <c r="G41" i="3"/>
  <c r="H41" i="3"/>
  <c r="I41" i="3"/>
  <c r="J41" i="3"/>
  <c r="K41" i="3"/>
  <c r="L41" i="3"/>
  <c r="M41" i="3"/>
  <c r="B42" i="3"/>
  <c r="C42" i="3"/>
  <c r="D42" i="3"/>
  <c r="E42" i="3"/>
  <c r="F42" i="3"/>
  <c r="G42" i="3"/>
  <c r="H42" i="3"/>
  <c r="I42" i="3"/>
  <c r="J42" i="3"/>
  <c r="K42" i="3"/>
  <c r="L42" i="3"/>
  <c r="M42" i="3"/>
  <c r="B43" i="3"/>
  <c r="C43" i="3"/>
  <c r="D43" i="3"/>
  <c r="E43" i="3"/>
  <c r="F43" i="3"/>
  <c r="G43" i="3"/>
  <c r="H43" i="3"/>
  <c r="I43" i="3"/>
  <c r="J43" i="3"/>
  <c r="K43" i="3"/>
  <c r="L43" i="3"/>
  <c r="M43" i="3"/>
  <c r="B44" i="3"/>
  <c r="C44" i="3"/>
  <c r="D44" i="3"/>
  <c r="E44" i="3"/>
  <c r="F44" i="3"/>
  <c r="G44" i="3"/>
  <c r="H44" i="3"/>
  <c r="I44" i="3"/>
  <c r="J44" i="3"/>
  <c r="K44" i="3"/>
  <c r="L44" i="3"/>
  <c r="M44" i="3"/>
  <c r="B45" i="3"/>
  <c r="C45" i="3"/>
  <c r="D45" i="3"/>
  <c r="E45" i="3"/>
  <c r="F45" i="3"/>
  <c r="G45" i="3"/>
  <c r="H45" i="3"/>
  <c r="I45" i="3"/>
  <c r="J45" i="3"/>
  <c r="K45" i="3"/>
  <c r="L45" i="3"/>
  <c r="M45" i="3"/>
  <c r="B46" i="3"/>
  <c r="C46" i="3"/>
  <c r="D46" i="3"/>
  <c r="E46" i="3"/>
  <c r="F46" i="3"/>
  <c r="G46" i="3"/>
  <c r="H46" i="3"/>
  <c r="I46" i="3"/>
  <c r="J46" i="3"/>
  <c r="K46" i="3"/>
  <c r="L46" i="3"/>
  <c r="M46" i="3"/>
  <c r="B47" i="3"/>
  <c r="C47" i="3"/>
  <c r="D47" i="3"/>
  <c r="E47" i="3"/>
  <c r="F47" i="3"/>
  <c r="G47" i="3"/>
  <c r="H47" i="3"/>
  <c r="I47" i="3"/>
  <c r="J47" i="3"/>
  <c r="K47" i="3"/>
  <c r="L47" i="3"/>
  <c r="M47" i="3"/>
  <c r="B48" i="3"/>
  <c r="C48" i="3"/>
  <c r="D48" i="3"/>
  <c r="E48" i="3"/>
  <c r="F48" i="3"/>
  <c r="G48" i="3"/>
  <c r="H48" i="3"/>
  <c r="I48" i="3"/>
  <c r="J48" i="3"/>
  <c r="K48" i="3"/>
  <c r="L48" i="3"/>
  <c r="M48" i="3"/>
  <c r="B49" i="3"/>
  <c r="C49" i="3"/>
  <c r="D49" i="3"/>
  <c r="E49" i="3"/>
  <c r="F49" i="3"/>
  <c r="G49" i="3"/>
  <c r="H49" i="3"/>
  <c r="I49" i="3"/>
  <c r="J49" i="3"/>
  <c r="K49" i="3"/>
  <c r="L49" i="3"/>
  <c r="M49" i="3"/>
  <c r="B50" i="3"/>
  <c r="C50" i="3"/>
  <c r="D50" i="3"/>
  <c r="E50" i="3"/>
  <c r="F50" i="3"/>
  <c r="G50" i="3"/>
  <c r="H50" i="3"/>
  <c r="I50" i="3"/>
  <c r="J50" i="3"/>
  <c r="K50" i="3"/>
  <c r="L50" i="3"/>
  <c r="M50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/>
  <c r="G52" i="3"/>
  <c r="H52" i="3"/>
  <c r="I52" i="3"/>
  <c r="J52" i="3"/>
  <c r="K52" i="3"/>
  <c r="L52" i="3"/>
  <c r="M52" i="3"/>
  <c r="B53" i="3"/>
  <c r="C53" i="3"/>
  <c r="D53" i="3"/>
  <c r="E53" i="3"/>
  <c r="F53" i="3"/>
  <c r="G53" i="3"/>
  <c r="H53" i="3"/>
  <c r="I53" i="3"/>
  <c r="J53" i="3"/>
  <c r="K53" i="3"/>
  <c r="L53" i="3"/>
  <c r="M53" i="3"/>
  <c r="B54" i="3"/>
  <c r="C54" i="3"/>
  <c r="D54" i="3"/>
  <c r="E54" i="3"/>
  <c r="F54" i="3"/>
  <c r="G54" i="3"/>
  <c r="H54" i="3"/>
  <c r="I54" i="3"/>
  <c r="J54" i="3"/>
  <c r="K54" i="3"/>
  <c r="L54" i="3"/>
  <c r="M54" i="3"/>
  <c r="B55" i="3"/>
  <c r="C55" i="3"/>
  <c r="D55" i="3"/>
  <c r="E55" i="3"/>
  <c r="F55" i="3"/>
  <c r="G55" i="3"/>
  <c r="H55" i="3"/>
  <c r="I55" i="3"/>
  <c r="J55" i="3"/>
  <c r="K55" i="3"/>
  <c r="L55" i="3"/>
  <c r="M55" i="3"/>
  <c r="B56" i="3"/>
  <c r="C56" i="3"/>
  <c r="D56" i="3"/>
  <c r="E56" i="3"/>
  <c r="F56" i="3"/>
  <c r="G56" i="3"/>
  <c r="H56" i="3"/>
  <c r="I56" i="3"/>
  <c r="J56" i="3"/>
  <c r="K56" i="3"/>
  <c r="L56" i="3"/>
  <c r="M56" i="3"/>
  <c r="B57" i="3"/>
  <c r="C57" i="3"/>
  <c r="D57" i="3"/>
  <c r="E57" i="3"/>
  <c r="F57" i="3"/>
  <c r="G57" i="3"/>
  <c r="H57" i="3"/>
  <c r="I57" i="3"/>
  <c r="J57" i="3"/>
  <c r="K57" i="3"/>
  <c r="L57" i="3"/>
  <c r="M57" i="3"/>
  <c r="B58" i="3"/>
  <c r="C58" i="3"/>
  <c r="D58" i="3"/>
  <c r="E58" i="3"/>
  <c r="F58" i="3"/>
  <c r="G58" i="3"/>
  <c r="H58" i="3"/>
  <c r="I58" i="3"/>
  <c r="J58" i="3"/>
  <c r="K58" i="3"/>
  <c r="L58" i="3"/>
  <c r="M58" i="3"/>
  <c r="B59" i="3"/>
  <c r="C59" i="3"/>
  <c r="D59" i="3"/>
  <c r="E59" i="3"/>
  <c r="F59" i="3"/>
  <c r="G59" i="3"/>
  <c r="H59" i="3"/>
  <c r="I59" i="3"/>
  <c r="J59" i="3"/>
  <c r="K59" i="3"/>
  <c r="L59" i="3"/>
  <c r="M59" i="3"/>
  <c r="B60" i="3"/>
  <c r="C60" i="3"/>
  <c r="D60" i="3"/>
  <c r="E60" i="3"/>
  <c r="F60" i="3"/>
  <c r="G60" i="3"/>
  <c r="H60" i="3"/>
  <c r="I60" i="3"/>
  <c r="J60" i="3"/>
  <c r="K60" i="3"/>
  <c r="L60" i="3"/>
  <c r="M60" i="3"/>
  <c r="B61" i="3"/>
  <c r="C61" i="3"/>
  <c r="D61" i="3"/>
  <c r="E61" i="3"/>
  <c r="F61" i="3"/>
  <c r="G61" i="3"/>
  <c r="H61" i="3"/>
  <c r="I61" i="3"/>
  <c r="J61" i="3"/>
  <c r="K61" i="3"/>
  <c r="L61" i="3"/>
  <c r="M61" i="3"/>
  <c r="B62" i="3"/>
  <c r="C62" i="3"/>
  <c r="D62" i="3"/>
  <c r="E62" i="3"/>
  <c r="F62" i="3"/>
  <c r="G62" i="3"/>
  <c r="H62" i="3"/>
  <c r="I62" i="3"/>
  <c r="J62" i="3"/>
  <c r="K62" i="3"/>
  <c r="L62" i="3"/>
  <c r="M62" i="3"/>
  <c r="B63" i="3"/>
  <c r="C63" i="3"/>
  <c r="D63" i="3"/>
  <c r="E63" i="3"/>
  <c r="F63" i="3"/>
  <c r="G63" i="3"/>
  <c r="H63" i="3"/>
  <c r="I63" i="3"/>
  <c r="J63" i="3"/>
  <c r="K63" i="3"/>
  <c r="L63" i="3"/>
  <c r="M63" i="3"/>
  <c r="B64" i="3"/>
  <c r="C64" i="3"/>
  <c r="D64" i="3"/>
  <c r="E64" i="3"/>
  <c r="F64" i="3"/>
  <c r="G64" i="3"/>
  <c r="H64" i="3"/>
  <c r="I64" i="3"/>
  <c r="J64" i="3"/>
  <c r="K64" i="3"/>
  <c r="L64" i="3"/>
  <c r="M64" i="3"/>
  <c r="B65" i="3"/>
  <c r="C65" i="3"/>
  <c r="D65" i="3"/>
  <c r="E65" i="3"/>
  <c r="F65" i="3"/>
  <c r="G65" i="3"/>
  <c r="H65" i="3"/>
  <c r="I65" i="3"/>
  <c r="J65" i="3"/>
  <c r="AB14" i="3" s="1"/>
  <c r="K65" i="3"/>
  <c r="AC14" i="3" s="1"/>
  <c r="L65" i="3"/>
  <c r="AD12" i="3" s="1"/>
  <c r="M65" i="3"/>
  <c r="B66" i="3"/>
  <c r="C66" i="3"/>
  <c r="D66" i="3"/>
  <c r="P66" i="3" s="1"/>
  <c r="E66" i="3"/>
  <c r="F66" i="3"/>
  <c r="X13" i="3" s="1"/>
  <c r="G66" i="3"/>
  <c r="H66" i="3"/>
  <c r="Q66" i="3" s="1"/>
  <c r="I66" i="3"/>
  <c r="J66" i="3"/>
  <c r="K66" i="3"/>
  <c r="L66" i="3"/>
  <c r="M66" i="3"/>
  <c r="AE12" i="3" s="1"/>
  <c r="B67" i="3"/>
  <c r="P67" i="3" s="1"/>
  <c r="C67" i="3"/>
  <c r="U12" i="3" s="1"/>
  <c r="D67" i="3"/>
  <c r="E67" i="3"/>
  <c r="F67" i="3"/>
  <c r="G67" i="3"/>
  <c r="H67" i="3"/>
  <c r="I67" i="3"/>
  <c r="J67" i="3"/>
  <c r="K67" i="3"/>
  <c r="L67" i="3"/>
  <c r="M67" i="3"/>
  <c r="B68" i="3"/>
  <c r="C68" i="3"/>
  <c r="D68" i="3"/>
  <c r="E68" i="3"/>
  <c r="W13" i="3" s="1"/>
  <c r="F68" i="3"/>
  <c r="G68" i="3"/>
  <c r="Y13" i="3" s="1"/>
  <c r="H68" i="3"/>
  <c r="Q68" i="3" s="1"/>
  <c r="I68" i="3"/>
  <c r="AA13" i="3" s="1"/>
  <c r="J68" i="3"/>
  <c r="K68" i="3"/>
  <c r="L68" i="3"/>
  <c r="M68" i="3"/>
  <c r="B69" i="3"/>
  <c r="C69" i="3"/>
  <c r="D69" i="3"/>
  <c r="E69" i="3"/>
  <c r="F69" i="3"/>
  <c r="G69" i="3"/>
  <c r="H69" i="3"/>
  <c r="Q69" i="3" s="1"/>
  <c r="I69" i="3"/>
  <c r="J69" i="3"/>
  <c r="K69" i="3"/>
  <c r="L69" i="3"/>
  <c r="M69" i="3"/>
  <c r="AE11" i="9"/>
  <c r="AF11" i="9" s="1"/>
  <c r="AN8" i="9"/>
  <c r="AO8" i="9" s="1"/>
  <c r="AL8" i="9"/>
  <c r="AM8" i="9" s="1"/>
  <c r="AJ8" i="9"/>
  <c r="AN7" i="9"/>
  <c r="AO7" i="9" s="1"/>
  <c r="AL7" i="9"/>
  <c r="AM7" i="9" s="1"/>
  <c r="AJ7" i="9"/>
  <c r="AI2" i="9"/>
  <c r="AG2" i="9"/>
  <c r="AF2" i="9"/>
  <c r="AE2" i="9"/>
  <c r="AD2" i="9"/>
  <c r="AC2" i="9"/>
  <c r="AB2" i="9"/>
  <c r="AA2" i="9"/>
  <c r="Z2" i="9"/>
  <c r="W2" i="9"/>
  <c r="AG15" i="9" s="1"/>
  <c r="AH15" i="9" s="1"/>
  <c r="V2" i="9"/>
  <c r="X2" i="9" s="1"/>
  <c r="AG17" i="9" s="1"/>
  <c r="AH17" i="9" s="1"/>
  <c r="S2" i="9"/>
  <c r="U2" i="9" s="1"/>
  <c r="AE17" i="9" s="1"/>
  <c r="AF17" i="9" s="1"/>
  <c r="R2" i="9"/>
  <c r="AC17" i="9" s="1"/>
  <c r="Q2" i="9"/>
  <c r="AG11" i="9" s="1"/>
  <c r="AH11" i="9" s="1"/>
  <c r="P2" i="9"/>
  <c r="AE18" i="9" s="1"/>
  <c r="AF18" i="9" s="1"/>
  <c r="M2" i="9"/>
  <c r="AH2" i="9" s="1"/>
  <c r="L2" i="9"/>
  <c r="AK1" i="9"/>
  <c r="AJ1" i="9"/>
  <c r="AI1" i="9"/>
  <c r="AH1" i="9"/>
  <c r="AE11" i="8"/>
  <c r="AF11" i="8" s="1"/>
  <c r="AG9" i="8"/>
  <c r="AN8" i="8"/>
  <c r="AO8" i="8" s="1"/>
  <c r="AL8" i="8"/>
  <c r="AM8" i="8" s="1"/>
  <c r="AJ8" i="8"/>
  <c r="AG8" i="8"/>
  <c r="AN7" i="8"/>
  <c r="AO7" i="8" s="1"/>
  <c r="AL7" i="8"/>
  <c r="AM7" i="8" s="1"/>
  <c r="AJ7" i="8"/>
  <c r="AG7" i="8"/>
  <c r="AG2" i="8"/>
  <c r="AF2" i="8"/>
  <c r="AE2" i="8"/>
  <c r="AD2" i="8"/>
  <c r="AC2" i="8"/>
  <c r="AB2" i="8"/>
  <c r="AA2" i="8"/>
  <c r="Z2" i="8"/>
  <c r="W2" i="8"/>
  <c r="AG15" i="8" s="1"/>
  <c r="AH15" i="8" s="1"/>
  <c r="V2" i="8"/>
  <c r="X2" i="8" s="1"/>
  <c r="AG17" i="8" s="1"/>
  <c r="AH17" i="8" s="1"/>
  <c r="U2" i="8"/>
  <c r="AE17" i="8" s="1"/>
  <c r="AF17" i="8" s="1"/>
  <c r="S2" i="8"/>
  <c r="T2" i="8" s="1"/>
  <c r="Q2" i="8"/>
  <c r="AG11" i="8" s="1"/>
  <c r="AH11" i="8" s="1"/>
  <c r="P2" i="8"/>
  <c r="AI2" i="8" s="1"/>
  <c r="M2" i="8"/>
  <c r="AH2" i="8" s="1"/>
  <c r="L2" i="8"/>
  <c r="AK1" i="8"/>
  <c r="AJ1" i="8"/>
  <c r="AI1" i="8"/>
  <c r="AH1" i="8"/>
  <c r="AE18" i="7"/>
  <c r="AF18" i="7" s="1"/>
  <c r="AG14" i="7"/>
  <c r="AE11" i="7"/>
  <c r="AF11" i="7" s="1"/>
  <c r="AG10" i="7"/>
  <c r="AN8" i="7"/>
  <c r="AO8" i="7" s="1"/>
  <c r="AL8" i="7"/>
  <c r="AM8" i="7" s="1"/>
  <c r="AJ8" i="7"/>
  <c r="AN7" i="7"/>
  <c r="AO7" i="7" s="1"/>
  <c r="AL7" i="7"/>
  <c r="AM7" i="7" s="1"/>
  <c r="AJ7" i="7"/>
  <c r="AP7" i="7" s="1"/>
  <c r="AG2" i="7"/>
  <c r="AF2" i="7"/>
  <c r="AE2" i="7"/>
  <c r="AD2" i="7"/>
  <c r="AC2" i="7"/>
  <c r="AB2" i="7"/>
  <c r="AA2" i="7"/>
  <c r="Z2" i="7"/>
  <c r="W2" i="7"/>
  <c r="AG15" i="7" s="1"/>
  <c r="AH15" i="7" s="1"/>
  <c r="V2" i="7"/>
  <c r="X2" i="7" s="1"/>
  <c r="S2" i="7"/>
  <c r="AJ2" i="7" s="1"/>
  <c r="Q2" i="7"/>
  <c r="AG11" i="7" s="1"/>
  <c r="AH11" i="7" s="1"/>
  <c r="P2" i="7"/>
  <c r="AI2" i="7" s="1"/>
  <c r="M2" i="7"/>
  <c r="AH2" i="7" s="1"/>
  <c r="L2" i="7"/>
  <c r="AK1" i="7"/>
  <c r="AJ1" i="7"/>
  <c r="AI1" i="7"/>
  <c r="AH1" i="7"/>
  <c r="AN8" i="6"/>
  <c r="AO8" i="6" s="1"/>
  <c r="AL8" i="6"/>
  <c r="AM8" i="6" s="1"/>
  <c r="AJ8" i="6"/>
  <c r="AN7" i="6"/>
  <c r="AO7" i="6" s="1"/>
  <c r="AL7" i="6"/>
  <c r="AM7" i="6" s="1"/>
  <c r="AJ7" i="6"/>
  <c r="AG2" i="6"/>
  <c r="AF2" i="6"/>
  <c r="AE2" i="6"/>
  <c r="AD2" i="6"/>
  <c r="AC2" i="6"/>
  <c r="AB2" i="6"/>
  <c r="AA2" i="6"/>
  <c r="Z2" i="6"/>
  <c r="W2" i="6"/>
  <c r="AG15" i="6" s="1"/>
  <c r="AH15" i="6" s="1"/>
  <c r="V2" i="6"/>
  <c r="X2" i="6" s="1"/>
  <c r="AG17" i="6" s="1"/>
  <c r="U2" i="6"/>
  <c r="AE17" i="6" s="1"/>
  <c r="S2" i="6"/>
  <c r="T2" i="6" s="1"/>
  <c r="Q2" i="6"/>
  <c r="AG11" i="6" s="1"/>
  <c r="AH11" i="6" s="1"/>
  <c r="P2" i="6"/>
  <c r="AE11" i="6" s="1"/>
  <c r="AF11" i="6" s="1"/>
  <c r="M2" i="6"/>
  <c r="N2" i="6" s="1"/>
  <c r="L2" i="6"/>
  <c r="AK1" i="6"/>
  <c r="AJ1" i="6"/>
  <c r="AI1" i="6"/>
  <c r="AH1" i="6"/>
  <c r="AC14" i="5"/>
  <c r="AE11" i="5"/>
  <c r="AF11" i="5" s="1"/>
  <c r="AC10" i="5"/>
  <c r="AN8" i="5"/>
  <c r="AO8" i="5" s="1"/>
  <c r="AL8" i="5"/>
  <c r="AM8" i="5" s="1"/>
  <c r="AJ8" i="5"/>
  <c r="AN7" i="5"/>
  <c r="AO7" i="5" s="1"/>
  <c r="AL7" i="5"/>
  <c r="AM7" i="5" s="1"/>
  <c r="AJ7" i="5"/>
  <c r="AK7" i="5" s="1"/>
  <c r="AG2" i="5"/>
  <c r="AF2" i="5"/>
  <c r="AE2" i="5"/>
  <c r="AD2" i="5"/>
  <c r="AC2" i="5"/>
  <c r="AB2" i="5"/>
  <c r="AA2" i="5"/>
  <c r="Z2" i="5"/>
  <c r="W2" i="5"/>
  <c r="AG15" i="5" s="1"/>
  <c r="AH15" i="5" s="1"/>
  <c r="V2" i="5"/>
  <c r="X2" i="5" s="1"/>
  <c r="AG17" i="5" s="1"/>
  <c r="AH17" i="5" s="1"/>
  <c r="U2" i="5"/>
  <c r="AE17" i="5" s="1"/>
  <c r="AF17" i="5" s="1"/>
  <c r="S2" i="5"/>
  <c r="T2" i="5" s="1"/>
  <c r="Q2" i="5"/>
  <c r="AG11" i="5" s="1"/>
  <c r="AH11" i="5" s="1"/>
  <c r="P2" i="5"/>
  <c r="AI2" i="5" s="1"/>
  <c r="M2" i="5"/>
  <c r="O2" i="5" s="1"/>
  <c r="L2" i="5"/>
  <c r="AK1" i="5"/>
  <c r="AJ1" i="5"/>
  <c r="AI1" i="5"/>
  <c r="AH1" i="5"/>
  <c r="AN8" i="4"/>
  <c r="AO8" i="4" s="1"/>
  <c r="AL8" i="4"/>
  <c r="AM8" i="4" s="1"/>
  <c r="AJ8" i="4"/>
  <c r="AN7" i="4"/>
  <c r="AO7" i="4" s="1"/>
  <c r="AL7" i="4"/>
  <c r="AM7" i="4" s="1"/>
  <c r="AJ7" i="4"/>
  <c r="AG2" i="4"/>
  <c r="AF2" i="4"/>
  <c r="AE2" i="4"/>
  <c r="AD2" i="4"/>
  <c r="AC2" i="4"/>
  <c r="AB2" i="4"/>
  <c r="AA2" i="4"/>
  <c r="Z2" i="4"/>
  <c r="W2" i="4"/>
  <c r="AG15" i="4" s="1"/>
  <c r="AH15" i="4" s="1"/>
  <c r="V2" i="4"/>
  <c r="X2" i="4" s="1"/>
  <c r="AG17" i="4" s="1"/>
  <c r="AH17" i="4" s="1"/>
  <c r="U2" i="4"/>
  <c r="AE17" i="4" s="1"/>
  <c r="T2" i="4"/>
  <c r="AE15" i="4" s="1"/>
  <c r="AF15" i="4" s="1"/>
  <c r="S2" i="4"/>
  <c r="AJ2" i="4" s="1"/>
  <c r="Q2" i="4"/>
  <c r="AG11" i="4" s="1"/>
  <c r="AH11" i="4" s="1"/>
  <c r="P2" i="4"/>
  <c r="AE11" i="4" s="1"/>
  <c r="AF11" i="4" s="1"/>
  <c r="M2" i="4"/>
  <c r="AH2" i="4" s="1"/>
  <c r="L2" i="4"/>
  <c r="AK1" i="4"/>
  <c r="AJ1" i="4"/>
  <c r="AI1" i="4"/>
  <c r="AH1" i="4"/>
  <c r="P69" i="3"/>
  <c r="P68" i="3"/>
  <c r="Q67" i="3"/>
  <c r="P65" i="3"/>
  <c r="Q64" i="3"/>
  <c r="P64" i="3"/>
  <c r="Q63" i="3"/>
  <c r="P63" i="3"/>
  <c r="Q62" i="3"/>
  <c r="P62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O23" i="3"/>
  <c r="Q23" i="3"/>
  <c r="P23" i="3"/>
  <c r="Q22" i="3"/>
  <c r="P22" i="3"/>
  <c r="Q21" i="3"/>
  <c r="P21" i="3"/>
  <c r="Q20" i="3"/>
  <c r="P20" i="3"/>
  <c r="Q19" i="3"/>
  <c r="P19" i="3"/>
  <c r="Q18" i="3"/>
  <c r="P18" i="3"/>
  <c r="O17" i="3"/>
  <c r="Q17" i="3"/>
  <c r="P17" i="3"/>
  <c r="Q16" i="3"/>
  <c r="P16" i="3"/>
  <c r="O16" i="3"/>
  <c r="Q15" i="3"/>
  <c r="P15" i="3"/>
  <c r="O15" i="3"/>
  <c r="Q14" i="3"/>
  <c r="P14" i="3"/>
  <c r="Q13" i="3"/>
  <c r="Q12" i="3"/>
  <c r="O12" i="3"/>
  <c r="P12" i="3"/>
  <c r="Q11" i="3"/>
  <c r="O11" i="3"/>
  <c r="P11" i="3"/>
  <c r="Q10" i="3"/>
  <c r="O10" i="3"/>
  <c r="P10" i="3"/>
  <c r="Q9" i="3"/>
  <c r="P9" i="3"/>
  <c r="O9" i="3"/>
  <c r="Q8" i="3"/>
  <c r="P8" i="3"/>
  <c r="O8" i="3"/>
  <c r="Q7" i="3"/>
  <c r="O7" i="3"/>
  <c r="Q6" i="3"/>
  <c r="O6" i="3"/>
  <c r="Q5" i="3"/>
  <c r="P5" i="3"/>
  <c r="Q4" i="3"/>
  <c r="P4" i="3"/>
  <c r="AA14" i="3"/>
  <c r="Q3" i="3"/>
  <c r="AD19" i="1"/>
  <c r="AG18" i="1"/>
  <c r="AH18" i="1" s="1"/>
  <c r="AE18" i="1"/>
  <c r="AC18" i="1"/>
  <c r="AA18" i="1"/>
  <c r="AB18" i="1" s="1"/>
  <c r="AG17" i="1"/>
  <c r="AH17" i="1" s="1"/>
  <c r="AE17" i="1"/>
  <c r="AF17" i="1" s="1"/>
  <c r="AC17" i="1"/>
  <c r="AD17" i="1" s="1"/>
  <c r="AA17" i="1"/>
  <c r="AB17" i="1" s="1"/>
  <c r="AG16" i="1"/>
  <c r="AH16" i="1" s="1"/>
  <c r="AE16" i="1"/>
  <c r="AF16" i="1" s="1"/>
  <c r="AC16" i="1"/>
  <c r="AD16" i="1" s="1"/>
  <c r="AA16" i="1"/>
  <c r="AB16" i="1" s="1"/>
  <c r="AG15" i="1"/>
  <c r="AH15" i="1" s="1"/>
  <c r="AE15" i="1"/>
  <c r="AF15" i="1" s="1"/>
  <c r="AC15" i="1"/>
  <c r="AD15" i="1" s="1"/>
  <c r="AA15" i="1"/>
  <c r="AB15" i="1" s="1"/>
  <c r="AG14" i="1"/>
  <c r="AH14" i="1" s="1"/>
  <c r="AE14" i="1"/>
  <c r="AF14" i="1" s="1"/>
  <c r="AC14" i="1"/>
  <c r="AD14" i="1" s="1"/>
  <c r="AA14" i="1"/>
  <c r="AB14" i="1" s="1"/>
  <c r="AG11" i="1"/>
  <c r="AH11" i="1" s="1"/>
  <c r="AE11" i="1"/>
  <c r="AF11" i="1" s="1"/>
  <c r="AC11" i="1"/>
  <c r="AD11" i="1" s="1"/>
  <c r="AA11" i="1"/>
  <c r="AB11" i="1" s="1"/>
  <c r="AG10" i="1"/>
  <c r="AH10" i="1" s="1"/>
  <c r="AE10" i="1"/>
  <c r="AF10" i="1" s="1"/>
  <c r="AC10" i="1"/>
  <c r="AD10" i="1" s="1"/>
  <c r="AA10" i="1"/>
  <c r="AB10" i="1" s="1"/>
  <c r="AG9" i="1"/>
  <c r="AH9" i="1" s="1"/>
  <c r="AE9" i="1"/>
  <c r="AF9" i="1" s="1"/>
  <c r="AC9" i="1"/>
  <c r="AD9" i="1" s="1"/>
  <c r="AA9" i="1"/>
  <c r="AB9" i="1" s="1"/>
  <c r="AN8" i="1"/>
  <c r="AO8" i="1" s="1"/>
  <c r="AL8" i="1"/>
  <c r="AM8" i="1" s="1"/>
  <c r="AJ8" i="1"/>
  <c r="AP8" i="1" s="1"/>
  <c r="AG8" i="1"/>
  <c r="AE8" i="1"/>
  <c r="AF8" i="1" s="1"/>
  <c r="AC8" i="1"/>
  <c r="AA8" i="1"/>
  <c r="AB8" i="1" s="1"/>
  <c r="AN7" i="1"/>
  <c r="AO7" i="1" s="1"/>
  <c r="AL7" i="1"/>
  <c r="AM7" i="1" s="1"/>
  <c r="AJ7" i="1"/>
  <c r="AP7" i="1" s="1"/>
  <c r="AG7" i="1"/>
  <c r="AE7" i="1"/>
  <c r="AF7" i="1" s="1"/>
  <c r="AC7" i="1"/>
  <c r="AA7" i="1"/>
  <c r="AB7" i="1" s="1"/>
  <c r="N3" i="11" l="1"/>
  <c r="AE14" i="3"/>
  <c r="V14" i="3"/>
  <c r="X14" i="3"/>
  <c r="V13" i="3"/>
  <c r="Q65" i="3"/>
  <c r="T12" i="3"/>
  <c r="N2" i="9"/>
  <c r="AK7" i="9"/>
  <c r="AQ7" i="9" s="1"/>
  <c r="AK8" i="9"/>
  <c r="AQ8" i="9" s="1"/>
  <c r="O2" i="9"/>
  <c r="AC10" i="9"/>
  <c r="AC14" i="9"/>
  <c r="AC16" i="9"/>
  <c r="AJ2" i="9"/>
  <c r="AP7" i="9"/>
  <c r="AP8" i="9"/>
  <c r="AG10" i="9"/>
  <c r="AH10" i="9" s="1"/>
  <c r="AG14" i="9"/>
  <c r="AH14" i="9" s="1"/>
  <c r="AG16" i="9"/>
  <c r="AH16" i="9" s="1"/>
  <c r="AG18" i="9"/>
  <c r="AH18" i="9" s="1"/>
  <c r="T2" i="9"/>
  <c r="AK2" i="9"/>
  <c r="AD19" i="9"/>
  <c r="AC7" i="9"/>
  <c r="AC8" i="9"/>
  <c r="AC9" i="9"/>
  <c r="AC15" i="9"/>
  <c r="AG7" i="9"/>
  <c r="AG8" i="9"/>
  <c r="AG9" i="9"/>
  <c r="AH9" i="9" s="1"/>
  <c r="AE15" i="8"/>
  <c r="AF15" i="8" s="1"/>
  <c r="AE9" i="8"/>
  <c r="AF9" i="8" s="1"/>
  <c r="AE8" i="8"/>
  <c r="AF8" i="8" s="1"/>
  <c r="AE7" i="8"/>
  <c r="AF7" i="8" s="1"/>
  <c r="AE16" i="8"/>
  <c r="AF16" i="8" s="1"/>
  <c r="AE14" i="8"/>
  <c r="AF14" i="8" s="1"/>
  <c r="AE10" i="8"/>
  <c r="AF10" i="8" s="1"/>
  <c r="Z27" i="8"/>
  <c r="AH9" i="8"/>
  <c r="AH7" i="8"/>
  <c r="Z34" i="8" s="1"/>
  <c r="AH8" i="8"/>
  <c r="Z35" i="8" s="1"/>
  <c r="N2" i="8"/>
  <c r="AK7" i="8"/>
  <c r="AQ7" i="8" s="1"/>
  <c r="AK8" i="8"/>
  <c r="AQ8" i="8" s="1"/>
  <c r="O2" i="8"/>
  <c r="AC10" i="8"/>
  <c r="AC14" i="8"/>
  <c r="AE18" i="8"/>
  <c r="AF18" i="8" s="1"/>
  <c r="R2" i="8"/>
  <c r="AC17" i="8" s="1"/>
  <c r="AJ2" i="8"/>
  <c r="AP7" i="8"/>
  <c r="AP8" i="8"/>
  <c r="AG10" i="8"/>
  <c r="AH10" i="8" s="1"/>
  <c r="AG14" i="8"/>
  <c r="AH14" i="8" s="1"/>
  <c r="AG16" i="8"/>
  <c r="AH16" i="8" s="1"/>
  <c r="AG18" i="8"/>
  <c r="AH18" i="8" s="1"/>
  <c r="AK2" i="8"/>
  <c r="AD19" i="8"/>
  <c r="AC7" i="8"/>
  <c r="AC8" i="8"/>
  <c r="AC9" i="8"/>
  <c r="AC15" i="8"/>
  <c r="AG17" i="7"/>
  <c r="AH17" i="7" s="1"/>
  <c r="AG16" i="7"/>
  <c r="AH16" i="7" s="1"/>
  <c r="AH10" i="7"/>
  <c r="AH14" i="7"/>
  <c r="AP8" i="7"/>
  <c r="N2" i="7"/>
  <c r="AK7" i="7"/>
  <c r="AQ7" i="7" s="1"/>
  <c r="O2" i="7"/>
  <c r="AC10" i="7"/>
  <c r="AC14" i="7"/>
  <c r="AC16" i="7"/>
  <c r="AK8" i="7"/>
  <c r="AQ8" i="7" s="1"/>
  <c r="R2" i="7"/>
  <c r="AC17" i="7" s="1"/>
  <c r="AG18" i="7"/>
  <c r="AH18" i="7" s="1"/>
  <c r="T2" i="7"/>
  <c r="AK2" i="7"/>
  <c r="U2" i="7"/>
  <c r="AE17" i="7" s="1"/>
  <c r="AF17" i="7" s="1"/>
  <c r="AD19" i="7"/>
  <c r="AC7" i="7"/>
  <c r="AC8" i="7"/>
  <c r="AC9" i="7"/>
  <c r="AC15" i="7"/>
  <c r="AG7" i="7"/>
  <c r="AG8" i="7"/>
  <c r="AG9" i="7"/>
  <c r="AH9" i="7" s="1"/>
  <c r="AH17" i="6"/>
  <c r="AA18" i="6"/>
  <c r="AA15" i="6"/>
  <c r="AB15" i="6" s="1"/>
  <c r="AA11" i="6"/>
  <c r="AB11" i="6" s="1"/>
  <c r="AA9" i="6"/>
  <c r="AB9" i="6" s="1"/>
  <c r="AA8" i="6"/>
  <c r="AB8" i="6" s="1"/>
  <c r="AA7" i="6"/>
  <c r="AB7" i="6" s="1"/>
  <c r="AA14" i="6"/>
  <c r="AB14" i="6" s="1"/>
  <c r="AA10" i="6"/>
  <c r="AB10" i="6" s="1"/>
  <c r="AE15" i="6"/>
  <c r="AF15" i="6" s="1"/>
  <c r="AE9" i="6"/>
  <c r="AF9" i="6" s="1"/>
  <c r="AE8" i="6"/>
  <c r="AF8" i="6" s="1"/>
  <c r="AE7" i="6"/>
  <c r="AF7" i="6" s="1"/>
  <c r="AE16" i="6"/>
  <c r="AF16" i="6" s="1"/>
  <c r="AE14" i="6"/>
  <c r="AF14" i="6" s="1"/>
  <c r="AE10" i="6"/>
  <c r="AF10" i="6" s="1"/>
  <c r="AF17" i="6"/>
  <c r="O2" i="6"/>
  <c r="AC10" i="6"/>
  <c r="AC14" i="6"/>
  <c r="AC16" i="6"/>
  <c r="AH2" i="6"/>
  <c r="AE18" i="6"/>
  <c r="AF18" i="6" s="1"/>
  <c r="R2" i="6"/>
  <c r="AC17" i="6" s="1"/>
  <c r="AI2" i="6"/>
  <c r="AK7" i="6"/>
  <c r="AQ7" i="6" s="1"/>
  <c r="AJ2" i="6"/>
  <c r="AP7" i="6"/>
  <c r="AP8" i="6"/>
  <c r="AG10" i="6"/>
  <c r="AH10" i="6" s="1"/>
  <c r="AG14" i="6"/>
  <c r="AH14" i="6" s="1"/>
  <c r="AG16" i="6"/>
  <c r="AH16" i="6" s="1"/>
  <c r="AG18" i="6"/>
  <c r="AH18" i="6" s="1"/>
  <c r="AK8" i="6"/>
  <c r="AQ8" i="6" s="1"/>
  <c r="AK2" i="6"/>
  <c r="AD19" i="6"/>
  <c r="AC7" i="6"/>
  <c r="AC8" i="6"/>
  <c r="AC9" i="6"/>
  <c r="AC15" i="6"/>
  <c r="AG7" i="6"/>
  <c r="AG8" i="6"/>
  <c r="AG9" i="6"/>
  <c r="AH9" i="6" s="1"/>
  <c r="AQ7" i="5"/>
  <c r="AC11" i="5"/>
  <c r="AD11" i="5" s="1"/>
  <c r="AA17" i="5"/>
  <c r="AC18" i="5"/>
  <c r="AD18" i="5" s="1"/>
  <c r="AE15" i="5"/>
  <c r="AF15" i="5" s="1"/>
  <c r="AE9" i="5"/>
  <c r="AF9" i="5" s="1"/>
  <c r="AE8" i="5"/>
  <c r="AF8" i="5" s="1"/>
  <c r="AE7" i="5"/>
  <c r="AF7" i="5" s="1"/>
  <c r="AE16" i="5"/>
  <c r="AF16" i="5" s="1"/>
  <c r="AE14" i="5"/>
  <c r="AF14" i="5" s="1"/>
  <c r="AE10" i="5"/>
  <c r="AF10" i="5" s="1"/>
  <c r="AD10" i="5"/>
  <c r="AD14" i="5"/>
  <c r="AK8" i="5"/>
  <c r="AQ8" i="5" s="1"/>
  <c r="AH2" i="5"/>
  <c r="AE18" i="5"/>
  <c r="AF18" i="5" s="1"/>
  <c r="R2" i="5"/>
  <c r="AJ2" i="5"/>
  <c r="AP7" i="5"/>
  <c r="AP8" i="5"/>
  <c r="AG10" i="5"/>
  <c r="AH10" i="5" s="1"/>
  <c r="AG14" i="5"/>
  <c r="AH14" i="5" s="1"/>
  <c r="AG16" i="5"/>
  <c r="AH16" i="5" s="1"/>
  <c r="AG18" i="5"/>
  <c r="AH18" i="5" s="1"/>
  <c r="N2" i="5"/>
  <c r="AK2" i="5"/>
  <c r="AD19" i="5"/>
  <c r="Z26" i="5"/>
  <c r="AC7" i="5"/>
  <c r="AC8" i="5"/>
  <c r="AC9" i="5"/>
  <c r="AD9" i="5" s="1"/>
  <c r="AC15" i="5"/>
  <c r="AD15" i="5" s="1"/>
  <c r="AG7" i="5"/>
  <c r="AG8" i="5"/>
  <c r="AG9" i="5"/>
  <c r="AH9" i="5" s="1"/>
  <c r="AF17" i="4"/>
  <c r="N2" i="4"/>
  <c r="AK7" i="4"/>
  <c r="AQ7" i="4" s="1"/>
  <c r="AK8" i="4"/>
  <c r="AQ8" i="4" s="1"/>
  <c r="O2" i="4"/>
  <c r="AC10" i="4"/>
  <c r="AC14" i="4"/>
  <c r="AE10" i="4"/>
  <c r="AF10" i="4" s="1"/>
  <c r="AE14" i="4"/>
  <c r="AF14" i="4" s="1"/>
  <c r="AE16" i="4"/>
  <c r="AF16" i="4" s="1"/>
  <c r="AE18" i="4"/>
  <c r="AF18" i="4" s="1"/>
  <c r="R2" i="4"/>
  <c r="AC17" i="4" s="1"/>
  <c r="AI2" i="4"/>
  <c r="AP7" i="4"/>
  <c r="AP8" i="4"/>
  <c r="AG10" i="4"/>
  <c r="AH10" i="4" s="1"/>
  <c r="AG14" i="4"/>
  <c r="AH14" i="4" s="1"/>
  <c r="AG16" i="4"/>
  <c r="AH16" i="4" s="1"/>
  <c r="AG18" i="4"/>
  <c r="AH18" i="4" s="1"/>
  <c r="AK2" i="4"/>
  <c r="AD19" i="4"/>
  <c r="AC7" i="4"/>
  <c r="AC8" i="4"/>
  <c r="AC9" i="4"/>
  <c r="AC15" i="4"/>
  <c r="AE7" i="4"/>
  <c r="AF7" i="4" s="1"/>
  <c r="AE8" i="4"/>
  <c r="AF8" i="4" s="1"/>
  <c r="AE9" i="4"/>
  <c r="AF9" i="4" s="1"/>
  <c r="AG7" i="4"/>
  <c r="AG8" i="4"/>
  <c r="AG9" i="4"/>
  <c r="AH9" i="4" s="1"/>
  <c r="T13" i="3"/>
  <c r="P6" i="3"/>
  <c r="P7" i="3"/>
  <c r="V12" i="3"/>
  <c r="Z13" i="3"/>
  <c r="AD14" i="3"/>
  <c r="N17" i="3"/>
  <c r="T22" i="3"/>
  <c r="N23" i="3"/>
  <c r="X12" i="3"/>
  <c r="AB13" i="3"/>
  <c r="N14" i="3"/>
  <c r="T16" i="3"/>
  <c r="N18" i="3"/>
  <c r="V22" i="3"/>
  <c r="W12" i="3"/>
  <c r="Y12" i="3"/>
  <c r="AC13" i="3"/>
  <c r="O14" i="3"/>
  <c r="Z16" i="3"/>
  <c r="O18" i="3"/>
  <c r="Z12" i="3"/>
  <c r="AD13" i="3"/>
  <c r="T17" i="3"/>
  <c r="N19" i="3"/>
  <c r="N20" i="3"/>
  <c r="T23" i="3"/>
  <c r="N24" i="3"/>
  <c r="AA12" i="3"/>
  <c r="AE13" i="3"/>
  <c r="Z17" i="3"/>
  <c r="O19" i="3"/>
  <c r="O20" i="3"/>
  <c r="O24" i="3"/>
  <c r="AB12" i="3"/>
  <c r="N13" i="3"/>
  <c r="T14" i="3"/>
  <c r="T18" i="3"/>
  <c r="V23" i="3"/>
  <c r="AC12" i="3"/>
  <c r="O13" i="3"/>
  <c r="U14" i="3"/>
  <c r="Z18" i="3"/>
  <c r="P13" i="3"/>
  <c r="T20" i="3"/>
  <c r="N21" i="3"/>
  <c r="N25" i="3"/>
  <c r="W14" i="3"/>
  <c r="O21" i="3"/>
  <c r="O25" i="3"/>
  <c r="N10" i="3"/>
  <c r="N11" i="3"/>
  <c r="N12" i="3"/>
  <c r="V20" i="3"/>
  <c r="W20" i="3" s="1"/>
  <c r="Y14" i="3"/>
  <c r="N3" i="3"/>
  <c r="N4" i="3"/>
  <c r="N5" i="3"/>
  <c r="Z14" i="3"/>
  <c r="T21" i="3"/>
  <c r="N22" i="3"/>
  <c r="T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O3" i="3"/>
  <c r="O4" i="3"/>
  <c r="O5" i="3"/>
  <c r="O22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P3" i="3"/>
  <c r="N6" i="3"/>
  <c r="N7" i="3"/>
  <c r="N8" i="3"/>
  <c r="N9" i="3"/>
  <c r="N15" i="3"/>
  <c r="N16" i="3"/>
  <c r="V21" i="3"/>
  <c r="W21" i="3" s="1"/>
  <c r="V25" i="3"/>
  <c r="U13" i="3"/>
  <c r="Z30" i="1"/>
  <c r="Z35" i="1"/>
  <c r="AH7" i="1"/>
  <c r="Z34" i="1" s="1"/>
  <c r="AH8" i="1"/>
  <c r="AK7" i="1"/>
  <c r="AQ7" i="1" s="1"/>
  <c r="AK8" i="1"/>
  <c r="AQ8" i="1" s="1"/>
  <c r="AD18" i="1"/>
  <c r="AF18" i="1"/>
  <c r="Z27" i="1"/>
  <c r="AD7" i="1"/>
  <c r="AD8" i="1"/>
  <c r="Z31" i="1" s="1"/>
  <c r="W23" i="3" l="1"/>
  <c r="AD15" i="9"/>
  <c r="AC11" i="9"/>
  <c r="AA17" i="9"/>
  <c r="AB17" i="9" s="1"/>
  <c r="AC18" i="9"/>
  <c r="AD18" i="9" s="1"/>
  <c r="AD8" i="9"/>
  <c r="Z31" i="9" s="1"/>
  <c r="Z35" i="9"/>
  <c r="AH8" i="9"/>
  <c r="AD7" i="9"/>
  <c r="AA16" i="9"/>
  <c r="AB16" i="9" s="1"/>
  <c r="AA15" i="9"/>
  <c r="AB15" i="9" s="1"/>
  <c r="AA11" i="9"/>
  <c r="AB11" i="9" s="1"/>
  <c r="AA9" i="9"/>
  <c r="AB9" i="9" s="1"/>
  <c r="AA8" i="9"/>
  <c r="AB8" i="9" s="1"/>
  <c r="AA7" i="9"/>
  <c r="AB7" i="9" s="1"/>
  <c r="AA18" i="9"/>
  <c r="AB18" i="9" s="1"/>
  <c r="AA10" i="9"/>
  <c r="AB10" i="9" s="1"/>
  <c r="AA14" i="9"/>
  <c r="AB14" i="9" s="1"/>
  <c r="Z34" i="9"/>
  <c r="AH7" i="9"/>
  <c r="Z27" i="9"/>
  <c r="AE15" i="9"/>
  <c r="AF15" i="9" s="1"/>
  <c r="AE9" i="9"/>
  <c r="AF9" i="9" s="1"/>
  <c r="AE8" i="9"/>
  <c r="AF8" i="9" s="1"/>
  <c r="AE7" i="9"/>
  <c r="AF7" i="9" s="1"/>
  <c r="AE16" i="9"/>
  <c r="AF16" i="9" s="1"/>
  <c r="AE14" i="9"/>
  <c r="AF14" i="9" s="1"/>
  <c r="AE10" i="9"/>
  <c r="AF10" i="9" s="1"/>
  <c r="Z26" i="9"/>
  <c r="AA18" i="8"/>
  <c r="AA10" i="8"/>
  <c r="AB10" i="8" s="1"/>
  <c r="AA15" i="8"/>
  <c r="AB15" i="8" s="1"/>
  <c r="AA11" i="8"/>
  <c r="AB11" i="8" s="1"/>
  <c r="AA9" i="8"/>
  <c r="AB9" i="8" s="1"/>
  <c r="AA8" i="8"/>
  <c r="AB8" i="8" s="1"/>
  <c r="AA7" i="8"/>
  <c r="AB7" i="8" s="1"/>
  <c r="AA16" i="8"/>
  <c r="AB16" i="8" s="1"/>
  <c r="AA14" i="8"/>
  <c r="AB14" i="8" s="1"/>
  <c r="AC16" i="8"/>
  <c r="AD16" i="8" s="1"/>
  <c r="AD14" i="8"/>
  <c r="AD15" i="8"/>
  <c r="AD10" i="8"/>
  <c r="Z31" i="8"/>
  <c r="AD8" i="8"/>
  <c r="AC11" i="8"/>
  <c r="AD11" i="8" s="1"/>
  <c r="AA17" i="8"/>
  <c r="AB17" i="8" s="1"/>
  <c r="AC18" i="8"/>
  <c r="AD18" i="8" s="1"/>
  <c r="Z26" i="8"/>
  <c r="AD9" i="8"/>
  <c r="AD7" i="8"/>
  <c r="Z30" i="8" s="1"/>
  <c r="AE15" i="7"/>
  <c r="AF15" i="7" s="1"/>
  <c r="AE9" i="7"/>
  <c r="AF9" i="7" s="1"/>
  <c r="AE8" i="7"/>
  <c r="AF8" i="7" s="1"/>
  <c r="AE7" i="7"/>
  <c r="AF7" i="7" s="1"/>
  <c r="AE14" i="7"/>
  <c r="AF14" i="7" s="1"/>
  <c r="AE16" i="7"/>
  <c r="AF16" i="7" s="1"/>
  <c r="AE10" i="7"/>
  <c r="AF10" i="7" s="1"/>
  <c r="AD16" i="7"/>
  <c r="AH8" i="7"/>
  <c r="Z35" i="7" s="1"/>
  <c r="Z34" i="7"/>
  <c r="AH7" i="7"/>
  <c r="AC11" i="7"/>
  <c r="AD11" i="7" s="1"/>
  <c r="AA17" i="7"/>
  <c r="AC18" i="7"/>
  <c r="AA15" i="7"/>
  <c r="AB15" i="7" s="1"/>
  <c r="AA11" i="7"/>
  <c r="AB11" i="7" s="1"/>
  <c r="AA9" i="7"/>
  <c r="AA8" i="7"/>
  <c r="AA7" i="7"/>
  <c r="AA14" i="7"/>
  <c r="AB14" i="7" s="1"/>
  <c r="AA18" i="7"/>
  <c r="AA10" i="7"/>
  <c r="AA16" i="7"/>
  <c r="AB16" i="7" s="1"/>
  <c r="AD8" i="7"/>
  <c r="AD7" i="7"/>
  <c r="Z26" i="7"/>
  <c r="Z27" i="7"/>
  <c r="Z35" i="6"/>
  <c r="AH8" i="6"/>
  <c r="AH7" i="6"/>
  <c r="Z34" i="6" s="1"/>
  <c r="Z27" i="6"/>
  <c r="AC11" i="6"/>
  <c r="AD11" i="6" s="1"/>
  <c r="AA17" i="6"/>
  <c r="AB17" i="6" s="1"/>
  <c r="AC18" i="6"/>
  <c r="AA16" i="6"/>
  <c r="AB16" i="6" s="1"/>
  <c r="AB18" i="6"/>
  <c r="Z26" i="6"/>
  <c r="AD8" i="5"/>
  <c r="Z31" i="5" s="1"/>
  <c r="AD7" i="5"/>
  <c r="Z30" i="5" s="1"/>
  <c r="AA16" i="5"/>
  <c r="AB16" i="5" s="1"/>
  <c r="AA10" i="5"/>
  <c r="AB10" i="5" s="1"/>
  <c r="AA18" i="5"/>
  <c r="AA14" i="5"/>
  <c r="AB14" i="5" s="1"/>
  <c r="AA15" i="5"/>
  <c r="AB15" i="5" s="1"/>
  <c r="AA11" i="5"/>
  <c r="AB11" i="5" s="1"/>
  <c r="AA9" i="5"/>
  <c r="AB9" i="5" s="1"/>
  <c r="AA8" i="5"/>
  <c r="AB8" i="5" s="1"/>
  <c r="AA7" i="5"/>
  <c r="AB7" i="5" s="1"/>
  <c r="Z27" i="5"/>
  <c r="AH8" i="5"/>
  <c r="Z35" i="5" s="1"/>
  <c r="AH7" i="5"/>
  <c r="Z34" i="5" s="1"/>
  <c r="AC17" i="5"/>
  <c r="AD17" i="5" s="1"/>
  <c r="AC16" i="5"/>
  <c r="AD16" i="5" s="1"/>
  <c r="Z34" i="4"/>
  <c r="AH7" i="4"/>
  <c r="AC16" i="4"/>
  <c r="AD16" i="4" s="1"/>
  <c r="AD14" i="4"/>
  <c r="AC11" i="4"/>
  <c r="AD11" i="4" s="1"/>
  <c r="AA17" i="4"/>
  <c r="AB17" i="4" s="1"/>
  <c r="AC18" i="4"/>
  <c r="AD18" i="4" s="1"/>
  <c r="AD7" i="4"/>
  <c r="Z30" i="4" s="1"/>
  <c r="AA14" i="4"/>
  <c r="AB14" i="4" s="1"/>
  <c r="AA18" i="4"/>
  <c r="AB18" i="4" s="1"/>
  <c r="AA15" i="4"/>
  <c r="AB15" i="4" s="1"/>
  <c r="AA11" i="4"/>
  <c r="AB11" i="4" s="1"/>
  <c r="AA9" i="4"/>
  <c r="AB9" i="4" s="1"/>
  <c r="AA8" i="4"/>
  <c r="AB8" i="4" s="1"/>
  <c r="AA7" i="4"/>
  <c r="AB7" i="4" s="1"/>
  <c r="AA10" i="4"/>
  <c r="AB10" i="4" s="1"/>
  <c r="AA16" i="4"/>
  <c r="AB16" i="4" s="1"/>
  <c r="Z27" i="4"/>
  <c r="AH8" i="4"/>
  <c r="Z35" i="4" s="1"/>
  <c r="Z26" i="4"/>
  <c r="U21" i="3"/>
  <c r="U23" i="3"/>
  <c r="U20" i="3"/>
  <c r="U22" i="3"/>
  <c r="W22" i="3"/>
  <c r="T24" i="3"/>
  <c r="U24" i="3" s="1"/>
  <c r="AC9" i="3"/>
  <c r="AE9" i="3"/>
  <c r="AD9" i="3"/>
  <c r="AB9" i="3"/>
  <c r="AA9" i="3"/>
  <c r="Z9" i="3"/>
  <c r="Y9" i="3"/>
  <c r="X9" i="3"/>
  <c r="W9" i="3"/>
  <c r="V9" i="3"/>
  <c r="U9" i="3"/>
  <c r="T9" i="3"/>
  <c r="U5" i="3"/>
  <c r="T5" i="3"/>
  <c r="V24" i="3"/>
  <c r="W24" i="3" s="1"/>
  <c r="Z26" i="1"/>
  <c r="W25" i="3" l="1"/>
  <c r="U25" i="3"/>
  <c r="AD11" i="9"/>
  <c r="AD17" i="9"/>
  <c r="AD9" i="9"/>
  <c r="AD10" i="9"/>
  <c r="AD14" i="9"/>
  <c r="Z30" i="9" s="1"/>
  <c r="AD16" i="9"/>
  <c r="AB18" i="8"/>
  <c r="AD17" i="8"/>
  <c r="AB17" i="7"/>
  <c r="AD10" i="7"/>
  <c r="AB10" i="7"/>
  <c r="AB18" i="7"/>
  <c r="AD14" i="7"/>
  <c r="Z30" i="7" s="1"/>
  <c r="AB7" i="7"/>
  <c r="AB8" i="7"/>
  <c r="AD17" i="7"/>
  <c r="AB9" i="7"/>
  <c r="AD9" i="7"/>
  <c r="AD15" i="7"/>
  <c r="Z31" i="7" s="1"/>
  <c r="AD18" i="7"/>
  <c r="AD16" i="6"/>
  <c r="AD8" i="6"/>
  <c r="AD7" i="6"/>
  <c r="AD14" i="6"/>
  <c r="AD9" i="6"/>
  <c r="AD17" i="6"/>
  <c r="AD10" i="6"/>
  <c r="AD15" i="6"/>
  <c r="AD18" i="6"/>
  <c r="AB18" i="5"/>
  <c r="AB17" i="5"/>
  <c r="AD10" i="4"/>
  <c r="AD8" i="4"/>
  <c r="AD9" i="4"/>
  <c r="AD15" i="4"/>
  <c r="AD17" i="4"/>
  <c r="Z30" i="6" l="1"/>
  <c r="Z31" i="6"/>
  <c r="Z31" i="4"/>
  <c r="W2" i="1" l="1"/>
  <c r="S2" i="1"/>
  <c r="V2" i="1"/>
  <c r="X2" i="1" s="1"/>
  <c r="Q2" i="1"/>
  <c r="P2" i="1"/>
  <c r="N2" i="1"/>
  <c r="M2" i="1"/>
  <c r="AH2" i="1"/>
  <c r="L2" i="1"/>
  <c r="AG2" i="1"/>
  <c r="AF2" i="1"/>
  <c r="AE2" i="1"/>
  <c r="AD2" i="1"/>
  <c r="AC2" i="1"/>
  <c r="AB2" i="1"/>
  <c r="AA2" i="1"/>
  <c r="Z2" i="1"/>
  <c r="AK1" i="1"/>
  <c r="AJ1" i="1"/>
  <c r="AI1" i="1"/>
  <c r="AH1" i="1"/>
  <c r="U2" i="1" l="1"/>
  <c r="T2" i="1"/>
  <c r="O2" i="1"/>
  <c r="R2" i="1"/>
  <c r="AJ2" i="1"/>
  <c r="AI2" i="1"/>
  <c r="AK2" i="1"/>
</calcChain>
</file>

<file path=xl/sharedStrings.xml><?xml version="1.0" encoding="utf-8"?>
<sst xmlns="http://schemas.openxmlformats.org/spreadsheetml/2006/main" count="588" uniqueCount="100">
  <si>
    <t>File</t>
  </si>
  <si>
    <t>rc_ordering</t>
  </si>
  <si>
    <t>rc_memory</t>
  </si>
  <si>
    <t>rc_cputime</t>
  </si>
  <si>
    <t>rc_realtime</t>
  </si>
  <si>
    <t>rc_cells</t>
  </si>
  <si>
    <t>qe_ordering</t>
  </si>
  <si>
    <t>qe_memory</t>
  </si>
  <si>
    <t>qe_cputime</t>
  </si>
  <si>
    <t>qe_realtime</t>
  </si>
  <si>
    <t>qe_cells</t>
  </si>
  <si>
    <t>Ordering match</t>
  </si>
  <si>
    <t>memory diff</t>
  </si>
  <si>
    <t>win</t>
  </si>
  <si>
    <t>% of other</t>
  </si>
  <si>
    <t>cputime diff</t>
  </si>
  <si>
    <t>realtime diff</t>
  </si>
  <si>
    <t>cells diff</t>
  </si>
  <si>
    <t>rc_memory_avg</t>
  </si>
  <si>
    <t>rc_cputime_avg</t>
  </si>
  <si>
    <t>rc_realtime_avg</t>
  </si>
  <si>
    <t>rc_cells_avg</t>
  </si>
  <si>
    <t>qe_memory_avg</t>
  </si>
  <si>
    <t>qe_cputime_avg</t>
  </si>
  <si>
    <t>qe_realtime_avg</t>
  </si>
  <si>
    <t>qe_cells_avg</t>
  </si>
  <si>
    <t>memory</t>
  </si>
  <si>
    <t>cputime</t>
  </si>
  <si>
    <t>realtime</t>
  </si>
  <si>
    <t>cells</t>
  </si>
  <si>
    <t>RC</t>
  </si>
  <si>
    <t>QE</t>
  </si>
  <si>
    <t>TIE</t>
  </si>
  <si>
    <t>total</t>
  </si>
  <si>
    <t>--</t>
  </si>
  <si>
    <t>No.</t>
  </si>
  <si>
    <t xml:space="preserve"> vars</t>
  </si>
  <si>
    <t xml:space="preserve"> polys</t>
  </si>
  <si>
    <t xml:space="preserve"> tdeg</t>
  </si>
  <si>
    <t xml:space="preserve"> Ecs</t>
  </si>
  <si>
    <t>Successes</t>
  </si>
  <si>
    <t>Timeouts</t>
  </si>
  <si>
    <t>Errors</t>
  </si>
  <si>
    <t>Total</t>
  </si>
  <si>
    <t>Success Rate</t>
  </si>
  <si>
    <t>No. times faster (cputime)</t>
  </si>
  <si>
    <t>No. times fewer cells</t>
  </si>
  <si>
    <t>RC REAL TIME</t>
  </si>
  <si>
    <t>QE REAL TIME</t>
  </si>
  <si>
    <t>RC error</t>
  </si>
  <si>
    <t>QE error</t>
  </si>
  <si>
    <t xml:space="preserve"> </t>
  </si>
  <si>
    <t>Fastest</t>
  </si>
  <si>
    <t>"TIME OUT"</t>
  </si>
  <si>
    <t>"ERROR</t>
  </si>
  <si>
    <t>Completed/Failed</t>
  </si>
  <si>
    <t>Success</t>
  </si>
  <si>
    <t>Time out</t>
  </si>
  <si>
    <t>Error</t>
  </si>
  <si>
    <t>ERROR: Maple was unable to allocate enough memory to complete this computation.  Please see ?alloc</t>
  </si>
  <si>
    <t>Run again on fresh restart</t>
  </si>
  <si>
    <t>ERROR: reducible RootOf detected. Substitutions are %1</t>
  </si>
  <si>
    <t>Not sure I can do anything - issue with QuantifierElimination, maybe check 129 again</t>
  </si>
  <si>
    <t>ERROR: invalid input: %1 expects its %-2 argument, %3, to be of type %4, but received %5</t>
  </si>
  <si>
    <t>Check this - anything I can do? Could be a bug in the conversion tool</t>
  </si>
  <si>
    <t>ERROR: attempt to refine root to target precision %1 failed with last working precision %2</t>
  </si>
  <si>
    <t>Check this - anything I can do?</t>
  </si>
  <si>
    <t>No error</t>
  </si>
  <si>
    <t>Error: Memory</t>
  </si>
  <si>
    <t>Error: Reducible RootOf</t>
  </si>
  <si>
    <t>Error: Invalid input</t>
  </si>
  <si>
    <t>Error: Root refine</t>
  </si>
  <si>
    <t>RC1</t>
  </si>
  <si>
    <t>RC2</t>
  </si>
  <si>
    <t>RC3</t>
  </si>
  <si>
    <t>RC4</t>
  </si>
  <si>
    <t>RC5</t>
  </si>
  <si>
    <t>RC6</t>
  </si>
  <si>
    <t>QE1</t>
  </si>
  <si>
    <t>QE2</t>
  </si>
  <si>
    <t>QE3</t>
  </si>
  <si>
    <t>QE4</t>
  </si>
  <si>
    <t>QE5</t>
  </si>
  <si>
    <t>QE6</t>
  </si>
  <si>
    <t>Grand Total</t>
  </si>
  <si>
    <t>Sum of RC1</t>
  </si>
  <si>
    <t>Sum of RC2</t>
  </si>
  <si>
    <t>Sum of RC3</t>
  </si>
  <si>
    <t>Sum of RC4</t>
  </si>
  <si>
    <t>Sum of RC5</t>
  </si>
  <si>
    <t>Sum of RC6</t>
  </si>
  <si>
    <t>Sum of QE1</t>
  </si>
  <si>
    <t>Sum of QE2</t>
  </si>
  <si>
    <t>Sum of QE3</t>
  </si>
  <si>
    <t>Sum of QE4</t>
  </si>
  <si>
    <t>Sum of QE5</t>
  </si>
  <si>
    <t>Sum of QE6</t>
  </si>
  <si>
    <t>Make sure to sort these out - removes zeroes etc and sort each one individually</t>
  </si>
  <si>
    <t>VB</t>
  </si>
  <si>
    <t>Log Sums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</si>
</sst>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3" borderId="0" applyNumberFormat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quotePrefix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1" applyNumberFormat="1" applyFont="1"/>
    <xf numFmtId="10" fontId="0" fillId="0" borderId="0" xfId="1" applyNumberFormat="1" applyFont="1" applyAlignment="1">
      <alignment horizontal="center"/>
    </xf>
    <xf numFmtId="0" fontId="5" fillId="0" borderId="2" xfId="0" applyFont="1" applyBorder="1"/>
    <xf numFmtId="10" fontId="5" fillId="0" borderId="2" xfId="0" applyNumberFormat="1" applyFont="1" applyBorder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0" fontId="2" fillId="0" borderId="2" xfId="0" applyNumberFormat="1" applyFont="1" applyBorder="1"/>
    <xf numFmtId="0" fontId="0" fillId="0" borderId="0" xfId="0" pivotButton="1"/>
    <xf numFmtId="0" fontId="0" fillId="0" borderId="0" xfId="0" applyNumberFormat="1"/>
    <xf numFmtId="0" fontId="3" fillId="3" borderId="0" xfId="2" applyAlignment="1">
      <alignment horizontal="center"/>
    </xf>
  </cellXfs>
  <cellStyles count="3">
    <cellStyle name="Bad" xfId="2" builtinId="27"/>
    <cellStyle name="Normal" xfId="0" builtinId="0"/>
    <cellStyle name="Percent" xfId="1" builtinId="5"/>
  </cellStyles>
  <dxfs count="98"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C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1"/>
          <c:order val="1"/>
          <c:tx>
            <c:strRef>
              <c:f>'Sorting 2'!$Q$2</c:f>
              <c:strCache>
                <c:ptCount val="1"/>
                <c:pt idx="0">
                  <c:v>RC2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2'!$Q$3:$Q$69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51C-4872-A44C-70BB6A1CA606}"/>
            </c:ext>
          </c:extLst>
        </c:ser>
        <c:ser>
          <c:idx val="7"/>
          <c:order val="7"/>
          <c:tx>
            <c:strRef>
              <c:f>'Sorting 2'!$W$2</c:f>
              <c:strCache>
                <c:ptCount val="1"/>
                <c:pt idx="0">
                  <c:v>QE2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2'!$W$3:$W$69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51C-4872-A44C-70BB6A1CA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51C-4872-A44C-70BB6A1CA60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51C-4872-A44C-70BB6A1CA60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51C-4872-A44C-70BB6A1CA60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51C-4872-A44C-70BB6A1CA60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51C-4872-A44C-70BB6A1CA606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51C-4872-A44C-70BB6A1CA606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51C-4872-A44C-70BB6A1CA606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51C-4872-A44C-70BB6A1CA606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51C-4872-A44C-70BB6A1CA606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51C-4872-A44C-70BB6A1CA606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51C-4872-A44C-70BB6A1CA606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'Sorting 2'!$P$2</c:f>
              <c:strCache>
                <c:ptCount val="1"/>
                <c:pt idx="0">
                  <c:v>RC1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2'!$P$3:$P$69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3-4657-A158-963902D0871B}"/>
            </c:ext>
          </c:extLst>
        </c:ser>
        <c:ser>
          <c:idx val="6"/>
          <c:order val="6"/>
          <c:tx>
            <c:strRef>
              <c:f>'Sorting 2'!$V$2</c:f>
              <c:strCache>
                <c:ptCount val="1"/>
                <c:pt idx="0">
                  <c:v>QE1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2'!$V$3:$V$69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373-4657-A158-963902D08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373-4657-A158-963902D0871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373-4657-A158-963902D0871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373-4657-A158-963902D0871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373-4657-A158-963902D0871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373-4657-A158-963902D0871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373-4657-A158-963902D0871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373-4657-A158-963902D0871B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373-4657-A158-963902D0871B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373-4657-A158-963902D0871B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373-4657-A158-963902D0871B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373-4657-A158-963902D0871B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2"/>
          <c:order val="2"/>
          <c:tx>
            <c:strRef>
              <c:f>'Sorting 2'!$R$2</c:f>
              <c:strCache>
                <c:ptCount val="1"/>
                <c:pt idx="0">
                  <c:v>RC3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2'!$R$3:$R$69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CB7-4650-9784-7DC6C208E715}"/>
            </c:ext>
          </c:extLst>
        </c:ser>
        <c:ser>
          <c:idx val="8"/>
          <c:order val="8"/>
          <c:tx>
            <c:strRef>
              <c:f>'Sorting 2'!$X$2</c:f>
              <c:strCache>
                <c:ptCount val="1"/>
                <c:pt idx="0">
                  <c:v>QE3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2'!$X$3:$X$69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8CB7-4650-9784-7DC6C208E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CB7-4650-9784-7DC6C208E71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CB7-4650-9784-7DC6C208E71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CB7-4650-9784-7DC6C208E71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7-4650-9784-7DC6C208E71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7-4650-9784-7DC6C208E715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8CB7-4650-9784-7DC6C208E715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7-4650-9784-7DC6C208E715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7-4650-9784-7DC6C208E715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7-4650-9784-7DC6C208E715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CB7-4650-9784-7DC6C208E715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CB7-4650-9784-7DC6C208E715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3"/>
          <c:order val="3"/>
          <c:tx>
            <c:strRef>
              <c:f>'Sorting 2'!$S$2</c:f>
              <c:strCache>
                <c:ptCount val="1"/>
                <c:pt idx="0">
                  <c:v>RC4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2'!$S$3:$S$69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94D4-414F-A579-AB53B785694C}"/>
            </c:ext>
          </c:extLst>
        </c:ser>
        <c:ser>
          <c:idx val="9"/>
          <c:order val="9"/>
          <c:tx>
            <c:strRef>
              <c:f>'Sorting 2'!$Y$2</c:f>
              <c:strCache>
                <c:ptCount val="1"/>
                <c:pt idx="0">
                  <c:v>QE4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2'!$Y$3:$Y$69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94D4-414F-A579-AB53B7856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4D4-414F-A579-AB53B785694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4D4-414F-A579-AB53B785694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D4-414F-A579-AB53B785694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D4-414F-A579-AB53B785694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D4-414F-A579-AB53B785694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94D4-414F-A579-AB53B785694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D4-414F-A579-AB53B785694C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D4-414F-A579-AB53B785694C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4D4-414F-A579-AB53B785694C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4D4-414F-A579-AB53B785694C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4D4-414F-A579-AB53B785694C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4"/>
          <c:order val="4"/>
          <c:tx>
            <c:strRef>
              <c:f>'Sorting 2'!$T$2</c:f>
              <c:strCache>
                <c:ptCount val="1"/>
                <c:pt idx="0">
                  <c:v>RC5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2'!$T$3:$T$69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EEB-487E-B5B6-5D8FA3607C33}"/>
            </c:ext>
          </c:extLst>
        </c:ser>
        <c:ser>
          <c:idx val="10"/>
          <c:order val="10"/>
          <c:tx>
            <c:strRef>
              <c:f>'Sorting 2'!$Z$2</c:f>
              <c:strCache>
                <c:ptCount val="1"/>
                <c:pt idx="0">
                  <c:v>QE5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2'!$Z$3:$Z$69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BEEB-487E-B5B6-5D8FA3607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EEB-487E-B5B6-5D8FA3607C3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EEB-487E-B5B6-5D8FA3607C3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EEB-487E-B5B6-5D8FA3607C3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EB-487E-B5B6-5D8FA3607C3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EB-487E-B5B6-5D8FA3607C3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BEEB-487E-B5B6-5D8FA3607C3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EEB-487E-B5B6-5D8FA3607C3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EEB-487E-B5B6-5D8FA3607C3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EEB-487E-B5B6-5D8FA3607C33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EEB-487E-B5B6-5D8FA3607C33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EEB-487E-B5B6-5D8FA3607C33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5"/>
          <c:order val="5"/>
          <c:tx>
            <c:strRef>
              <c:f>'Sorting 2'!$U$2</c:f>
              <c:strCache>
                <c:ptCount val="1"/>
                <c:pt idx="0">
                  <c:v>RC6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2'!$U$3:$U$69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F985-411C-AFC9-7F0D90F01293}"/>
            </c:ext>
          </c:extLst>
        </c:ser>
        <c:ser>
          <c:idx val="11"/>
          <c:order val="11"/>
          <c:tx>
            <c:strRef>
              <c:f>'Sorting 2'!$AA$2</c:f>
              <c:strCache>
                <c:ptCount val="1"/>
                <c:pt idx="0">
                  <c:v>QE6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2'!$AA$3:$AA$69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F985-411C-AFC9-7F0D90F01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985-411C-AFC9-7F0D90F0129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985-411C-AFC9-7F0D90F0129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985-411C-AFC9-7F0D90F0129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985-411C-AFC9-7F0D90F0129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985-411C-AFC9-7F0D90F0129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F985-411C-AFC9-7F0D90F0129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985-411C-AFC9-7F0D90F0129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985-411C-AFC9-7F0D90F0129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985-411C-AFC9-7F0D90F01293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985-411C-AFC9-7F0D90F01293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985-411C-AFC9-7F0D90F01293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'Sorting 2'!$P$2</c:f>
              <c:strCache>
                <c:ptCount val="1"/>
                <c:pt idx="0">
                  <c:v>RC1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2'!$P$3:$P$69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7-4CFE-A2E5-FAC8F0029DD2}"/>
            </c:ext>
          </c:extLst>
        </c:ser>
        <c:ser>
          <c:idx val="1"/>
          <c:order val="1"/>
          <c:tx>
            <c:strRef>
              <c:f>'Sorting 2'!$Q$2</c:f>
              <c:strCache>
                <c:ptCount val="1"/>
                <c:pt idx="0">
                  <c:v>RC2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2'!$Q$3:$Q$69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1C7-4CFE-A2E5-FAC8F0029DD2}"/>
            </c:ext>
          </c:extLst>
        </c:ser>
        <c:ser>
          <c:idx val="6"/>
          <c:order val="6"/>
          <c:tx>
            <c:strRef>
              <c:f>'Sorting 2'!$V$2</c:f>
              <c:strCache>
                <c:ptCount val="1"/>
                <c:pt idx="0">
                  <c:v>QE1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2'!$V$3:$V$69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C7-4CFE-A2E5-FAC8F0029DD2}"/>
            </c:ext>
          </c:extLst>
        </c:ser>
        <c:ser>
          <c:idx val="7"/>
          <c:order val="7"/>
          <c:tx>
            <c:strRef>
              <c:f>'Sorting 2'!$W$2</c:f>
              <c:strCache>
                <c:ptCount val="1"/>
                <c:pt idx="0">
                  <c:v>QE2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2'!$W$3:$W$69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1C7-4CFE-A2E5-FAC8F0029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1C7-4CFE-A2E5-FAC8F0029DD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C7-4CFE-A2E5-FAC8F0029DD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1C7-4CFE-A2E5-FAC8F0029DD2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1C7-4CFE-A2E5-FAC8F0029DD2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1C7-4CFE-A2E5-FAC8F0029DD2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1C7-4CFE-A2E5-FAC8F0029DD2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1C7-4CFE-A2E5-FAC8F0029DD2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1C7-4CFE-A2E5-FAC8F0029DD2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1C7-4CFE-A2E5-FAC8F0029DD2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2"/>
          <c:order val="2"/>
          <c:tx>
            <c:strRef>
              <c:f>'Sorting 2'!$R$2</c:f>
              <c:strCache>
                <c:ptCount val="1"/>
                <c:pt idx="0">
                  <c:v>RC3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2'!$R$3:$R$69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785-46EB-A97F-BB3F7DEB9E24}"/>
            </c:ext>
          </c:extLst>
        </c:ser>
        <c:ser>
          <c:idx val="3"/>
          <c:order val="3"/>
          <c:tx>
            <c:strRef>
              <c:f>'Sorting 2'!$S$2</c:f>
              <c:strCache>
                <c:ptCount val="1"/>
                <c:pt idx="0">
                  <c:v>RC4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2'!$S$3:$S$69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1785-46EB-A97F-BB3F7DEB9E24}"/>
            </c:ext>
          </c:extLst>
        </c:ser>
        <c:ser>
          <c:idx val="8"/>
          <c:order val="8"/>
          <c:tx>
            <c:strRef>
              <c:f>'Sorting 2'!$X$2</c:f>
              <c:strCache>
                <c:ptCount val="1"/>
                <c:pt idx="0">
                  <c:v>QE3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2'!$X$3:$X$69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1785-46EB-A97F-BB3F7DEB9E24}"/>
            </c:ext>
          </c:extLst>
        </c:ser>
        <c:ser>
          <c:idx val="9"/>
          <c:order val="9"/>
          <c:tx>
            <c:strRef>
              <c:f>'Sorting 2'!$Y$2</c:f>
              <c:strCache>
                <c:ptCount val="1"/>
                <c:pt idx="0">
                  <c:v>QE4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2'!$Y$3:$Y$69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1785-46EB-A97F-BB3F7DEB9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785-46EB-A97F-BB3F7DEB9E2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785-46EB-A97F-BB3F7DEB9E2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785-46EB-A97F-BB3F7DEB9E2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785-46EB-A97F-BB3F7DEB9E2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1785-46EB-A97F-BB3F7DEB9E2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785-46EB-A97F-BB3F7DEB9E2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785-46EB-A97F-BB3F7DEB9E2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785-46EB-A97F-BB3F7DEB9E2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785-46EB-A97F-BB3F7DEB9E24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4"/>
          <c:order val="4"/>
          <c:tx>
            <c:strRef>
              <c:f>'Sorting 2'!$T$2</c:f>
              <c:strCache>
                <c:ptCount val="1"/>
                <c:pt idx="0">
                  <c:v>RC5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2'!$T$3:$T$69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2D3-4E91-8C58-4DB5622FCA13}"/>
            </c:ext>
          </c:extLst>
        </c:ser>
        <c:ser>
          <c:idx val="5"/>
          <c:order val="5"/>
          <c:tx>
            <c:strRef>
              <c:f>'Sorting 2'!$U$2</c:f>
              <c:strCache>
                <c:ptCount val="1"/>
                <c:pt idx="0">
                  <c:v>RC6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2'!$U$3:$U$69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2D3-4E91-8C58-4DB5622FCA13}"/>
            </c:ext>
          </c:extLst>
        </c:ser>
        <c:ser>
          <c:idx val="10"/>
          <c:order val="10"/>
          <c:tx>
            <c:strRef>
              <c:f>'Sorting 2'!$Z$2</c:f>
              <c:strCache>
                <c:ptCount val="1"/>
                <c:pt idx="0">
                  <c:v>QE5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2'!$Z$3:$Z$69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E2D3-4E91-8C58-4DB5622FCA13}"/>
            </c:ext>
          </c:extLst>
        </c:ser>
        <c:ser>
          <c:idx val="11"/>
          <c:order val="11"/>
          <c:tx>
            <c:strRef>
              <c:f>'Sorting 2'!$AA$2</c:f>
              <c:strCache>
                <c:ptCount val="1"/>
                <c:pt idx="0">
                  <c:v>QE6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2'!$AA$3:$AA$69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E2D3-4E91-8C58-4DB5622FC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2D3-4E91-8C58-4DB5622FCA1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2D3-4E91-8C58-4DB5622FCA1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2D3-4E91-8C58-4DB5622FCA1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2D3-4E91-8C58-4DB5622FCA1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2D3-4E91-8C58-4DB5622FCA1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2D3-4E91-8C58-4DB5622FCA1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2D3-4E91-8C58-4DB5622FCA1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2D3-4E91-8C58-4DB5622FCA13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2D3-4E91-8C58-4DB5622FCA13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'Sorting 2'!$P$2</c:f>
              <c:strCache>
                <c:ptCount val="1"/>
                <c:pt idx="0">
                  <c:v>RC1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2'!$P$3:$P$69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E2-4FD3-A109-8F2250C8ABDF}"/>
            </c:ext>
          </c:extLst>
        </c:ser>
        <c:ser>
          <c:idx val="2"/>
          <c:order val="2"/>
          <c:tx>
            <c:strRef>
              <c:f>'Sorting 2'!$R$2</c:f>
              <c:strCache>
                <c:ptCount val="1"/>
                <c:pt idx="0">
                  <c:v>RC3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2'!$R$3:$R$69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4E2-4FD3-A109-8F2250C8ABDF}"/>
            </c:ext>
          </c:extLst>
        </c:ser>
        <c:ser>
          <c:idx val="4"/>
          <c:order val="4"/>
          <c:tx>
            <c:strRef>
              <c:f>'Sorting 2'!$T$2</c:f>
              <c:strCache>
                <c:ptCount val="1"/>
                <c:pt idx="0">
                  <c:v>RC5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2'!$T$3:$T$69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14E2-4FD3-A109-8F2250C8A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4E2-4FD3-A109-8F2250C8ABD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4E2-4FD3-A109-8F2250C8ABD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4E2-4FD3-A109-8F2250C8ABD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14E2-4FD3-A109-8F2250C8ABD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4E2-4FD3-A109-8F2250C8ABDF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4E2-4FD3-A109-8F2250C8ABDF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4E2-4FD3-A109-8F2250C8ABDF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4E2-4FD3-A109-8F2250C8ABDF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4E2-4FD3-A109-8F2250C8ABDF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4E2-4FD3-A109-8F2250C8ABDF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1"/>
          <c:order val="1"/>
          <c:tx>
            <c:strRef>
              <c:f>'Sorting 2'!$Q$2</c:f>
              <c:strCache>
                <c:ptCount val="1"/>
                <c:pt idx="0">
                  <c:v>RC2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2'!$Q$3:$Q$69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B58-4A8F-A258-5E66EC737E74}"/>
            </c:ext>
          </c:extLst>
        </c:ser>
        <c:ser>
          <c:idx val="3"/>
          <c:order val="3"/>
          <c:tx>
            <c:strRef>
              <c:f>'Sorting 2'!$S$2</c:f>
              <c:strCache>
                <c:ptCount val="1"/>
                <c:pt idx="0">
                  <c:v>RC4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2'!$S$3:$S$69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B58-4A8F-A258-5E66EC737E74}"/>
            </c:ext>
          </c:extLst>
        </c:ser>
        <c:ser>
          <c:idx val="5"/>
          <c:order val="5"/>
          <c:tx>
            <c:strRef>
              <c:f>'Sorting 2'!$U$2</c:f>
              <c:strCache>
                <c:ptCount val="1"/>
                <c:pt idx="0">
                  <c:v>RC6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2'!$U$3:$U$69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BB58-4A8F-A258-5E66EC737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B58-4A8F-A258-5E66EC737E7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B58-4A8F-A258-5E66EC737E7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B58-4A8F-A258-5E66EC737E7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B58-4A8F-A258-5E66EC737E7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B58-4A8F-A258-5E66EC737E7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B58-4A8F-A258-5E66EC737E7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B58-4A8F-A258-5E66EC737E7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B58-4A8F-A258-5E66EC737E7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B58-4A8F-A258-5E66EC737E7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B58-4A8F-A258-5E66EC737E74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6"/>
          <c:order val="6"/>
          <c:tx>
            <c:strRef>
              <c:f>'Sorting 2'!$V$2</c:f>
              <c:strCache>
                <c:ptCount val="1"/>
                <c:pt idx="0">
                  <c:v>QE1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</c:numRef>
          </c:xVal>
          <c:yVal>
            <c:numRef>
              <c:f>'Sorting 2'!$V$3:$V$69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24-4565-8017-9CAA1DD60E8A}"/>
            </c:ext>
          </c:extLst>
        </c:ser>
        <c:ser>
          <c:idx val="8"/>
          <c:order val="8"/>
          <c:tx>
            <c:strRef>
              <c:f>'Sorting 2'!$X$2</c:f>
              <c:strCache>
                <c:ptCount val="1"/>
                <c:pt idx="0">
                  <c:v>QE3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2'!$X$3:$X$69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624-4565-8017-9CAA1DD60E8A}"/>
            </c:ext>
          </c:extLst>
        </c:ser>
        <c:ser>
          <c:idx val="10"/>
          <c:order val="10"/>
          <c:tx>
            <c:strRef>
              <c:f>'Sorting 2'!$Z$2</c:f>
              <c:strCache>
                <c:ptCount val="1"/>
                <c:pt idx="0">
                  <c:v>QE5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2'!$Z$3:$Z$69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6624-4565-8017-9CAA1DD6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624-4565-8017-9CAA1DD60E8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624-4565-8017-9CAA1DD60E8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24-4565-8017-9CAA1DD60E8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24-4565-8017-9CAA1DD60E8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24-4565-8017-9CAA1DD60E8A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624-4565-8017-9CAA1DD60E8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2'!$W$2</c15:sqref>
                        </c15:formulaRef>
                      </c:ext>
                    </c:extLst>
                    <c:strCache>
                      <c:ptCount val="1"/>
                      <c:pt idx="0">
                        <c:v>QE2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2'!$W$3:$W$69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624-4565-8017-9CAA1DD60E8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2'!$Y$2</c15:sqref>
                        </c15:formulaRef>
                      </c:ext>
                    </c:extLst>
                    <c:strCache>
                      <c:ptCount val="1"/>
                      <c:pt idx="0">
                        <c:v>QE4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2'!$Y$3:$Y$69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624-4565-8017-9CAA1DD60E8A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2'!$AA$2</c15:sqref>
                        </c15:formulaRef>
                      </c:ext>
                    </c:extLst>
                    <c:strCache>
                      <c:ptCount val="1"/>
                      <c:pt idx="0">
                        <c:v>QE6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2'!$AA$3:$AA$69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624-4565-8017-9CAA1DD60E8A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624-4565-8017-9CAA1DD60E8A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58677821522291E-2"/>
          <c:y val="4.1666666666666664E-2"/>
          <c:w val="0.91430801618547664"/>
          <c:h val="0.8416746864975212"/>
        </c:manualLayout>
      </c:layout>
      <c:scatterChart>
        <c:scatterStyle val="lineMarker"/>
        <c:varyColors val="0"/>
        <c:ser>
          <c:idx val="7"/>
          <c:order val="7"/>
          <c:tx>
            <c:strRef>
              <c:f>'Sorting 2'!$W$2</c:f>
              <c:strCache>
                <c:ptCount val="1"/>
                <c:pt idx="0">
                  <c:v>QE2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2'!$W$3:$W$69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444-420D-A85E-28B28FE34777}"/>
            </c:ext>
          </c:extLst>
        </c:ser>
        <c:ser>
          <c:idx val="9"/>
          <c:order val="9"/>
          <c:tx>
            <c:strRef>
              <c:f>'Sorting 2'!$Y$2</c:f>
              <c:strCache>
                <c:ptCount val="1"/>
                <c:pt idx="0">
                  <c:v>QE4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2'!$Y$3:$Y$69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D444-420D-A85E-28B28FE34777}"/>
            </c:ext>
          </c:extLst>
        </c:ser>
        <c:ser>
          <c:idx val="11"/>
          <c:order val="11"/>
          <c:tx>
            <c:strRef>
              <c:f>'Sorting 2'!$AA$2</c:f>
              <c:strCache>
                <c:ptCount val="1"/>
                <c:pt idx="0">
                  <c:v>QE6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'Sorting 2'!$O$3:$O$69</c:f>
              <c:numCache>
                <c:formatCode>General</c:formatCode>
                <c:ptCount val="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</c:numCache>
              <c:extLst xmlns:c15="http://schemas.microsoft.com/office/drawing/2012/chart"/>
            </c:numRef>
          </c:xVal>
          <c:yVal>
            <c:numRef>
              <c:f>'Sorting 2'!$AA$3:$AA$69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D444-420D-A85E-28B28FE34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577007"/>
        <c:axId val="13146053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'Sorting 2'!$P$2</c15:sqref>
                        </c15:formulaRef>
                      </c:ext>
                    </c:extLst>
                    <c:strCache>
                      <c:ptCount val="1"/>
                      <c:pt idx="0">
                        <c:v>RC1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'Sorting 2'!$P$3:$P$69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444-420D-A85E-28B28FE3477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2'!$Q$2</c15:sqref>
                        </c15:formulaRef>
                      </c:ext>
                    </c:extLst>
                    <c:strCache>
                      <c:ptCount val="1"/>
                      <c:pt idx="0">
                        <c:v>RC2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2'!$Q$3:$Q$69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444-420D-A85E-28B28FE3477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2'!$R$2</c15:sqref>
                        </c15:formulaRef>
                      </c:ext>
                    </c:extLst>
                    <c:strCache>
                      <c:ptCount val="1"/>
                      <c:pt idx="0">
                        <c:v>RC3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2'!$R$3:$R$69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444-420D-A85E-28B28FE347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2'!$S$2</c15:sqref>
                        </c15:formulaRef>
                      </c:ext>
                    </c:extLst>
                    <c:strCache>
                      <c:ptCount val="1"/>
                      <c:pt idx="0">
                        <c:v>RC4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2'!$S$3:$S$69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444-420D-A85E-28B28FE3477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2'!$T$2</c15:sqref>
                        </c15:formulaRef>
                      </c:ext>
                    </c:extLst>
                    <c:strCache>
                      <c:ptCount val="1"/>
                      <c:pt idx="0">
                        <c:v>RC5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2'!$T$3:$T$69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444-420D-A85E-28B28FE347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2'!$U$2</c15:sqref>
                        </c15:formulaRef>
                      </c:ext>
                    </c:extLst>
                    <c:strCache>
                      <c:ptCount val="1"/>
                      <c:pt idx="0">
                        <c:v>RC6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2'!$U$3:$U$69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444-420D-A85E-28B28FE3477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'Sorting 2'!$V$2</c15:sqref>
                        </c15:formulaRef>
                      </c:ext>
                    </c:extLst>
                    <c:strCache>
                      <c:ptCount val="1"/>
                      <c:pt idx="0">
                        <c:v>QE1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'Sorting 2'!$V$3:$V$69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444-420D-A85E-28B28FE3477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2'!$X$2</c15:sqref>
                        </c15:formulaRef>
                      </c:ext>
                    </c:extLst>
                    <c:strCache>
                      <c:ptCount val="1"/>
                      <c:pt idx="0">
                        <c:v>QE3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2'!$X$3:$X$69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444-420D-A85E-28B28FE3477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2'!$Z$2</c15:sqref>
                        </c15:formulaRef>
                      </c:ext>
                    </c:extLst>
                    <c:strCache>
                      <c:ptCount val="1"/>
                      <c:pt idx="0">
                        <c:v>QE5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2'!$Z$3:$Z$69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444-420D-A85E-28B28FE3477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2'!$AB$2</c15:sqref>
                        </c15:formulaRef>
                      </c:ext>
                    </c:extLst>
                    <c:strCache>
                      <c:ptCount val="1"/>
                      <c:pt idx="0">
                        <c:v>VB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2'!$O$3:$O$69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'Sorting 2'!$AB$3:$AB$69</c15:sqref>
                        </c15:formulaRef>
                      </c:ext>
                    </c:extLst>
                    <c:numCache>
                      <c:formatCode>General</c:formatCode>
                      <c:ptCount val="6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444-420D-A85E-28B28FE34777}"/>
                  </c:ext>
                </c:extLst>
              </c15:ser>
            </c15:filteredScatterSeries>
          </c:ext>
        </c:extLst>
      </c:scatterChart>
      <c:valAx>
        <c:axId val="1314577007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5327"/>
        <c:crosses val="autoZero"/>
        <c:crossBetween val="midCat"/>
      </c:valAx>
      <c:valAx>
        <c:axId val="1314605327"/>
        <c:scaling>
          <c:orientation val="minMax"/>
          <c:max val="3.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77007"/>
        <c:crosses val="autoZero"/>
        <c:crossBetween val="midCat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27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62F56A7-C436-4A1F-B1B9-3ACD06E06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13</xdr:col>
      <xdr:colOff>0</xdr:colOff>
      <xdr:row>27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3A2CDB-3317-4719-9AA2-5A75D94DC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13</xdr:col>
      <xdr:colOff>0</xdr:colOff>
      <xdr:row>55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F53320E-BB0B-42B7-A665-E3722EA9D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26</xdr:col>
      <xdr:colOff>0</xdr:colOff>
      <xdr:row>55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5075B5A-D9A9-47FA-9986-E86A67D42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13</xdr:col>
      <xdr:colOff>0</xdr:colOff>
      <xdr:row>83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7F35C73-C33E-419B-BFC2-8B8B37B7D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26</xdr:col>
      <xdr:colOff>0</xdr:colOff>
      <xdr:row>83</xdr:row>
      <xdr:rowOff>180975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FA2D355-19DD-4F4D-A381-5A7CA1E83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605117</xdr:colOff>
      <xdr:row>27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991825-372D-4721-BF8D-87A6B6041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25</xdr:col>
      <xdr:colOff>0</xdr:colOff>
      <xdr:row>27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CAE8A5-25FF-4C8E-953D-92443DD21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1</xdr:row>
      <xdr:rowOff>0</xdr:rowOff>
    </xdr:from>
    <xdr:to>
      <xdr:col>37</xdr:col>
      <xdr:colOff>605117</xdr:colOff>
      <xdr:row>27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F9F0D7D-131D-413B-A882-6FC05FCD1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605117</xdr:colOff>
      <xdr:row>27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2B90BE-BDF3-4A63-91C9-FDD138C9B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25</xdr:col>
      <xdr:colOff>0</xdr:colOff>
      <xdr:row>27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49E3F4-3EA2-42CA-B230-17BD941DA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11</xdr:col>
      <xdr:colOff>605117</xdr:colOff>
      <xdr:row>55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B450EBA-323C-4971-90BE-8F9A34C3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29</xdr:row>
      <xdr:rowOff>0</xdr:rowOff>
    </xdr:from>
    <xdr:to>
      <xdr:col>25</xdr:col>
      <xdr:colOff>0</xdr:colOff>
      <xdr:row>55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88510FC-3839-4BF9-8943-2FBE6923C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rin%20Work\Documents\GitHub\CADStuff\MAPLE%20BENCHMARKING\Alicode\Batch%20Timings%20Runs%20-%20ECmod\Results_Run_2.xlsx" TargetMode="External"/><Relationship Id="rId1" Type="http://schemas.openxmlformats.org/officeDocument/2006/relationships/externalLinkPath" Target="Results_Run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s"/>
      <sheetName val="Errors"/>
      <sheetName val="1"/>
      <sheetName val="2"/>
      <sheetName val="3"/>
      <sheetName val="4"/>
      <sheetName val="5"/>
      <sheetName val="6"/>
      <sheetName val="6 (2)"/>
      <sheetName val="Sorting"/>
      <sheetName val="Meta"/>
      <sheetName val="SPREDO"/>
      <sheetName val="SP1"/>
      <sheetName val="SurvivalPlot"/>
      <sheetName val="SP2"/>
      <sheetName val="SP1 (2)"/>
      <sheetName val="SP1 (3)"/>
      <sheetName val="prev"/>
      <sheetName val="vs prev"/>
      <sheetName val="vs prev (%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42">
          <cell r="T142" t="str">
            <v>RC1</v>
          </cell>
          <cell r="U142" t="str">
            <v>RC2</v>
          </cell>
          <cell r="V142" t="str">
            <v>RC3</v>
          </cell>
          <cell r="W142" t="str">
            <v>RC4</v>
          </cell>
          <cell r="X142" t="str">
            <v>RC5</v>
          </cell>
          <cell r="Y142" t="str">
            <v>RC6</v>
          </cell>
          <cell r="Z142" t="str">
            <v>QE1</v>
          </cell>
          <cell r="AA142" t="str">
            <v>QE2</v>
          </cell>
          <cell r="AB142" t="str">
            <v>QE3</v>
          </cell>
          <cell r="AC142" t="str">
            <v>QE4</v>
          </cell>
          <cell r="AD142" t="str">
            <v>QE5</v>
          </cell>
          <cell r="AE142" t="str">
            <v>QE6</v>
          </cell>
          <cell r="AF142" t="str">
            <v>VB1</v>
          </cell>
          <cell r="AG142" t="str">
            <v>VB2</v>
          </cell>
          <cell r="AH142" t="str">
            <v>VB3</v>
          </cell>
          <cell r="AI142" t="str">
            <v>VB4</v>
          </cell>
          <cell r="AJ142" t="str">
            <v>VB5</v>
          </cell>
          <cell r="AK142" t="str">
            <v>VB6</v>
          </cell>
        </row>
        <row r="143">
          <cell r="S143">
            <v>1</v>
          </cell>
          <cell r="T143">
            <v>-0.93666664104825048</v>
          </cell>
          <cell r="U143">
            <v>-1.6615435063953952</v>
          </cell>
          <cell r="V143">
            <v>-0.96098267800258808</v>
          </cell>
          <cell r="W143">
            <v>-1.6615435063953952</v>
          </cell>
          <cell r="X143">
            <v>-0.78914663468510682</v>
          </cell>
          <cell r="Y143">
            <v>-1.6020599913279623</v>
          </cell>
          <cell r="Z143">
            <v>-1.1463017882238256</v>
          </cell>
          <cell r="AA143">
            <v>-1.1567672219019907</v>
          </cell>
          <cell r="AB143">
            <v>-1.1636758842932484</v>
          </cell>
          <cell r="AC143">
            <v>-1.1726307269461749</v>
          </cell>
          <cell r="AD143">
            <v>-0.95624487303132055</v>
          </cell>
          <cell r="AE143">
            <v>-1.1752235375244544</v>
          </cell>
          <cell r="AF143">
            <v>-1.1463017882238256</v>
          </cell>
          <cell r="AG143">
            <v>-1.6615435063953952</v>
          </cell>
          <cell r="AH143">
            <v>-1.1636758842932484</v>
          </cell>
          <cell r="AI143">
            <v>-1.6615435063953952</v>
          </cell>
          <cell r="AJ143">
            <v>-0.95624487303132055</v>
          </cell>
          <cell r="AK143">
            <v>-1.6020599913279623</v>
          </cell>
        </row>
        <row r="144">
          <cell r="S144">
            <v>2</v>
          </cell>
          <cell r="T144">
            <v>-0.63283051146531932</v>
          </cell>
          <cell r="U144">
            <v>-1.3605135107314139</v>
          </cell>
          <cell r="V144">
            <v>-0.65072247253204474</v>
          </cell>
          <cell r="W144">
            <v>-1.3595185630295781</v>
          </cell>
          <cell r="X144">
            <v>-0.4839937696139523</v>
          </cell>
          <cell r="Y144">
            <v>-1.288192770958809</v>
          </cell>
          <cell r="Z144">
            <v>-0.77546693739391426</v>
          </cell>
          <cell r="AA144">
            <v>-0.85047298624565215</v>
          </cell>
          <cell r="AB144">
            <v>-0.8113527040002827</v>
          </cell>
          <cell r="AC144">
            <v>-0.86359655186601003</v>
          </cell>
          <cell r="AD144">
            <v>-0.65033401590337025</v>
          </cell>
          <cell r="AE144">
            <v>-0.85387196432176193</v>
          </cell>
          <cell r="AF144">
            <v>-0.77546693739391426</v>
          </cell>
          <cell r="AG144">
            <v>-1.3605135107314139</v>
          </cell>
          <cell r="AH144">
            <v>-0.8113527040002827</v>
          </cell>
          <cell r="AI144">
            <v>-1.3595185630295781</v>
          </cell>
          <cell r="AJ144">
            <v>-0.65033401590337025</v>
          </cell>
          <cell r="AK144">
            <v>-1.288192770958809</v>
          </cell>
        </row>
        <row r="145">
          <cell r="S145">
            <v>3</v>
          </cell>
          <cell r="T145">
            <v>-0.45395113359826567</v>
          </cell>
          <cell r="U145">
            <v>-1.1732774798310079</v>
          </cell>
          <cell r="V145">
            <v>-0.46967221022191374</v>
          </cell>
          <cell r="W145">
            <v>-1.1630432629404495</v>
          </cell>
          <cell r="X145">
            <v>-0.29030613027220814</v>
          </cell>
          <cell r="Y145">
            <v>-1.1073489661226996</v>
          </cell>
          <cell r="Z145">
            <v>-0.53417118464256352</v>
          </cell>
          <cell r="AA145">
            <v>-0.66274046024972422</v>
          </cell>
          <cell r="AB145">
            <v>-0.6027554189896136</v>
          </cell>
          <cell r="AC145">
            <v>-0.67366413907124856</v>
          </cell>
          <cell r="AD145">
            <v>-0.43842163169903936</v>
          </cell>
          <cell r="AE145">
            <v>-0.67080558491154885</v>
          </cell>
          <cell r="AF145">
            <v>-0.54302698636418212</v>
          </cell>
          <cell r="AG145">
            <v>-1.1732774798310079</v>
          </cell>
          <cell r="AH145">
            <v>-0.6027554189896136</v>
          </cell>
          <cell r="AI145">
            <v>-1.1630432629404495</v>
          </cell>
          <cell r="AJ145">
            <v>-0.43842163169903936</v>
          </cell>
          <cell r="AK145">
            <v>-1.1073489661226996</v>
          </cell>
        </row>
        <row r="146">
          <cell r="S146">
            <v>4</v>
          </cell>
          <cell r="T146">
            <v>-0.32184596198956267</v>
          </cell>
          <cell r="U146">
            <v>-1.0357403698031511</v>
          </cell>
          <cell r="V146">
            <v>-0.33780900914099277</v>
          </cell>
          <cell r="W146">
            <v>-1.0074464821678644</v>
          </cell>
          <cell r="X146">
            <v>-0.13596381727422502</v>
          </cell>
          <cell r="Y146">
            <v>-0.94884747755261867</v>
          </cell>
          <cell r="Z146">
            <v>-0.30750559249691556</v>
          </cell>
          <cell r="AA146">
            <v>-0.52287874528033751</v>
          </cell>
          <cell r="AB146">
            <v>-0.4336803784751887</v>
          </cell>
          <cell r="AC146">
            <v>-0.53047252081298613</v>
          </cell>
          <cell r="AD146">
            <v>-0.2865094569060575</v>
          </cell>
          <cell r="AE146">
            <v>-0.53091470087687953</v>
          </cell>
          <cell r="AF146">
            <v>-0.38615817812393083</v>
          </cell>
          <cell r="AG146">
            <v>-1.0357403698031511</v>
          </cell>
          <cell r="AH146">
            <v>-0.44490555142168087</v>
          </cell>
          <cell r="AI146">
            <v>-1.0074464821678644</v>
          </cell>
          <cell r="AJ146">
            <v>-0.2865094569060575</v>
          </cell>
          <cell r="AK146">
            <v>-0.94884747755261867</v>
          </cell>
        </row>
        <row r="147">
          <cell r="S147">
            <v>5</v>
          </cell>
          <cell r="T147">
            <v>-7.2989131024348911E-2</v>
          </cell>
          <cell r="U147">
            <v>-0.33208031468263854</v>
          </cell>
          <cell r="V147">
            <v>-8.5181019552526896E-2</v>
          </cell>
          <cell r="W147">
            <v>-0.33068311943388784</v>
          </cell>
          <cell r="X147">
            <v>7.9181246047624818E-2</v>
          </cell>
          <cell r="Y147">
            <v>-0.23920068836928216</v>
          </cell>
          <cell r="Z147">
            <v>-6.2682752237505759E-2</v>
          </cell>
          <cell r="AA147">
            <v>-0.17940450345550976</v>
          </cell>
          <cell r="AB147">
            <v>-0.13637977972968446</v>
          </cell>
          <cell r="AC147">
            <v>-0.19477108579657387</v>
          </cell>
          <cell r="AD147">
            <v>-1.2333735073725434E-2</v>
          </cell>
          <cell r="AE147">
            <v>-0.14363367634075203</v>
          </cell>
          <cell r="AF147">
            <v>-0.10807246577932493</v>
          </cell>
          <cell r="AG147">
            <v>-0.34323122073398332</v>
          </cell>
          <cell r="AH147">
            <v>-0.14200450443907603</v>
          </cell>
          <cell r="AI147">
            <v>-0.35447948509412602</v>
          </cell>
          <cell r="AJ147">
            <v>-1.2333735073725434E-2</v>
          </cell>
          <cell r="AK147">
            <v>-0.27051123082043871</v>
          </cell>
        </row>
        <row r="148">
          <cell r="S148">
            <v>6</v>
          </cell>
          <cell r="T148">
            <v>8.8136088700551299E-2</v>
          </cell>
          <cell r="U148">
            <v>-7.463633264589839E-2</v>
          </cell>
          <cell r="V148">
            <v>8.8702960351474139E-2</v>
          </cell>
          <cell r="W148">
            <v>-6.2783109137294554E-2</v>
          </cell>
          <cell r="X148">
            <v>0.25263461571239498</v>
          </cell>
          <cell r="Y148">
            <v>2.5018972282759518E-2</v>
          </cell>
          <cell r="Z148">
            <v>9.3386660001370622E-2</v>
          </cell>
          <cell r="AA148">
            <v>1.1316643366872081E-2</v>
          </cell>
          <cell r="AB148">
            <v>4.1076719715475198E-2</v>
          </cell>
          <cell r="AC148">
            <v>4.3407747931868923E-4</v>
          </cell>
          <cell r="AD148">
            <v>0.15724516047519474</v>
          </cell>
          <cell r="AE148">
            <v>5.8995093525416306E-2</v>
          </cell>
          <cell r="AF148">
            <v>6.1716293159897288E-2</v>
          </cell>
          <cell r="AG148">
            <v>-8.6981316252039753E-2</v>
          </cell>
          <cell r="AH148">
            <v>3.4868996361130583E-2</v>
          </cell>
          <cell r="AI148">
            <v>-9.4473951564951655E-2</v>
          </cell>
          <cell r="AJ148">
            <v>0.15724516047519474</v>
          </cell>
          <cell r="AK148">
            <v>-1.6148281008528227E-2</v>
          </cell>
        </row>
        <row r="149">
          <cell r="S149">
            <v>7</v>
          </cell>
          <cell r="T149">
            <v>0.20798424676615634</v>
          </cell>
          <cell r="U149">
            <v>9.4156561782523365E-2</v>
          </cell>
          <cell r="V149">
            <v>0.21871926690049309</v>
          </cell>
          <cell r="W149">
            <v>0.10222783012313005</v>
          </cell>
          <cell r="X149">
            <v>0.37852508154491421</v>
          </cell>
          <cell r="Y149">
            <v>0.21082663867825568</v>
          </cell>
          <cell r="Z149">
            <v>0.21521442908722752</v>
          </cell>
          <cell r="AA149">
            <v>0.15515377776514827</v>
          </cell>
          <cell r="AB149">
            <v>0.18341221197842586</v>
          </cell>
          <cell r="AC149">
            <v>0.1381131464871671</v>
          </cell>
          <cell r="AD149">
            <v>0.28542227418824673</v>
          </cell>
          <cell r="AE149">
            <v>0.20698769475640827</v>
          </cell>
          <cell r="AF149">
            <v>0.18808437371493819</v>
          </cell>
          <cell r="AG149">
            <v>8.5825533520743166E-2</v>
          </cell>
          <cell r="AH149">
            <v>0.17894818511680188</v>
          </cell>
          <cell r="AI149">
            <v>7.1108421782449679E-2</v>
          </cell>
          <cell r="AJ149">
            <v>0.28542227418824673</v>
          </cell>
          <cell r="AK149">
            <v>0.15457611691788567</v>
          </cell>
        </row>
        <row r="150">
          <cell r="S150">
            <v>8</v>
          </cell>
          <cell r="T150">
            <v>0.30747464356941179</v>
          </cell>
          <cell r="U150">
            <v>0.21934871731357869</v>
          </cell>
          <cell r="V150">
            <v>0.33645973384852951</v>
          </cell>
          <cell r="W150">
            <v>0.23919934205430152</v>
          </cell>
          <cell r="X150">
            <v>0.47781557058601687</v>
          </cell>
          <cell r="Y150">
            <v>0.34775921793046805</v>
          </cell>
          <cell r="Z150">
            <v>0.31355087133350484</v>
          </cell>
          <cell r="AA150">
            <v>0.26488862612061959</v>
          </cell>
          <cell r="AB150">
            <v>0.29468662427944325</v>
          </cell>
          <cell r="AC150">
            <v>0.2541128395760674</v>
          </cell>
          <cell r="AD150">
            <v>0.40033072189744418</v>
          </cell>
          <cell r="AE150">
            <v>0.32629488781848914</v>
          </cell>
          <cell r="AF150">
            <v>0.29172395634373277</v>
          </cell>
          <cell r="AG150">
            <v>0.21202771197462406</v>
          </cell>
          <cell r="AH150">
            <v>0.29123561084878785</v>
          </cell>
          <cell r="AI150">
            <v>0.20376697496057425</v>
          </cell>
          <cell r="AJ150">
            <v>0.40033072189744418</v>
          </cell>
          <cell r="AK150">
            <v>0.27705883575510709</v>
          </cell>
        </row>
        <row r="151">
          <cell r="S151">
            <v>9</v>
          </cell>
          <cell r="T151">
            <v>0.43539838026736005</v>
          </cell>
          <cell r="U151">
            <v>0.37294880602778752</v>
          </cell>
          <cell r="V151">
            <v>0.46142348669956573</v>
          </cell>
          <cell r="W151">
            <v>0.3947142795333422</v>
          </cell>
          <cell r="X151">
            <v>0.60577895515107694</v>
          </cell>
          <cell r="Y151">
            <v>0.51341738285850647</v>
          </cell>
          <cell r="Z151">
            <v>0.43199062578614067</v>
          </cell>
          <cell r="AA151">
            <v>0.39813105621669681</v>
          </cell>
          <cell r="AB151">
            <v>0.41407041375180159</v>
          </cell>
          <cell r="AC151">
            <v>0.39209872716399341</v>
          </cell>
          <cell r="AD151">
            <v>0.51130837551311503</v>
          </cell>
          <cell r="AE151">
            <v>0.46143849575356333</v>
          </cell>
          <cell r="AF151">
            <v>0.41547416810923571</v>
          </cell>
          <cell r="AG151">
            <v>0.3598734103327425</v>
          </cell>
          <cell r="AH151">
            <v>0.41145134213793755</v>
          </cell>
          <cell r="AI151">
            <v>0.35604498868722967</v>
          </cell>
          <cell r="AJ151">
            <v>0.51130837551311503</v>
          </cell>
          <cell r="AK151">
            <v>0.42592530065247369</v>
          </cell>
        </row>
        <row r="152">
          <cell r="S152">
            <v>10</v>
          </cell>
          <cell r="T152">
            <v>0.5340895947605685</v>
          </cell>
          <cell r="U152">
            <v>0.48708178619025999</v>
          </cell>
          <cell r="V152">
            <v>0.55891247310653869</v>
          </cell>
          <cell r="W152">
            <v>0.51108084553911837</v>
          </cell>
          <cell r="X152">
            <v>0.70836990365949082</v>
          </cell>
          <cell r="Y152">
            <v>0.63775982870721615</v>
          </cell>
          <cell r="Z152">
            <v>0.52543355342882003</v>
          </cell>
          <cell r="AA152">
            <v>0.50070291238460207</v>
          </cell>
          <cell r="AB152">
            <v>0.50828725438032141</v>
          </cell>
          <cell r="AC152">
            <v>0.49719235825350372</v>
          </cell>
          <cell r="AD152">
            <v>0.60028662562258184</v>
          </cell>
          <cell r="AE152">
            <v>0.56663779894448318</v>
          </cell>
          <cell r="AF152">
            <v>0.51216389140556973</v>
          </cell>
          <cell r="AG152">
            <v>0.47077788333512455</v>
          </cell>
          <cell r="AH152">
            <v>0.50618020480416204</v>
          </cell>
          <cell r="AI152">
            <v>0.46914428248351309</v>
          </cell>
          <cell r="AJ152">
            <v>0.60028662562258184</v>
          </cell>
          <cell r="AK152">
            <v>0.53901333493951276</v>
          </cell>
        </row>
        <row r="153">
          <cell r="S153">
            <v>11</v>
          </cell>
          <cell r="T153">
            <v>0.61528706275025014</v>
          </cell>
          <cell r="U153">
            <v>0.57773300755345258</v>
          </cell>
          <cell r="V153">
            <v>0.63955620985018724</v>
          </cell>
          <cell r="W153">
            <v>0.60293854841468197</v>
          </cell>
          <cell r="X153">
            <v>0.79664370378511651</v>
          </cell>
          <cell r="Y153">
            <v>0.74200201439794222</v>
          </cell>
          <cell r="Z153">
            <v>0.60286269384837787</v>
          </cell>
          <cell r="AA153">
            <v>0.58523506336577535</v>
          </cell>
          <cell r="AB153">
            <v>0.5881035603027428</v>
          </cell>
          <cell r="AC153">
            <v>0.58230204558661558</v>
          </cell>
          <cell r="AD153">
            <v>0.67482441237871282</v>
          </cell>
          <cell r="AE153">
            <v>0.6519076720869994</v>
          </cell>
          <cell r="AF153">
            <v>0.59178782864559498</v>
          </cell>
          <cell r="AG153">
            <v>0.56075524189913073</v>
          </cell>
          <cell r="AH153">
            <v>0.58635096617695615</v>
          </cell>
          <cell r="AI153">
            <v>0.55937988818330331</v>
          </cell>
          <cell r="AJ153">
            <v>0.67482441237871282</v>
          </cell>
          <cell r="AK153">
            <v>0.62933823029588831</v>
          </cell>
        </row>
        <row r="154">
          <cell r="S154">
            <v>12</v>
          </cell>
          <cell r="T154">
            <v>0.68618923424402367</v>
          </cell>
          <cell r="U154">
            <v>0.65645277898962995</v>
          </cell>
          <cell r="V154">
            <v>0.710861715449988</v>
          </cell>
          <cell r="W154">
            <v>0.68069802969763504</v>
          </cell>
          <cell r="X154">
            <v>0.8706087128668375</v>
          </cell>
          <cell r="Y154">
            <v>0.83263662759670332</v>
          </cell>
          <cell r="Z154">
            <v>0.67243038169496538</v>
          </cell>
          <cell r="AA154">
            <v>0.6613014500669212</v>
          </cell>
          <cell r="AB154">
            <v>0.65630906645611442</v>
          </cell>
          <cell r="AC154">
            <v>0.65355981046070721</v>
          </cell>
          <cell r="AD154">
            <v>0.73904200747027016</v>
          </cell>
          <cell r="AE154">
            <v>0.72392337446130717</v>
          </cell>
          <cell r="AF154">
            <v>0.66301266887821941</v>
          </cell>
          <cell r="AG154">
            <v>0.64084899067856715</v>
          </cell>
          <cell r="AH154">
            <v>0.6548116301927982</v>
          </cell>
          <cell r="AI154">
            <v>0.63418495510228556</v>
          </cell>
          <cell r="AJ154">
            <v>0.73904200747027016</v>
          </cell>
          <cell r="AK154">
            <v>0.70487945083057757</v>
          </cell>
        </row>
        <row r="155">
          <cell r="S155">
            <v>13</v>
          </cell>
          <cell r="T155">
            <v>0.75050839485134624</v>
          </cell>
          <cell r="U155">
            <v>0.72345567203518579</v>
          </cell>
          <cell r="V155">
            <v>0.77450236734935174</v>
          </cell>
          <cell r="W155">
            <v>0.74832759923104897</v>
          </cell>
          <cell r="X155">
            <v>0.94255368033420994</v>
          </cell>
          <cell r="Y155">
            <v>0.90766928089415522</v>
          </cell>
          <cell r="Z155">
            <v>0.73278766316445443</v>
          </cell>
          <cell r="AA155">
            <v>0.72634407871633677</v>
          </cell>
          <cell r="AB155">
            <v>0.71731260341184233</v>
          </cell>
          <cell r="AC155">
            <v>0.71682938743292468</v>
          </cell>
          <cell r="AD155">
            <v>0.79596339388070925</v>
          </cell>
          <cell r="AE155">
            <v>0.78998238975244339</v>
          </cell>
          <cell r="AF155">
            <v>0.72460351539671664</v>
          </cell>
          <cell r="AG155">
            <v>0.70879469142580809</v>
          </cell>
          <cell r="AH155">
            <v>0.71601169537145404</v>
          </cell>
          <cell r="AI155">
            <v>0.70013235669014096</v>
          </cell>
          <cell r="AJ155">
            <v>0.79596339388070925</v>
          </cell>
          <cell r="AK155">
            <v>0.77367676080788594</v>
          </cell>
        </row>
        <row r="156">
          <cell r="S156">
            <v>14</v>
          </cell>
          <cell r="T156">
            <v>0.81031990592484027</v>
          </cell>
          <cell r="U156">
            <v>0.78237944868894305</v>
          </cell>
          <cell r="V156">
            <v>0.83209997248590473</v>
          </cell>
          <cell r="W156">
            <v>0.81031318440064737</v>
          </cell>
          <cell r="X156">
            <v>1.0049272432685934</v>
          </cell>
          <cell r="Y156">
            <v>0.97257308092655492</v>
          </cell>
          <cell r="Z156">
            <v>0.78799150513102478</v>
          </cell>
          <cell r="AA156">
            <v>0.78355343109187248</v>
          </cell>
          <cell r="AB156">
            <v>0.77144048663991194</v>
          </cell>
          <cell r="AC156">
            <v>0.77309863324746653</v>
          </cell>
          <cell r="AD156">
            <v>0.84637422973009313</v>
          </cell>
          <cell r="AE156">
            <v>0.8476405123540155</v>
          </cell>
          <cell r="AF156">
            <v>0.78069886268628597</v>
          </cell>
          <cell r="AG156">
            <v>0.76820877360701278</v>
          </cell>
          <cell r="AH156">
            <v>0.77029222084138327</v>
          </cell>
          <cell r="AI156">
            <v>0.75846526256747537</v>
          </cell>
          <cell r="AJ156">
            <v>0.84637422973009313</v>
          </cell>
          <cell r="AK156">
            <v>0.83339575562357104</v>
          </cell>
        </row>
        <row r="157">
          <cell r="S157">
            <v>15</v>
          </cell>
          <cell r="T157">
            <v>1.1282796920206275</v>
          </cell>
          <cell r="U157">
            <v>1.4171493819315926</v>
          </cell>
          <cell r="V157">
            <v>1.1388897831628675</v>
          </cell>
          <cell r="W157">
            <v>1.4631969633988042</v>
          </cell>
          <cell r="X157">
            <v>1.3061246707365297</v>
          </cell>
          <cell r="Y157">
            <v>1.6864449945976459</v>
          </cell>
          <cell r="AA157">
            <v>1.9188671728821882</v>
          </cell>
          <cell r="AC157">
            <v>1.8352547904341849</v>
          </cell>
          <cell r="AE157">
            <v>1.9168212326520877</v>
          </cell>
          <cell r="AF157">
            <v>1.1142873109230329</v>
          </cell>
          <cell r="AG157">
            <v>1.4139046719864132</v>
          </cell>
          <cell r="AH157">
            <v>1.1094908017819742</v>
          </cell>
          <cell r="AI157">
            <v>1.4521898503931883</v>
          </cell>
          <cell r="AJ157">
            <v>1.2340741581374124</v>
          </cell>
          <cell r="AK157">
            <v>1.6628003149333743</v>
          </cell>
        </row>
        <row r="158">
          <cell r="S158">
            <v>16</v>
          </cell>
          <cell r="T158">
            <v>1.3117941108742361</v>
          </cell>
          <cell r="U158">
            <v>1.6646654757039574</v>
          </cell>
          <cell r="V158">
            <v>1.3170808860731931</v>
          </cell>
          <cell r="W158">
            <v>1.7135980533711375</v>
          </cell>
          <cell r="X158">
            <v>1.4871610091274887</v>
          </cell>
          <cell r="Y158">
            <v>1.9508767474166131</v>
          </cell>
          <cell r="AA158">
            <v>2.2282165403456426</v>
          </cell>
          <cell r="AE158">
            <v>2.2043842789847474</v>
          </cell>
          <cell r="AF158">
            <v>1.3026750237525799</v>
          </cell>
          <cell r="AG158">
            <v>1.6628333545896685</v>
          </cell>
          <cell r="AH158">
            <v>1.2977998911810427</v>
          </cell>
          <cell r="AI158">
            <v>1.7074483862561856</v>
          </cell>
          <cell r="AJ158">
            <v>1.4410365193553494</v>
          </cell>
          <cell r="AK158">
            <v>1.9381748545293798</v>
          </cell>
        </row>
        <row r="159">
          <cell r="S159">
            <v>17</v>
          </cell>
          <cell r="T159">
            <v>1.4404477926664574</v>
          </cell>
          <cell r="U159">
            <v>1.8214578460555844</v>
          </cell>
          <cell r="V159">
            <v>1.4453846656368388</v>
          </cell>
          <cell r="W159">
            <v>1.8729588298013953</v>
          </cell>
          <cell r="X159">
            <v>1.6177214681848853</v>
          </cell>
          <cell r="Y159">
            <v>2.1253101167023738</v>
          </cell>
          <cell r="AF159">
            <v>1.4336850462471955</v>
          </cell>
          <cell r="AG159">
            <v>1.8201817482449021</v>
          </cell>
          <cell r="AH159">
            <v>1.4311175941978307</v>
          </cell>
          <cell r="AI159">
            <v>1.8687073154526366</v>
          </cell>
          <cell r="AJ159">
            <v>1.584051783607987</v>
          </cell>
          <cell r="AK159">
            <v>2.1168510533847833</v>
          </cell>
        </row>
        <row r="160">
          <cell r="S160">
            <v>18</v>
          </cell>
          <cell r="T160">
            <v>1.5395904205339157</v>
          </cell>
          <cell r="U160">
            <v>1.9369653949749843</v>
          </cell>
          <cell r="V160">
            <v>1.5445715339817223</v>
          </cell>
          <cell r="W160">
            <v>1.9903472919195071</v>
          </cell>
          <cell r="X160">
            <v>1.7221063621545813</v>
          </cell>
          <cell r="Y160">
            <v>2.2500626603247875</v>
          </cell>
          <cell r="AF160">
            <v>1.5342165443323297</v>
          </cell>
          <cell r="AG160">
            <v>1.9359876461455545</v>
          </cell>
          <cell r="AH160">
            <v>1.5332558841196948</v>
          </cell>
          <cell r="AI160">
            <v>1.9871065044564489</v>
          </cell>
          <cell r="AJ160">
            <v>1.6958527696349235</v>
          </cell>
          <cell r="AK160">
            <v>2.2437311256916797</v>
          </cell>
        </row>
        <row r="161">
          <cell r="S161">
            <v>19</v>
          </cell>
          <cell r="T161">
            <v>1.6203515865135292</v>
          </cell>
          <cell r="U161">
            <v>2.0281933171586375</v>
          </cell>
          <cell r="V161">
            <v>1.6264368665381774</v>
          </cell>
          <cell r="W161">
            <v>2.0837447825582966</v>
          </cell>
          <cell r="X161">
            <v>1.8084216525742776</v>
          </cell>
          <cell r="Y161">
            <v>2.3504094915725511</v>
          </cell>
          <cell r="AF161">
            <v>1.6158943153741154</v>
          </cell>
          <cell r="AG161">
            <v>2.0274009860545235</v>
          </cell>
          <cell r="AH161">
            <v>1.6170863522831569</v>
          </cell>
          <cell r="AI161">
            <v>2.0811329885819556</v>
          </cell>
          <cell r="AJ161">
            <v>1.7870188708559698</v>
          </cell>
          <cell r="AK161">
            <v>2.3453917686008903</v>
          </cell>
        </row>
        <row r="162">
          <cell r="S162">
            <v>20</v>
          </cell>
          <cell r="T162">
            <v>1.6884367306800154</v>
          </cell>
          <cell r="U162">
            <v>2.1035499093978212</v>
          </cell>
          <cell r="V162">
            <v>1.6969432071744701</v>
          </cell>
          <cell r="W162">
            <v>2.1610273218708147</v>
          </cell>
          <cell r="X162">
            <v>1.8822575042224559</v>
          </cell>
          <cell r="Y162">
            <v>2.4431977210055962</v>
          </cell>
          <cell r="AF162">
            <v>1.6846290578491447</v>
          </cell>
          <cell r="AG162">
            <v>2.1028838898518663</v>
          </cell>
          <cell r="AH162">
            <v>1.6890067906544184</v>
          </cell>
          <cell r="AI162">
            <v>2.1588423635590335</v>
          </cell>
          <cell r="AJ162">
            <v>1.8642713223064615</v>
          </cell>
          <cell r="AK162">
            <v>2.4391497778572346</v>
          </cell>
        </row>
        <row r="163">
          <cell r="S163">
            <v>21</v>
          </cell>
          <cell r="T163">
            <v>1.7473659675881319</v>
          </cell>
          <cell r="U163">
            <v>2.1684123251708929</v>
          </cell>
          <cell r="V163">
            <v>1.7584501145213662</v>
          </cell>
          <cell r="W163">
            <v>2.2267215421749977</v>
          </cell>
          <cell r="X163">
            <v>1.9473106706922292</v>
          </cell>
          <cell r="Y163">
            <v>2.5196892860481332</v>
          </cell>
          <cell r="AF163">
            <v>1.7440432898440792</v>
          </cell>
          <cell r="AG163">
            <v>2.1678387658526046</v>
          </cell>
          <cell r="AH163">
            <v>1.7515700761935418</v>
          </cell>
          <cell r="AI163">
            <v>2.2248439755409843</v>
          </cell>
          <cell r="AJ163">
            <v>1.9318716263522995</v>
          </cell>
          <cell r="AK163">
            <v>2.5162976036512283</v>
          </cell>
        </row>
        <row r="164">
          <cell r="S164">
            <v>22</v>
          </cell>
          <cell r="T164">
            <v>1.7995479961532803</v>
          </cell>
          <cell r="U164">
            <v>2.2250124123879829</v>
          </cell>
          <cell r="V164">
            <v>1.8123591106284935</v>
          </cell>
          <cell r="W164">
            <v>2.2840786434240492</v>
          </cell>
          <cell r="X164">
            <v>2.0049654577497336</v>
          </cell>
          <cell r="Y164">
            <v>2.585346782762437</v>
          </cell>
          <cell r="AF164">
            <v>1.796602776486272</v>
          </cell>
          <cell r="AG164">
            <v>2.2245089776288771</v>
          </cell>
          <cell r="AH164">
            <v>1.806287855618868</v>
          </cell>
          <cell r="AI164">
            <v>2.2824338098211845</v>
          </cell>
          <cell r="AJ164">
            <v>1.9914759447042183</v>
          </cell>
          <cell r="AK164">
            <v>2.5824325836074342</v>
          </cell>
        </row>
        <row r="165">
          <cell r="S165">
            <v>23</v>
          </cell>
          <cell r="T165">
            <v>1.8462040813389944</v>
          </cell>
          <cell r="U165">
            <v>2.2754643098509906</v>
          </cell>
          <cell r="V165">
            <v>1.8610107913850862</v>
          </cell>
          <cell r="W165">
            <v>2.3349974851090303</v>
          </cell>
          <cell r="X165">
            <v>2.0560823420788368</v>
          </cell>
          <cell r="Y165">
            <v>2.6439926424891955</v>
          </cell>
          <cell r="AF165">
            <v>1.8435597777771418</v>
          </cell>
          <cell r="AG165">
            <v>2.2750161182810329</v>
          </cell>
          <cell r="AH165">
            <v>1.8555869899542046</v>
          </cell>
          <cell r="AI165">
            <v>2.3335349306615085</v>
          </cell>
          <cell r="AJ165">
            <v>2.0441115262511609</v>
          </cell>
          <cell r="AK165">
            <v>2.6414476355814727</v>
          </cell>
        </row>
        <row r="166">
          <cell r="S166">
            <v>24</v>
          </cell>
          <cell r="T166">
            <v>1.8883923752519916</v>
          </cell>
          <cell r="U166">
            <v>2.3212472493432941</v>
          </cell>
          <cell r="V166">
            <v>1.9053651488314083</v>
          </cell>
          <cell r="W166">
            <v>2.3816202297476128</v>
          </cell>
          <cell r="X166">
            <v>2.1020846891040881</v>
          </cell>
          <cell r="Y166">
            <v>2.6982750986626138</v>
          </cell>
          <cell r="AF166">
            <v>1.8859935401200665</v>
          </cell>
          <cell r="AG166">
            <v>2.3208439213960776</v>
          </cell>
          <cell r="AH166">
            <v>1.9004709099051944</v>
          </cell>
          <cell r="AI166">
            <v>2.3803067759892396</v>
          </cell>
          <cell r="AJ166">
            <v>2.0913320525089785</v>
          </cell>
          <cell r="AK166">
            <v>2.6960298897991133</v>
          </cell>
        </row>
        <row r="167">
          <cell r="S167">
            <v>25</v>
          </cell>
          <cell r="T167">
            <v>1.9268746971059953</v>
          </cell>
          <cell r="U167">
            <v>2.362852146269049</v>
          </cell>
          <cell r="V167">
            <v>1.9459444725631676</v>
          </cell>
          <cell r="W167">
            <v>2.4243305821809447</v>
          </cell>
          <cell r="X167">
            <v>2.144525015914736</v>
          </cell>
          <cell r="Y167">
            <v>2.7476817013449741</v>
          </cell>
          <cell r="AF167">
            <v>1.9246797896954178</v>
          </cell>
          <cell r="AG167">
            <v>2.3624856791691236</v>
          </cell>
          <cell r="AH167">
            <v>1.9414890713588668</v>
          </cell>
          <cell r="AI167">
            <v>2.4231403193570729</v>
          </cell>
          <cell r="AJ167">
            <v>2.1347847583235464</v>
          </cell>
          <cell r="AK167">
            <v>2.7456784785616115</v>
          </cell>
        </row>
        <row r="168">
          <cell r="S168">
            <v>26</v>
          </cell>
          <cell r="T168">
            <v>1.9622746046233148</v>
          </cell>
          <cell r="U168">
            <v>2.4009441194827366</v>
          </cell>
          <cell r="V168">
            <v>1.983576225373785</v>
          </cell>
          <cell r="W168">
            <v>2.4641403619062898</v>
          </cell>
          <cell r="X168">
            <v>2.1840562721626959</v>
          </cell>
          <cell r="Y168">
            <v>2.7928035135562244</v>
          </cell>
          <cell r="AF168">
            <v>1.9602519102775928</v>
          </cell>
          <cell r="AG168">
            <v>2.4006084378124344</v>
          </cell>
          <cell r="AH168">
            <v>1.979492377151477</v>
          </cell>
          <cell r="AI168">
            <v>2.4630544841928224</v>
          </cell>
          <cell r="AJ168">
            <v>2.1751721887209547</v>
          </cell>
          <cell r="AK168">
            <v>2.7909983836362913</v>
          </cell>
        </row>
        <row r="169">
          <cell r="S169">
            <v>27</v>
          </cell>
          <cell r="T169">
            <v>1.9950056695818617</v>
          </cell>
          <cell r="U169">
            <v>2.4360547758947622</v>
          </cell>
          <cell r="V169">
            <v>2.0190635069532723</v>
          </cell>
          <cell r="W169">
            <v>2.5008646766245684</v>
          </cell>
          <cell r="X169">
            <v>2.2203895033878993</v>
          </cell>
          <cell r="Y169">
            <v>2.8339310675458647</v>
          </cell>
          <cell r="AF169">
            <v>1.9931301324276134</v>
          </cell>
          <cell r="AG169">
            <v>2.4357451737697136</v>
          </cell>
          <cell r="AH169">
            <v>2.0153014822595434</v>
          </cell>
          <cell r="AI169">
            <v>2.4998669477333468</v>
          </cell>
          <cell r="AJ169">
            <v>2.2122251705840625</v>
          </cell>
          <cell r="AK169">
            <v>2.832289346898893</v>
          </cell>
        </row>
        <row r="170">
          <cell r="S170">
            <v>28</v>
          </cell>
          <cell r="T170">
            <v>2.0255123109239164</v>
          </cell>
          <cell r="U170">
            <v>2.4686186058620536</v>
          </cell>
          <cell r="V170">
            <v>2.0520676294805988</v>
          </cell>
          <cell r="W170">
            <v>2.5373685799290975</v>
          </cell>
          <cell r="X170">
            <v>2.2556111227554676</v>
          </cell>
          <cell r="Y170">
            <v>2.8727246806525684</v>
          </cell>
          <cell r="AF170">
            <v>2.0237642549525017</v>
          </cell>
          <cell r="AG170">
            <v>2.468331376444278</v>
          </cell>
          <cell r="AH170">
            <v>2.0485820137484261</v>
          </cell>
          <cell r="AI170">
            <v>2.5364513707340364</v>
          </cell>
          <cell r="AJ170">
            <v>2.2480883268880838</v>
          </cell>
          <cell r="AK170">
            <v>2.8712234914791357</v>
          </cell>
        </row>
        <row r="171">
          <cell r="S171">
            <v>29</v>
          </cell>
          <cell r="T171">
            <v>2.0540876771728498</v>
          </cell>
          <cell r="U171">
            <v>2.5017258103363877</v>
          </cell>
          <cell r="V171">
            <v>2.0831380464807778</v>
          </cell>
          <cell r="W171">
            <v>2.5716180046988506</v>
          </cell>
          <cell r="X171">
            <v>2.2881892879030969</v>
          </cell>
          <cell r="Y171">
            <v>2.908729924070562</v>
          </cell>
          <cell r="AF171">
            <v>2.0524511461523507</v>
          </cell>
          <cell r="AG171">
            <v>2.5014596697127929</v>
          </cell>
          <cell r="AH171">
            <v>2.0798939895536521</v>
          </cell>
          <cell r="AI171">
            <v>2.5707704179161008</v>
          </cell>
          <cell r="AJ171">
            <v>2.281214550758444</v>
          </cell>
          <cell r="AK171">
            <v>2.9073483620059029</v>
          </cell>
        </row>
        <row r="172">
          <cell r="S172">
            <v>30</v>
          </cell>
          <cell r="T172">
            <v>2.0825624231228232</v>
          </cell>
          <cell r="U172">
            <v>2.5408875661865564</v>
          </cell>
          <cell r="V172">
            <v>2.1133369212675039</v>
          </cell>
          <cell r="W172">
            <v>2.6047053490057492</v>
          </cell>
          <cell r="X172">
            <v>2.3192226886887219</v>
          </cell>
          <cell r="Y172">
            <v>2.9451002141942553</v>
          </cell>
          <cell r="AF172">
            <v>2.0810299336259321</v>
          </cell>
          <cell r="AG172">
            <v>2.5406443805401415</v>
          </cell>
          <cell r="AH172">
            <v>2.1103115380981361</v>
          </cell>
          <cell r="AI172">
            <v>2.6039199945266169</v>
          </cell>
          <cell r="AJ172">
            <v>2.3127325681624287</v>
          </cell>
          <cell r="AK172">
            <v>2.9438298022659719</v>
          </cell>
        </row>
        <row r="173">
          <cell r="S173">
            <v>31</v>
          </cell>
          <cell r="T173">
            <v>2.1235619058413233</v>
          </cell>
          <cell r="U173">
            <v>2.5788801250067794</v>
          </cell>
          <cell r="V173">
            <v>2.153785910413927</v>
          </cell>
          <cell r="W173">
            <v>2.6414525935549715</v>
          </cell>
          <cell r="X173">
            <v>2.3692559442814143</v>
          </cell>
          <cell r="Y173">
            <v>2.9807554818994122</v>
          </cell>
          <cell r="AF173">
            <v>2.122167693495101</v>
          </cell>
          <cell r="AG173">
            <v>2.578657314743237</v>
          </cell>
          <cell r="AH173">
            <v>2.1510304346635061</v>
          </cell>
          <cell r="AI173">
            <v>2.6407310100378796</v>
          </cell>
          <cell r="AJ173">
            <v>2.3634767823429974</v>
          </cell>
          <cell r="AK173">
            <v>2.9795853382378814</v>
          </cell>
        </row>
        <row r="174">
          <cell r="S174">
            <v>32</v>
          </cell>
          <cell r="T174">
            <v>2.1610507016229281</v>
          </cell>
          <cell r="U174">
            <v>2.6371872191275871</v>
          </cell>
          <cell r="V174">
            <v>2.1918959802016929</v>
          </cell>
          <cell r="W174">
            <v>2.676008896333069</v>
          </cell>
          <cell r="X174">
            <v>2.4142310726553351</v>
          </cell>
          <cell r="AF174">
            <v>2.1597719611174089</v>
          </cell>
          <cell r="AG174">
            <v>2.6369924078476048</v>
          </cell>
          <cell r="AH174">
            <v>2.1893726704962124</v>
          </cell>
          <cell r="AI174">
            <v>2.6753425458878413</v>
          </cell>
          <cell r="AJ174">
            <v>2.4090238714607488</v>
          </cell>
          <cell r="AK174">
            <v>3.0126727097847339</v>
          </cell>
        </row>
        <row r="175">
          <cell r="S175">
            <v>33</v>
          </cell>
          <cell r="T175">
            <v>2.1956456403472662</v>
          </cell>
          <cell r="U175">
            <v>2.6894789910769039</v>
          </cell>
          <cell r="V175">
            <v>2.2274406170555037</v>
          </cell>
          <cell r="W175">
            <v>2.7292244200650098</v>
          </cell>
          <cell r="X175">
            <v>2.4590667956012244</v>
          </cell>
          <cell r="AF175">
            <v>2.1944649432790566</v>
          </cell>
          <cell r="AG175">
            <v>2.6893062835454362</v>
          </cell>
          <cell r="AH175">
            <v>2.2251161328422695</v>
          </cell>
          <cell r="AI175">
            <v>2.7286349676807067</v>
          </cell>
          <cell r="AJ175">
            <v>2.4543731277176417</v>
          </cell>
          <cell r="AK175">
            <v>3.044201561062057</v>
          </cell>
        </row>
        <row r="176">
          <cell r="S176">
            <v>34</v>
          </cell>
          <cell r="T176">
            <v>2.2279116308597287</v>
          </cell>
          <cell r="U176">
            <v>2.7366711763840472</v>
          </cell>
          <cell r="V176">
            <v>2.2604811495180988</v>
          </cell>
          <cell r="W176">
            <v>2.7767297244772475</v>
          </cell>
          <cell r="X176">
            <v>2.4998478517638718</v>
          </cell>
          <cell r="AF176">
            <v>2.2268155813072839</v>
          </cell>
          <cell r="AG176">
            <v>2.7365162554171838</v>
          </cell>
          <cell r="AH176">
            <v>2.2583273722524639</v>
          </cell>
          <cell r="AI176">
            <v>2.776201385228521</v>
          </cell>
          <cell r="AJ176">
            <v>2.4955769430966539</v>
          </cell>
        </row>
        <row r="177">
          <cell r="S177">
            <v>35</v>
          </cell>
          <cell r="T177">
            <v>2.2580165212076837</v>
          </cell>
          <cell r="U177">
            <v>2.7793999321378213</v>
          </cell>
          <cell r="V177">
            <v>2.2928025838699138</v>
          </cell>
          <cell r="W177">
            <v>2.8201923924260135</v>
          </cell>
          <cell r="X177">
            <v>2.5380626093470249</v>
          </cell>
          <cell r="AF177">
            <v>2.2569939617529933</v>
          </cell>
          <cell r="AG177">
            <v>2.7792595298501608</v>
          </cell>
          <cell r="AH177">
            <v>2.2908036335426774</v>
          </cell>
          <cell r="AI177">
            <v>2.8194208021824227</v>
          </cell>
          <cell r="AJ177">
            <v>2.5341530741850624</v>
          </cell>
        </row>
        <row r="178">
          <cell r="S178">
            <v>36</v>
          </cell>
          <cell r="T178">
            <v>2.2861905120791532</v>
          </cell>
          <cell r="U178">
            <v>2.8183091144152685</v>
          </cell>
          <cell r="V178">
            <v>2.3230779348294481</v>
          </cell>
          <cell r="W178">
            <v>2.8611974779531719</v>
          </cell>
          <cell r="X178">
            <v>2.5741613049786265</v>
          </cell>
          <cell r="AF178">
            <v>2.2852322541109964</v>
          </cell>
          <cell r="AG178">
            <v>2.8181807457619108</v>
          </cell>
          <cell r="AH178">
            <v>2.3212138775439377</v>
          </cell>
          <cell r="AI178">
            <v>2.8589939890415099</v>
          </cell>
          <cell r="AJ178">
            <v>2.5705648875430627</v>
          </cell>
        </row>
        <row r="179">
          <cell r="S179">
            <v>37</v>
          </cell>
          <cell r="T179">
            <v>2.3133636951255578</v>
          </cell>
          <cell r="U179">
            <v>2.8604724672865118</v>
          </cell>
          <cell r="V179">
            <v>2.3514157461534126</v>
          </cell>
          <cell r="W179">
            <v>2.899400773384734</v>
          </cell>
          <cell r="X179">
            <v>2.6081094031538363</v>
          </cell>
          <cell r="AF179">
            <v>2.3124636170635493</v>
          </cell>
          <cell r="AG179">
            <v>2.8603559770053417</v>
          </cell>
          <cell r="AH179">
            <v>2.3496696727690094</v>
          </cell>
          <cell r="AI179">
            <v>2.8966418302497874</v>
          </cell>
          <cell r="AJ179">
            <v>2.6047844429783935</v>
          </cell>
        </row>
        <row r="180">
          <cell r="S180">
            <v>38</v>
          </cell>
          <cell r="T180">
            <v>2.3390606986889901</v>
          </cell>
          <cell r="U180">
            <v>2.903353415259367</v>
          </cell>
          <cell r="V180">
            <v>2.379010750293904</v>
          </cell>
          <cell r="W180">
            <v>2.9499904792283309</v>
          </cell>
          <cell r="X180">
            <v>2.6402700023612775</v>
          </cell>
          <cell r="AF180">
            <v>2.3382123833881616</v>
          </cell>
          <cell r="AG180">
            <v>2.9032478786179938</v>
          </cell>
          <cell r="AH180">
            <v>2.3773723739272326</v>
          </cell>
          <cell r="AI180">
            <v>2.9319694671638659</v>
          </cell>
          <cell r="AJ180">
            <v>2.6371832136059115</v>
          </cell>
        </row>
        <row r="181">
          <cell r="S181">
            <v>39</v>
          </cell>
          <cell r="T181">
            <v>2.363392333035244</v>
          </cell>
          <cell r="U181">
            <v>2.9471177876599159</v>
          </cell>
          <cell r="V181">
            <v>2.4054023725249958</v>
          </cell>
          <cell r="W181">
            <v>2.9958887660814431</v>
          </cell>
          <cell r="X181">
            <v>2.6706108596417444</v>
          </cell>
          <cell r="AF181">
            <v>2.3625902810065282</v>
          </cell>
          <cell r="AG181">
            <v>2.9470223688846757</v>
          </cell>
          <cell r="AH181">
            <v>2.4038607654408661</v>
          </cell>
          <cell r="AI181">
            <v>2.9790951791973117</v>
          </cell>
          <cell r="AJ181">
            <v>2.6677330525332672</v>
          </cell>
        </row>
        <row r="182">
          <cell r="S182">
            <v>40</v>
          </cell>
          <cell r="T182">
            <v>2.3864383206086708</v>
          </cell>
          <cell r="U182">
            <v>2.9874293042695999</v>
          </cell>
          <cell r="V182">
            <v>2.4302918260296642</v>
          </cell>
          <cell r="W182">
            <v>3.0374551843351174</v>
          </cell>
          <cell r="X182">
            <v>2.6992750324951551</v>
          </cell>
          <cell r="AF182">
            <v>2.3856777565187111</v>
          </cell>
          <cell r="AG182">
            <v>2.9873423445577858</v>
          </cell>
          <cell r="AH182">
            <v>2.4288362286546024</v>
          </cell>
          <cell r="AI182">
            <v>3.0221609482378686</v>
          </cell>
          <cell r="AJ182">
            <v>2.696581604205504</v>
          </cell>
        </row>
        <row r="183">
          <cell r="S183">
            <v>41</v>
          </cell>
          <cell r="T183">
            <v>2.4083783746201446</v>
          </cell>
          <cell r="U183">
            <v>3.0244020846504496</v>
          </cell>
          <cell r="V183">
            <v>2.4540750960353939</v>
          </cell>
          <cell r="W183">
            <v>3.0770333515350434</v>
          </cell>
          <cell r="X183">
            <v>2.726618825585875</v>
          </cell>
          <cell r="AF183">
            <v>2.4076553101564815</v>
          </cell>
          <cell r="AG183">
            <v>3.0243222223597708</v>
          </cell>
          <cell r="AH183">
            <v>2.4526971913766955</v>
          </cell>
          <cell r="AI183">
            <v>3.0613942676618215</v>
          </cell>
          <cell r="AJ183">
            <v>2.724090230496492</v>
          </cell>
        </row>
        <row r="184">
          <cell r="S184">
            <v>42</v>
          </cell>
          <cell r="T184">
            <v>2.4293717424045944</v>
          </cell>
          <cell r="U184">
            <v>3.0585189474603269</v>
          </cell>
          <cell r="V184">
            <v>2.4770579878820853</v>
          </cell>
          <cell r="W184">
            <v>3.1168370493651532</v>
          </cell>
          <cell r="X184">
            <v>2.7524684725946438</v>
          </cell>
          <cell r="AF184">
            <v>2.4286828259137998</v>
          </cell>
          <cell r="AG184">
            <v>3.0584451193278159</v>
          </cell>
          <cell r="AH184">
            <v>2.4757512131449539</v>
          </cell>
          <cell r="AI184">
            <v>3.0989389457013625</v>
          </cell>
          <cell r="AJ184">
            <v>2.7500863919792771</v>
          </cell>
        </row>
        <row r="185">
          <cell r="S185">
            <v>43</v>
          </cell>
          <cell r="T185">
            <v>2.4495319305897496</v>
          </cell>
          <cell r="U185">
            <v>3.0907542621378665</v>
          </cell>
          <cell r="V185">
            <v>2.4989003799609928</v>
          </cell>
          <cell r="W185">
            <v>3.1544744299067369</v>
          </cell>
          <cell r="X185">
            <v>2.7776600027417735</v>
          </cell>
          <cell r="AF185">
            <v>2.448874286744132</v>
          </cell>
          <cell r="AG185">
            <v>3.0906857158520471</v>
          </cell>
          <cell r="AH185">
            <v>2.4976577945252418</v>
          </cell>
          <cell r="AI185">
            <v>3.1368677585297569</v>
          </cell>
          <cell r="AJ185">
            <v>2.7754125131504153</v>
          </cell>
        </row>
        <row r="186">
          <cell r="S186">
            <v>44</v>
          </cell>
          <cell r="T186">
            <v>2.469560182628312</v>
          </cell>
          <cell r="U186">
            <v>3.1215160842698251</v>
          </cell>
          <cell r="V186">
            <v>2.520196790642216</v>
          </cell>
          <cell r="X186">
            <v>2.802601546408134</v>
          </cell>
          <cell r="AF186">
            <v>2.4689321999260518</v>
          </cell>
          <cell r="AG186">
            <v>3.1214522256156338</v>
          </cell>
          <cell r="AH186">
            <v>2.5190137488404183</v>
          </cell>
          <cell r="AI186">
            <v>3.1728770222779157</v>
          </cell>
          <cell r="AJ186">
            <v>2.8004798007301894</v>
          </cell>
        </row>
        <row r="187">
          <cell r="S187">
            <v>45</v>
          </cell>
          <cell r="T187">
            <v>2.4887669638664427</v>
          </cell>
          <cell r="U187">
            <v>3.1503844754317631</v>
          </cell>
          <cell r="V187">
            <v>2.5405328071650612</v>
          </cell>
          <cell r="X187">
            <v>2.8268831988170287</v>
          </cell>
          <cell r="AF187">
            <v>2.48816616748248</v>
          </cell>
          <cell r="AG187">
            <v>3.1503247238623251</v>
          </cell>
          <cell r="AH187">
            <v>2.5394039552062746</v>
          </cell>
          <cell r="AJ187">
            <v>2.8248770927110534</v>
          </cell>
        </row>
        <row r="188">
          <cell r="S188">
            <v>46</v>
          </cell>
          <cell r="T188">
            <v>2.5108427483515214</v>
          </cell>
          <cell r="U188">
            <v>3.1789404190025863</v>
          </cell>
          <cell r="V188">
            <v>2.5651299316842202</v>
          </cell>
          <cell r="X188">
            <v>2.8564200630673406</v>
          </cell>
          <cell r="AF188">
            <v>2.5102717476640657</v>
          </cell>
          <cell r="AG188">
            <v>3.1788844701129269</v>
          </cell>
          <cell r="AH188">
            <v>2.564063314043096</v>
          </cell>
          <cell r="AJ188">
            <v>2.8545461433038097</v>
          </cell>
        </row>
        <row r="189">
          <cell r="S189">
            <v>47</v>
          </cell>
          <cell r="T189">
            <v>2.5319041896138281</v>
          </cell>
          <cell r="U189">
            <v>3.2079496481815739</v>
          </cell>
          <cell r="V189">
            <v>2.5885343335515163</v>
          </cell>
          <cell r="X189">
            <v>2.8856499750855322</v>
          </cell>
          <cell r="AF189">
            <v>2.5313602362471292</v>
          </cell>
          <cell r="AG189">
            <v>3.207897314602703</v>
          </cell>
          <cell r="AH189">
            <v>2.5875237403800528</v>
          </cell>
          <cell r="AJ189">
            <v>2.8838982739449586</v>
          </cell>
        </row>
        <row r="190">
          <cell r="S190">
            <v>48</v>
          </cell>
          <cell r="T190">
            <v>2.5520770761633069</v>
          </cell>
          <cell r="U190">
            <v>3.2355006966235629</v>
          </cell>
          <cell r="V190">
            <v>2.6107632957828093</v>
          </cell>
          <cell r="X190">
            <v>2.9146256475788936</v>
          </cell>
          <cell r="AF190">
            <v>2.5515578262492453</v>
          </cell>
          <cell r="AG190">
            <v>3.2354515800821027</v>
          </cell>
          <cell r="AH190">
            <v>2.6098031831888879</v>
          </cell>
          <cell r="AJ190">
            <v>2.9129872181453416</v>
          </cell>
        </row>
        <row r="191">
          <cell r="S191">
            <v>49</v>
          </cell>
          <cell r="T191">
            <v>2.5714872035791281</v>
          </cell>
          <cell r="U191">
            <v>3.2737518483153525</v>
          </cell>
          <cell r="V191">
            <v>2.6325506200378048</v>
          </cell>
          <cell r="X191">
            <v>2.9420567905367769</v>
          </cell>
          <cell r="AF191">
            <v>2.5709906627631613</v>
          </cell>
          <cell r="AG191">
            <v>3.2737068729648966</v>
          </cell>
          <cell r="AH191">
            <v>2.6316375347673544</v>
          </cell>
          <cell r="AJ191">
            <v>2.940518825733673</v>
          </cell>
        </row>
        <row r="192">
          <cell r="S192">
            <v>50</v>
          </cell>
          <cell r="T192">
            <v>2.590070271535402</v>
          </cell>
          <cell r="U192">
            <v>3.3098286202020204</v>
          </cell>
          <cell r="V192">
            <v>2.6533000394205746</v>
          </cell>
          <cell r="X192">
            <v>2.9679360003176858</v>
          </cell>
          <cell r="AF192">
            <v>2.5895945405020444</v>
          </cell>
          <cell r="AG192">
            <v>3.3097872301481526</v>
          </cell>
          <cell r="AH192">
            <v>2.6524295958855988</v>
          </cell>
          <cell r="AJ192">
            <v>2.9664871528913732</v>
          </cell>
        </row>
        <row r="193">
          <cell r="S193">
            <v>51</v>
          </cell>
          <cell r="T193">
            <v>2.6096264199237522</v>
          </cell>
          <cell r="U193">
            <v>3.3431505403216084</v>
          </cell>
          <cell r="V193">
            <v>2.6753071423411208</v>
          </cell>
          <cell r="X193">
            <v>2.9925423841991465</v>
          </cell>
          <cell r="AF193">
            <v>2.6091716467304082</v>
          </cell>
          <cell r="AG193">
            <v>3.3431122073451007</v>
          </cell>
          <cell r="AH193">
            <v>2.6744797490731509</v>
          </cell>
          <cell r="AJ193">
            <v>2.9911734696953203</v>
          </cell>
        </row>
        <row r="194">
          <cell r="S194">
            <v>52</v>
          </cell>
          <cell r="T194">
            <v>2.628408345134345</v>
          </cell>
          <cell r="U194">
            <v>3.3742113764700505</v>
          </cell>
          <cell r="V194">
            <v>2.6963496601751515</v>
          </cell>
          <cell r="X194">
            <v>3.0158839878080461</v>
          </cell>
          <cell r="AF194">
            <v>2.6279728299467182</v>
          </cell>
          <cell r="AG194">
            <v>3.3741756894418633</v>
          </cell>
          <cell r="AH194">
            <v>2.6955614357530568</v>
          </cell>
          <cell r="AJ194">
            <v>3.0145868119111401</v>
          </cell>
        </row>
        <row r="195">
          <cell r="S195">
            <v>53</v>
          </cell>
          <cell r="T195">
            <v>2.6464284303081156</v>
          </cell>
          <cell r="U195">
            <v>3.4036696679404015</v>
          </cell>
          <cell r="V195">
            <v>2.7164247388492471</v>
          </cell>
          <cell r="X195">
            <v>3.0381572904274687</v>
          </cell>
          <cell r="AF195">
            <v>2.6460106246027633</v>
          </cell>
          <cell r="AG195">
            <v>3.4036363213893819</v>
          </cell>
          <cell r="AH195">
            <v>2.7156721513592634</v>
          </cell>
          <cell r="AJ195">
            <v>3.0369250566411221</v>
          </cell>
        </row>
        <row r="196">
          <cell r="S196">
            <v>54</v>
          </cell>
          <cell r="T196">
            <v>2.6637908838010493</v>
          </cell>
          <cell r="V196">
            <v>2.7357536693599696</v>
          </cell>
          <cell r="X196">
            <v>3.0597325212825033</v>
          </cell>
          <cell r="AF196">
            <v>2.6633894594413419</v>
          </cell>
          <cell r="AH196">
            <v>2.7350338696370393</v>
          </cell>
          <cell r="AJ196">
            <v>3.0585600883875439</v>
          </cell>
        </row>
        <row r="197">
          <cell r="S197">
            <v>55</v>
          </cell>
          <cell r="T197">
            <v>2.6807180499037853</v>
          </cell>
          <cell r="V197">
            <v>2.754272021630952</v>
          </cell>
          <cell r="X197">
            <v>3.0803614647986897</v>
          </cell>
          <cell r="AF197">
            <v>2.6803319773908165</v>
          </cell>
          <cell r="AH197">
            <v>2.7535822929407638</v>
          </cell>
          <cell r="AJ197">
            <v>3.0792434904626211</v>
          </cell>
        </row>
        <row r="198">
          <cell r="S198">
            <v>56</v>
          </cell>
          <cell r="T198">
            <v>2.697050966330425</v>
          </cell>
          <cell r="V198">
            <v>2.7735546131640629</v>
          </cell>
          <cell r="X198">
            <v>3.1001938271435057</v>
          </cell>
          <cell r="AF198">
            <v>2.6966791496757168</v>
          </cell>
          <cell r="AH198">
            <v>2.7728948611640707</v>
          </cell>
          <cell r="AJ198">
            <v>3.0991258191601103</v>
          </cell>
        </row>
        <row r="199">
          <cell r="S199">
            <v>57</v>
          </cell>
          <cell r="T199">
            <v>2.7138790502294392</v>
          </cell>
          <cell r="V199">
            <v>2.7924399495422465</v>
          </cell>
          <cell r="X199">
            <v>3.1202185197707246</v>
          </cell>
          <cell r="AF199">
            <v>2.7135213710277917</v>
          </cell>
          <cell r="AH199">
            <v>2.7918082925106735</v>
          </cell>
          <cell r="AJ199">
            <v>3.1191986946048811</v>
          </cell>
        </row>
        <row r="200">
          <cell r="S200">
            <v>58</v>
          </cell>
          <cell r="T200">
            <v>2.7301020481490941</v>
          </cell>
          <cell r="V200">
            <v>2.81064315562254</v>
          </cell>
          <cell r="X200">
            <v>3.1399075663736333</v>
          </cell>
          <cell r="AF200">
            <v>2.7297574887268157</v>
          </cell>
          <cell r="AH200">
            <v>2.8100374450436134</v>
          </cell>
          <cell r="AJ200">
            <v>3.1389329940805513</v>
          </cell>
        </row>
        <row r="201">
          <cell r="S201">
            <v>59</v>
          </cell>
          <cell r="T201">
            <v>2.7485539985230982</v>
          </cell>
          <cell r="V201">
            <v>2.82859455414154</v>
          </cell>
          <cell r="X201">
            <v>3.1587449551711861</v>
          </cell>
          <cell r="AF201">
            <v>2.7482237772768849</v>
          </cell>
          <cell r="AH201">
            <v>2.8280133864114445</v>
          </cell>
          <cell r="AJ201">
            <v>3.1578117954755549</v>
          </cell>
        </row>
        <row r="202">
          <cell r="S202">
            <v>60</v>
          </cell>
          <cell r="T202">
            <v>2.7662596271708688</v>
          </cell>
          <cell r="V202">
            <v>2.8475698831031711</v>
          </cell>
          <cell r="X202">
            <v>3.1772031628434574</v>
          </cell>
          <cell r="AF202">
            <v>2.7659426027003904</v>
          </cell>
          <cell r="AH202">
            <v>2.8470135771152982</v>
          </cell>
          <cell r="AJ202">
            <v>3.1763088729205311</v>
          </cell>
        </row>
        <row r="203">
          <cell r="S203">
            <v>61</v>
          </cell>
          <cell r="T203">
            <v>2.7832760420203053</v>
          </cell>
          <cell r="V203">
            <v>2.8657765803516844</v>
          </cell>
          <cell r="X203">
            <v>3.1996287912346744</v>
          </cell>
          <cell r="AF203">
            <v>2.7829712031953697</v>
          </cell>
          <cell r="AH203">
            <v>2.8652431280259938</v>
          </cell>
          <cell r="AJ203">
            <v>3.1987795517248454</v>
          </cell>
        </row>
        <row r="204">
          <cell r="S204">
            <v>62</v>
          </cell>
          <cell r="T204">
            <v>2.7996949407753413</v>
          </cell>
          <cell r="V204">
            <v>2.8833953269840342</v>
          </cell>
          <cell r="X204">
            <v>3.2219425297266562</v>
          </cell>
          <cell r="AF204">
            <v>2.7994014153513365</v>
          </cell>
          <cell r="AH204">
            <v>2.8828830955126201</v>
          </cell>
          <cell r="AJ204">
            <v>3.2211358610863701</v>
          </cell>
        </row>
        <row r="205">
          <cell r="S205">
            <v>63</v>
          </cell>
          <cell r="T205">
            <v>2.8155644669443705</v>
          </cell>
          <cell r="V205">
            <v>2.9003877230134103</v>
          </cell>
          <cell r="X205">
            <v>3.2453468639902914</v>
          </cell>
          <cell r="AF205">
            <v>2.8152814770476078</v>
          </cell>
          <cell r="AH205">
            <v>2.8998951574670451</v>
          </cell>
          <cell r="AJ205">
            <v>3.2445825537704267</v>
          </cell>
        </row>
        <row r="206">
          <cell r="S206">
            <v>64</v>
          </cell>
          <cell r="T206">
            <v>2.8343573035052199</v>
          </cell>
          <cell r="V206">
            <v>2.9167928292056411</v>
          </cell>
          <cell r="X206">
            <v>3.2683574693462538</v>
          </cell>
          <cell r="AF206">
            <v>2.8340863017518636</v>
          </cell>
          <cell r="AH206">
            <v>2.9163185328455494</v>
          </cell>
          <cell r="AJ206">
            <v>3.2676326340564148</v>
          </cell>
        </row>
        <row r="207">
          <cell r="S207">
            <v>65</v>
          </cell>
          <cell r="T207">
            <v>2.8523982507470804</v>
          </cell>
          <cell r="V207">
            <v>2.9327179866422339</v>
          </cell>
          <cell r="X207">
            <v>3.2910735363973029</v>
          </cell>
          <cell r="AF207">
            <v>2.8521382793076073</v>
          </cell>
          <cell r="AH207">
            <v>2.9322607762503665</v>
          </cell>
          <cell r="AJ207">
            <v>3.2903856689084061</v>
          </cell>
        </row>
        <row r="208">
          <cell r="S208">
            <v>66</v>
          </cell>
          <cell r="T208">
            <v>2.8745581169430916</v>
          </cell>
          <cell r="V208">
            <v>2.9568376121213213</v>
          </cell>
          <cell r="X208">
            <v>3.319718160025392</v>
          </cell>
          <cell r="AF208">
            <v>2.8743110814785173</v>
          </cell>
          <cell r="AH208">
            <v>2.9564051141115701</v>
          </cell>
          <cell r="AJ208">
            <v>3.319074230710942</v>
          </cell>
        </row>
        <row r="209">
          <cell r="S209">
            <v>67</v>
          </cell>
          <cell r="T209">
            <v>2.8957316912270725</v>
          </cell>
          <cell r="V209">
            <v>2.9797917208329858</v>
          </cell>
          <cell r="X209">
            <v>3.3466997824563083</v>
          </cell>
          <cell r="AF209">
            <v>2.8954964140219723</v>
          </cell>
          <cell r="AH209">
            <v>2.9793814989079048</v>
          </cell>
          <cell r="AJ209">
            <v>3.3460946684979627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in Lee" refreshedDate="45951.734968287034" createdVersion="8" refreshedVersion="8" minRefreshableVersion="3" recordCount="67" xr:uid="{F415005F-6C25-4F52-B7AB-AF7181D1BC04}">
  <cacheSource type="worksheet">
    <worksheetSource ref="A2:M69" sheet="Meta"/>
  </cacheSource>
  <cacheFields count="13">
    <cacheField name="File" numFmtId="0">
      <sharedItems containsSemiMixedTypes="0" containsString="0" containsNumber="1" containsInteger="1" minValue="17" maxValue="132" count="67">
        <n v="17"/>
        <n v="19"/>
        <n v="20"/>
        <n v="22"/>
        <n v="23"/>
        <n v="25"/>
        <n v="26"/>
        <n v="27"/>
        <n v="28"/>
        <n v="29"/>
        <n v="30"/>
        <n v="31"/>
        <n v="32"/>
        <n v="33"/>
        <n v="34"/>
        <n v="36"/>
        <n v="38"/>
        <n v="40"/>
        <n v="41"/>
        <n v="43"/>
        <n v="45"/>
        <n v="46"/>
        <n v="48"/>
        <n v="49"/>
        <n v="67"/>
        <n v="69"/>
        <n v="70"/>
        <n v="72"/>
        <n v="73"/>
        <n v="75"/>
        <n v="76"/>
        <n v="77"/>
        <n v="78"/>
        <n v="79"/>
        <n v="80"/>
        <n v="81"/>
        <n v="82"/>
        <n v="83"/>
        <n v="84"/>
        <n v="86"/>
        <n v="88"/>
        <n v="90"/>
        <n v="92"/>
        <n v="93"/>
        <n v="94"/>
        <n v="96"/>
        <n v="98"/>
        <n v="99"/>
        <n v="101"/>
        <n v="103"/>
        <n v="105"/>
        <n v="106"/>
        <n v="108"/>
        <n v="109"/>
        <n v="112"/>
        <n v="114"/>
        <n v="115"/>
        <n v="118"/>
        <n v="119"/>
        <n v="121"/>
        <n v="123"/>
        <n v="125"/>
        <n v="126"/>
        <n v="128"/>
        <n v="129"/>
        <n v="131"/>
        <n v="132"/>
      </sharedItems>
    </cacheField>
    <cacheField name="RC1" numFmtId="165">
      <sharedItems count="1">
        <e v="#N/A"/>
      </sharedItems>
    </cacheField>
    <cacheField name="RC2" numFmtId="165">
      <sharedItems count="1">
        <e v="#N/A"/>
      </sharedItems>
    </cacheField>
    <cacheField name="RC3" numFmtId="165">
      <sharedItems count="1">
        <e v="#N/A"/>
      </sharedItems>
    </cacheField>
    <cacheField name="RC4" numFmtId="165">
      <sharedItems count="1">
        <e v="#N/A"/>
      </sharedItems>
    </cacheField>
    <cacheField name="RC5" numFmtId="165">
      <sharedItems count="1">
        <e v="#N/A"/>
      </sharedItems>
    </cacheField>
    <cacheField name="RC6" numFmtId="165">
      <sharedItems count="1">
        <e v="#N/A"/>
      </sharedItems>
    </cacheField>
    <cacheField name="QE1" numFmtId="165">
      <sharedItems count="1">
        <e v="#N/A"/>
      </sharedItems>
    </cacheField>
    <cacheField name="QE2" numFmtId="165">
      <sharedItems count="1">
        <e v="#N/A"/>
      </sharedItems>
    </cacheField>
    <cacheField name="QE3" numFmtId="165">
      <sharedItems count="1">
        <e v="#N/A"/>
      </sharedItems>
    </cacheField>
    <cacheField name="QE4" numFmtId="165">
      <sharedItems count="1">
        <e v="#N/A"/>
      </sharedItems>
    </cacheField>
    <cacheField name="QE5" numFmtId="165">
      <sharedItems count="1">
        <e v="#N/A"/>
      </sharedItems>
    </cacheField>
    <cacheField name="QE6" numFmtId="165">
      <sharedItems count="1"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0"/>
    <x v="0"/>
    <x v="0"/>
    <x v="0"/>
    <x v="0"/>
  </r>
  <r>
    <x v="14"/>
    <x v="0"/>
    <x v="0"/>
    <x v="0"/>
    <x v="0"/>
    <x v="0"/>
    <x v="0"/>
    <x v="0"/>
    <x v="0"/>
    <x v="0"/>
    <x v="0"/>
    <x v="0"/>
    <x v="0"/>
  </r>
  <r>
    <x v="15"/>
    <x v="0"/>
    <x v="0"/>
    <x v="0"/>
    <x v="0"/>
    <x v="0"/>
    <x v="0"/>
    <x v="0"/>
    <x v="0"/>
    <x v="0"/>
    <x v="0"/>
    <x v="0"/>
    <x v="0"/>
  </r>
  <r>
    <x v="16"/>
    <x v="0"/>
    <x v="0"/>
    <x v="0"/>
    <x v="0"/>
    <x v="0"/>
    <x v="0"/>
    <x v="0"/>
    <x v="0"/>
    <x v="0"/>
    <x v="0"/>
    <x v="0"/>
    <x v="0"/>
  </r>
  <r>
    <x v="17"/>
    <x v="0"/>
    <x v="0"/>
    <x v="0"/>
    <x v="0"/>
    <x v="0"/>
    <x v="0"/>
    <x v="0"/>
    <x v="0"/>
    <x v="0"/>
    <x v="0"/>
    <x v="0"/>
    <x v="0"/>
  </r>
  <r>
    <x v="18"/>
    <x v="0"/>
    <x v="0"/>
    <x v="0"/>
    <x v="0"/>
    <x v="0"/>
    <x v="0"/>
    <x v="0"/>
    <x v="0"/>
    <x v="0"/>
    <x v="0"/>
    <x v="0"/>
    <x v="0"/>
  </r>
  <r>
    <x v="19"/>
    <x v="0"/>
    <x v="0"/>
    <x v="0"/>
    <x v="0"/>
    <x v="0"/>
    <x v="0"/>
    <x v="0"/>
    <x v="0"/>
    <x v="0"/>
    <x v="0"/>
    <x v="0"/>
    <x v="0"/>
  </r>
  <r>
    <x v="20"/>
    <x v="0"/>
    <x v="0"/>
    <x v="0"/>
    <x v="0"/>
    <x v="0"/>
    <x v="0"/>
    <x v="0"/>
    <x v="0"/>
    <x v="0"/>
    <x v="0"/>
    <x v="0"/>
    <x v="0"/>
  </r>
  <r>
    <x v="21"/>
    <x v="0"/>
    <x v="0"/>
    <x v="0"/>
    <x v="0"/>
    <x v="0"/>
    <x v="0"/>
    <x v="0"/>
    <x v="0"/>
    <x v="0"/>
    <x v="0"/>
    <x v="0"/>
    <x v="0"/>
  </r>
  <r>
    <x v="22"/>
    <x v="0"/>
    <x v="0"/>
    <x v="0"/>
    <x v="0"/>
    <x v="0"/>
    <x v="0"/>
    <x v="0"/>
    <x v="0"/>
    <x v="0"/>
    <x v="0"/>
    <x v="0"/>
    <x v="0"/>
  </r>
  <r>
    <x v="23"/>
    <x v="0"/>
    <x v="0"/>
    <x v="0"/>
    <x v="0"/>
    <x v="0"/>
    <x v="0"/>
    <x v="0"/>
    <x v="0"/>
    <x v="0"/>
    <x v="0"/>
    <x v="0"/>
    <x v="0"/>
  </r>
  <r>
    <x v="24"/>
    <x v="0"/>
    <x v="0"/>
    <x v="0"/>
    <x v="0"/>
    <x v="0"/>
    <x v="0"/>
    <x v="0"/>
    <x v="0"/>
    <x v="0"/>
    <x v="0"/>
    <x v="0"/>
    <x v="0"/>
  </r>
  <r>
    <x v="25"/>
    <x v="0"/>
    <x v="0"/>
    <x v="0"/>
    <x v="0"/>
    <x v="0"/>
    <x v="0"/>
    <x v="0"/>
    <x v="0"/>
    <x v="0"/>
    <x v="0"/>
    <x v="0"/>
    <x v="0"/>
  </r>
  <r>
    <x v="26"/>
    <x v="0"/>
    <x v="0"/>
    <x v="0"/>
    <x v="0"/>
    <x v="0"/>
    <x v="0"/>
    <x v="0"/>
    <x v="0"/>
    <x v="0"/>
    <x v="0"/>
    <x v="0"/>
    <x v="0"/>
  </r>
  <r>
    <x v="27"/>
    <x v="0"/>
    <x v="0"/>
    <x v="0"/>
    <x v="0"/>
    <x v="0"/>
    <x v="0"/>
    <x v="0"/>
    <x v="0"/>
    <x v="0"/>
    <x v="0"/>
    <x v="0"/>
    <x v="0"/>
  </r>
  <r>
    <x v="28"/>
    <x v="0"/>
    <x v="0"/>
    <x v="0"/>
    <x v="0"/>
    <x v="0"/>
    <x v="0"/>
    <x v="0"/>
    <x v="0"/>
    <x v="0"/>
    <x v="0"/>
    <x v="0"/>
    <x v="0"/>
  </r>
  <r>
    <x v="29"/>
    <x v="0"/>
    <x v="0"/>
    <x v="0"/>
    <x v="0"/>
    <x v="0"/>
    <x v="0"/>
    <x v="0"/>
    <x v="0"/>
    <x v="0"/>
    <x v="0"/>
    <x v="0"/>
    <x v="0"/>
  </r>
  <r>
    <x v="30"/>
    <x v="0"/>
    <x v="0"/>
    <x v="0"/>
    <x v="0"/>
    <x v="0"/>
    <x v="0"/>
    <x v="0"/>
    <x v="0"/>
    <x v="0"/>
    <x v="0"/>
    <x v="0"/>
    <x v="0"/>
  </r>
  <r>
    <x v="31"/>
    <x v="0"/>
    <x v="0"/>
    <x v="0"/>
    <x v="0"/>
    <x v="0"/>
    <x v="0"/>
    <x v="0"/>
    <x v="0"/>
    <x v="0"/>
    <x v="0"/>
    <x v="0"/>
    <x v="0"/>
  </r>
  <r>
    <x v="32"/>
    <x v="0"/>
    <x v="0"/>
    <x v="0"/>
    <x v="0"/>
    <x v="0"/>
    <x v="0"/>
    <x v="0"/>
    <x v="0"/>
    <x v="0"/>
    <x v="0"/>
    <x v="0"/>
    <x v="0"/>
  </r>
  <r>
    <x v="33"/>
    <x v="0"/>
    <x v="0"/>
    <x v="0"/>
    <x v="0"/>
    <x v="0"/>
    <x v="0"/>
    <x v="0"/>
    <x v="0"/>
    <x v="0"/>
    <x v="0"/>
    <x v="0"/>
    <x v="0"/>
  </r>
  <r>
    <x v="34"/>
    <x v="0"/>
    <x v="0"/>
    <x v="0"/>
    <x v="0"/>
    <x v="0"/>
    <x v="0"/>
    <x v="0"/>
    <x v="0"/>
    <x v="0"/>
    <x v="0"/>
    <x v="0"/>
    <x v="0"/>
  </r>
  <r>
    <x v="35"/>
    <x v="0"/>
    <x v="0"/>
    <x v="0"/>
    <x v="0"/>
    <x v="0"/>
    <x v="0"/>
    <x v="0"/>
    <x v="0"/>
    <x v="0"/>
    <x v="0"/>
    <x v="0"/>
    <x v="0"/>
  </r>
  <r>
    <x v="36"/>
    <x v="0"/>
    <x v="0"/>
    <x v="0"/>
    <x v="0"/>
    <x v="0"/>
    <x v="0"/>
    <x v="0"/>
    <x v="0"/>
    <x v="0"/>
    <x v="0"/>
    <x v="0"/>
    <x v="0"/>
  </r>
  <r>
    <x v="37"/>
    <x v="0"/>
    <x v="0"/>
    <x v="0"/>
    <x v="0"/>
    <x v="0"/>
    <x v="0"/>
    <x v="0"/>
    <x v="0"/>
    <x v="0"/>
    <x v="0"/>
    <x v="0"/>
    <x v="0"/>
  </r>
  <r>
    <x v="38"/>
    <x v="0"/>
    <x v="0"/>
    <x v="0"/>
    <x v="0"/>
    <x v="0"/>
    <x v="0"/>
    <x v="0"/>
    <x v="0"/>
    <x v="0"/>
    <x v="0"/>
    <x v="0"/>
    <x v="0"/>
  </r>
  <r>
    <x v="39"/>
    <x v="0"/>
    <x v="0"/>
    <x v="0"/>
    <x v="0"/>
    <x v="0"/>
    <x v="0"/>
    <x v="0"/>
    <x v="0"/>
    <x v="0"/>
    <x v="0"/>
    <x v="0"/>
    <x v="0"/>
  </r>
  <r>
    <x v="40"/>
    <x v="0"/>
    <x v="0"/>
    <x v="0"/>
    <x v="0"/>
    <x v="0"/>
    <x v="0"/>
    <x v="0"/>
    <x v="0"/>
    <x v="0"/>
    <x v="0"/>
    <x v="0"/>
    <x v="0"/>
  </r>
  <r>
    <x v="41"/>
    <x v="0"/>
    <x v="0"/>
    <x v="0"/>
    <x v="0"/>
    <x v="0"/>
    <x v="0"/>
    <x v="0"/>
    <x v="0"/>
    <x v="0"/>
    <x v="0"/>
    <x v="0"/>
    <x v="0"/>
  </r>
  <r>
    <x v="42"/>
    <x v="0"/>
    <x v="0"/>
    <x v="0"/>
    <x v="0"/>
    <x v="0"/>
    <x v="0"/>
    <x v="0"/>
    <x v="0"/>
    <x v="0"/>
    <x v="0"/>
    <x v="0"/>
    <x v="0"/>
  </r>
  <r>
    <x v="43"/>
    <x v="0"/>
    <x v="0"/>
    <x v="0"/>
    <x v="0"/>
    <x v="0"/>
    <x v="0"/>
    <x v="0"/>
    <x v="0"/>
    <x v="0"/>
    <x v="0"/>
    <x v="0"/>
    <x v="0"/>
  </r>
  <r>
    <x v="44"/>
    <x v="0"/>
    <x v="0"/>
    <x v="0"/>
    <x v="0"/>
    <x v="0"/>
    <x v="0"/>
    <x v="0"/>
    <x v="0"/>
    <x v="0"/>
    <x v="0"/>
    <x v="0"/>
    <x v="0"/>
  </r>
  <r>
    <x v="45"/>
    <x v="0"/>
    <x v="0"/>
    <x v="0"/>
    <x v="0"/>
    <x v="0"/>
    <x v="0"/>
    <x v="0"/>
    <x v="0"/>
    <x v="0"/>
    <x v="0"/>
    <x v="0"/>
    <x v="0"/>
  </r>
  <r>
    <x v="46"/>
    <x v="0"/>
    <x v="0"/>
    <x v="0"/>
    <x v="0"/>
    <x v="0"/>
    <x v="0"/>
    <x v="0"/>
    <x v="0"/>
    <x v="0"/>
    <x v="0"/>
    <x v="0"/>
    <x v="0"/>
  </r>
  <r>
    <x v="47"/>
    <x v="0"/>
    <x v="0"/>
    <x v="0"/>
    <x v="0"/>
    <x v="0"/>
    <x v="0"/>
    <x v="0"/>
    <x v="0"/>
    <x v="0"/>
    <x v="0"/>
    <x v="0"/>
    <x v="0"/>
  </r>
  <r>
    <x v="48"/>
    <x v="0"/>
    <x v="0"/>
    <x v="0"/>
    <x v="0"/>
    <x v="0"/>
    <x v="0"/>
    <x v="0"/>
    <x v="0"/>
    <x v="0"/>
    <x v="0"/>
    <x v="0"/>
    <x v="0"/>
  </r>
  <r>
    <x v="49"/>
    <x v="0"/>
    <x v="0"/>
    <x v="0"/>
    <x v="0"/>
    <x v="0"/>
    <x v="0"/>
    <x v="0"/>
    <x v="0"/>
    <x v="0"/>
    <x v="0"/>
    <x v="0"/>
    <x v="0"/>
  </r>
  <r>
    <x v="50"/>
    <x v="0"/>
    <x v="0"/>
    <x v="0"/>
    <x v="0"/>
    <x v="0"/>
    <x v="0"/>
    <x v="0"/>
    <x v="0"/>
    <x v="0"/>
    <x v="0"/>
    <x v="0"/>
    <x v="0"/>
  </r>
  <r>
    <x v="51"/>
    <x v="0"/>
    <x v="0"/>
    <x v="0"/>
    <x v="0"/>
    <x v="0"/>
    <x v="0"/>
    <x v="0"/>
    <x v="0"/>
    <x v="0"/>
    <x v="0"/>
    <x v="0"/>
    <x v="0"/>
  </r>
  <r>
    <x v="52"/>
    <x v="0"/>
    <x v="0"/>
    <x v="0"/>
    <x v="0"/>
    <x v="0"/>
    <x v="0"/>
    <x v="0"/>
    <x v="0"/>
    <x v="0"/>
    <x v="0"/>
    <x v="0"/>
    <x v="0"/>
  </r>
  <r>
    <x v="53"/>
    <x v="0"/>
    <x v="0"/>
    <x v="0"/>
    <x v="0"/>
    <x v="0"/>
    <x v="0"/>
    <x v="0"/>
    <x v="0"/>
    <x v="0"/>
    <x v="0"/>
    <x v="0"/>
    <x v="0"/>
  </r>
  <r>
    <x v="54"/>
    <x v="0"/>
    <x v="0"/>
    <x v="0"/>
    <x v="0"/>
    <x v="0"/>
    <x v="0"/>
    <x v="0"/>
    <x v="0"/>
    <x v="0"/>
    <x v="0"/>
    <x v="0"/>
    <x v="0"/>
  </r>
  <r>
    <x v="55"/>
    <x v="0"/>
    <x v="0"/>
    <x v="0"/>
    <x v="0"/>
    <x v="0"/>
    <x v="0"/>
    <x v="0"/>
    <x v="0"/>
    <x v="0"/>
    <x v="0"/>
    <x v="0"/>
    <x v="0"/>
  </r>
  <r>
    <x v="56"/>
    <x v="0"/>
    <x v="0"/>
    <x v="0"/>
    <x v="0"/>
    <x v="0"/>
    <x v="0"/>
    <x v="0"/>
    <x v="0"/>
    <x v="0"/>
    <x v="0"/>
    <x v="0"/>
    <x v="0"/>
  </r>
  <r>
    <x v="57"/>
    <x v="0"/>
    <x v="0"/>
    <x v="0"/>
    <x v="0"/>
    <x v="0"/>
    <x v="0"/>
    <x v="0"/>
    <x v="0"/>
    <x v="0"/>
    <x v="0"/>
    <x v="0"/>
    <x v="0"/>
  </r>
  <r>
    <x v="58"/>
    <x v="0"/>
    <x v="0"/>
    <x v="0"/>
    <x v="0"/>
    <x v="0"/>
    <x v="0"/>
    <x v="0"/>
    <x v="0"/>
    <x v="0"/>
    <x v="0"/>
    <x v="0"/>
    <x v="0"/>
  </r>
  <r>
    <x v="59"/>
    <x v="0"/>
    <x v="0"/>
    <x v="0"/>
    <x v="0"/>
    <x v="0"/>
    <x v="0"/>
    <x v="0"/>
    <x v="0"/>
    <x v="0"/>
    <x v="0"/>
    <x v="0"/>
    <x v="0"/>
  </r>
  <r>
    <x v="60"/>
    <x v="0"/>
    <x v="0"/>
    <x v="0"/>
    <x v="0"/>
    <x v="0"/>
    <x v="0"/>
    <x v="0"/>
    <x v="0"/>
    <x v="0"/>
    <x v="0"/>
    <x v="0"/>
    <x v="0"/>
  </r>
  <r>
    <x v="61"/>
    <x v="0"/>
    <x v="0"/>
    <x v="0"/>
    <x v="0"/>
    <x v="0"/>
    <x v="0"/>
    <x v="0"/>
    <x v="0"/>
    <x v="0"/>
    <x v="0"/>
    <x v="0"/>
    <x v="0"/>
  </r>
  <r>
    <x v="62"/>
    <x v="0"/>
    <x v="0"/>
    <x v="0"/>
    <x v="0"/>
    <x v="0"/>
    <x v="0"/>
    <x v="0"/>
    <x v="0"/>
    <x v="0"/>
    <x v="0"/>
    <x v="0"/>
    <x v="0"/>
  </r>
  <r>
    <x v="63"/>
    <x v="0"/>
    <x v="0"/>
    <x v="0"/>
    <x v="0"/>
    <x v="0"/>
    <x v="0"/>
    <x v="0"/>
    <x v="0"/>
    <x v="0"/>
    <x v="0"/>
    <x v="0"/>
    <x v="0"/>
  </r>
  <r>
    <x v="64"/>
    <x v="0"/>
    <x v="0"/>
    <x v="0"/>
    <x v="0"/>
    <x v="0"/>
    <x v="0"/>
    <x v="0"/>
    <x v="0"/>
    <x v="0"/>
    <x v="0"/>
    <x v="0"/>
    <x v="0"/>
  </r>
  <r>
    <x v="65"/>
    <x v="0"/>
    <x v="0"/>
    <x v="0"/>
    <x v="0"/>
    <x v="0"/>
    <x v="0"/>
    <x v="0"/>
    <x v="0"/>
    <x v="0"/>
    <x v="0"/>
    <x v="0"/>
    <x v="0"/>
  </r>
  <r>
    <x v="66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EF6D2-B7E3-45F8-BDA5-D2D5CF46D8C9}" name="PivotTable2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X3:Y71" firstHeaderRow="1" firstDataRow="1" firstDataCol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</pivotFields>
  <rowFields count="1">
    <field x="0"/>
  </rowFields>
  <rowItems count="68">
    <i>
      <x v="33"/>
    </i>
    <i>
      <x/>
    </i>
    <i>
      <x v="34"/>
    </i>
    <i>
      <x v="2"/>
    </i>
    <i>
      <x v="35"/>
    </i>
    <i>
      <x v="4"/>
    </i>
    <i>
      <x v="36"/>
    </i>
    <i>
      <x v="6"/>
    </i>
    <i>
      <x v="37"/>
    </i>
    <i>
      <x v="8"/>
    </i>
    <i>
      <x v="38"/>
    </i>
    <i>
      <x v="10"/>
    </i>
    <i>
      <x v="39"/>
    </i>
    <i>
      <x v="12"/>
    </i>
    <i>
      <x v="40"/>
    </i>
    <i>
      <x v="14"/>
    </i>
    <i>
      <x v="41"/>
    </i>
    <i>
      <x v="16"/>
    </i>
    <i>
      <x v="42"/>
    </i>
    <i>
      <x v="18"/>
    </i>
    <i>
      <x v="43"/>
    </i>
    <i>
      <x v="20"/>
    </i>
    <i>
      <x v="44"/>
    </i>
    <i>
      <x v="22"/>
    </i>
    <i>
      <x v="45"/>
    </i>
    <i>
      <x v="24"/>
    </i>
    <i>
      <x v="46"/>
    </i>
    <i>
      <x v="26"/>
    </i>
    <i>
      <x v="47"/>
    </i>
    <i>
      <x v="28"/>
    </i>
    <i>
      <x v="48"/>
    </i>
    <i>
      <x v="30"/>
    </i>
    <i>
      <x v="49"/>
    </i>
    <i>
      <x v="32"/>
    </i>
    <i>
      <x v="50"/>
    </i>
    <i>
      <x v="3"/>
    </i>
    <i>
      <x v="51"/>
    </i>
    <i>
      <x v="7"/>
    </i>
    <i>
      <x v="52"/>
    </i>
    <i>
      <x v="11"/>
    </i>
    <i>
      <x v="53"/>
    </i>
    <i>
      <x v="15"/>
    </i>
    <i>
      <x v="54"/>
    </i>
    <i>
      <x v="19"/>
    </i>
    <i>
      <x v="55"/>
    </i>
    <i>
      <x v="23"/>
    </i>
    <i>
      <x v="56"/>
    </i>
    <i>
      <x v="27"/>
    </i>
    <i>
      <x v="57"/>
    </i>
    <i>
      <x v="31"/>
    </i>
    <i>
      <x v="58"/>
    </i>
    <i>
      <x v="5"/>
    </i>
    <i>
      <x v="59"/>
    </i>
    <i>
      <x v="13"/>
    </i>
    <i>
      <x v="60"/>
    </i>
    <i>
      <x v="21"/>
    </i>
    <i>
      <x v="61"/>
    </i>
    <i>
      <x v="29"/>
    </i>
    <i>
      <x v="62"/>
    </i>
    <i>
      <x v="9"/>
    </i>
    <i>
      <x v="63"/>
    </i>
    <i>
      <x v="25"/>
    </i>
    <i>
      <x v="64"/>
    </i>
    <i>
      <x v="17"/>
    </i>
    <i>
      <x v="65"/>
    </i>
    <i>
      <x v="1"/>
    </i>
    <i>
      <x v="66"/>
    </i>
    <i t="grand">
      <x/>
    </i>
  </rowItems>
  <colItems count="1">
    <i/>
  </colItems>
  <dataFields count="1">
    <dataField name="Sum of QE6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53953-F25C-4BB0-86F4-91DC2D2CD011}" name="PivotTable2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V3:W71" firstHeaderRow="1" firstDataRow="1" firstDataCol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  <pivotField showAll="0"/>
  </pivotFields>
  <rowFields count="1">
    <field x="0"/>
  </rowFields>
  <rowItems count="68">
    <i>
      <x v="33"/>
    </i>
    <i>
      <x/>
    </i>
    <i>
      <x v="34"/>
    </i>
    <i>
      <x v="2"/>
    </i>
    <i>
      <x v="35"/>
    </i>
    <i>
      <x v="4"/>
    </i>
    <i>
      <x v="36"/>
    </i>
    <i>
      <x v="6"/>
    </i>
    <i>
      <x v="37"/>
    </i>
    <i>
      <x v="8"/>
    </i>
    <i>
      <x v="38"/>
    </i>
    <i>
      <x v="10"/>
    </i>
    <i>
      <x v="39"/>
    </i>
    <i>
      <x v="12"/>
    </i>
    <i>
      <x v="40"/>
    </i>
    <i>
      <x v="14"/>
    </i>
    <i>
      <x v="41"/>
    </i>
    <i>
      <x v="16"/>
    </i>
    <i>
      <x v="42"/>
    </i>
    <i>
      <x v="18"/>
    </i>
    <i>
      <x v="43"/>
    </i>
    <i>
      <x v="20"/>
    </i>
    <i>
      <x v="44"/>
    </i>
    <i>
      <x v="22"/>
    </i>
    <i>
      <x v="45"/>
    </i>
    <i>
      <x v="24"/>
    </i>
    <i>
      <x v="46"/>
    </i>
    <i>
      <x v="26"/>
    </i>
    <i>
      <x v="47"/>
    </i>
    <i>
      <x v="28"/>
    </i>
    <i>
      <x v="48"/>
    </i>
    <i>
      <x v="30"/>
    </i>
    <i>
      <x v="49"/>
    </i>
    <i>
      <x v="32"/>
    </i>
    <i>
      <x v="50"/>
    </i>
    <i>
      <x v="3"/>
    </i>
    <i>
      <x v="51"/>
    </i>
    <i>
      <x v="7"/>
    </i>
    <i>
      <x v="52"/>
    </i>
    <i>
      <x v="11"/>
    </i>
    <i>
      <x v="53"/>
    </i>
    <i>
      <x v="15"/>
    </i>
    <i>
      <x v="54"/>
    </i>
    <i>
      <x v="19"/>
    </i>
    <i>
      <x v="55"/>
    </i>
    <i>
      <x v="23"/>
    </i>
    <i>
      <x v="56"/>
    </i>
    <i>
      <x v="27"/>
    </i>
    <i>
      <x v="57"/>
    </i>
    <i>
      <x v="31"/>
    </i>
    <i>
      <x v="58"/>
    </i>
    <i>
      <x v="5"/>
    </i>
    <i>
      <x v="59"/>
    </i>
    <i>
      <x v="13"/>
    </i>
    <i>
      <x v="60"/>
    </i>
    <i>
      <x v="21"/>
    </i>
    <i>
      <x v="61"/>
    </i>
    <i>
      <x v="29"/>
    </i>
    <i>
      <x v="62"/>
    </i>
    <i>
      <x v="9"/>
    </i>
    <i>
      <x v="63"/>
    </i>
    <i>
      <x v="25"/>
    </i>
    <i>
      <x v="64"/>
    </i>
    <i>
      <x v="17"/>
    </i>
    <i>
      <x v="65"/>
    </i>
    <i>
      <x v="1"/>
    </i>
    <i>
      <x v="66"/>
    </i>
    <i t="grand">
      <x/>
    </i>
  </rowItems>
  <colItems count="1">
    <i/>
  </colItems>
  <dataFields count="1">
    <dataField name="Sum of QE5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B4D7F-E73F-43D5-95AC-C5396226EB22}" name="PivotTable2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T3:U71" firstHeaderRow="1" firstDataRow="1" firstDataCol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  <pivotField showAll="0"/>
    <pivotField showAll="0"/>
  </pivotFields>
  <rowFields count="1">
    <field x="0"/>
  </rowFields>
  <rowItems count="68">
    <i>
      <x v="33"/>
    </i>
    <i>
      <x/>
    </i>
    <i>
      <x v="34"/>
    </i>
    <i>
      <x v="2"/>
    </i>
    <i>
      <x v="35"/>
    </i>
    <i>
      <x v="4"/>
    </i>
    <i>
      <x v="36"/>
    </i>
    <i>
      <x v="6"/>
    </i>
    <i>
      <x v="37"/>
    </i>
    <i>
      <x v="8"/>
    </i>
    <i>
      <x v="38"/>
    </i>
    <i>
      <x v="10"/>
    </i>
    <i>
      <x v="39"/>
    </i>
    <i>
      <x v="12"/>
    </i>
    <i>
      <x v="40"/>
    </i>
    <i>
      <x v="14"/>
    </i>
    <i>
      <x v="41"/>
    </i>
    <i>
      <x v="16"/>
    </i>
    <i>
      <x v="42"/>
    </i>
    <i>
      <x v="18"/>
    </i>
    <i>
      <x v="43"/>
    </i>
    <i>
      <x v="20"/>
    </i>
    <i>
      <x v="44"/>
    </i>
    <i>
      <x v="22"/>
    </i>
    <i>
      <x v="45"/>
    </i>
    <i>
      <x v="24"/>
    </i>
    <i>
      <x v="46"/>
    </i>
    <i>
      <x v="26"/>
    </i>
    <i>
      <x v="47"/>
    </i>
    <i>
      <x v="28"/>
    </i>
    <i>
      <x v="48"/>
    </i>
    <i>
      <x v="30"/>
    </i>
    <i>
      <x v="49"/>
    </i>
    <i>
      <x v="32"/>
    </i>
    <i>
      <x v="50"/>
    </i>
    <i>
      <x v="3"/>
    </i>
    <i>
      <x v="51"/>
    </i>
    <i>
      <x v="7"/>
    </i>
    <i>
      <x v="52"/>
    </i>
    <i>
      <x v="11"/>
    </i>
    <i>
      <x v="53"/>
    </i>
    <i>
      <x v="15"/>
    </i>
    <i>
      <x v="54"/>
    </i>
    <i>
      <x v="19"/>
    </i>
    <i>
      <x v="55"/>
    </i>
    <i>
      <x v="23"/>
    </i>
    <i>
      <x v="56"/>
    </i>
    <i>
      <x v="27"/>
    </i>
    <i>
      <x v="57"/>
    </i>
    <i>
      <x v="31"/>
    </i>
    <i>
      <x v="58"/>
    </i>
    <i>
      <x v="5"/>
    </i>
    <i>
      <x v="59"/>
    </i>
    <i>
      <x v="13"/>
    </i>
    <i>
      <x v="60"/>
    </i>
    <i>
      <x v="21"/>
    </i>
    <i>
      <x v="61"/>
    </i>
    <i>
      <x v="29"/>
    </i>
    <i>
      <x v="62"/>
    </i>
    <i>
      <x v="9"/>
    </i>
    <i>
      <x v="63"/>
    </i>
    <i>
      <x v="25"/>
    </i>
    <i>
      <x v="64"/>
    </i>
    <i>
      <x v="17"/>
    </i>
    <i>
      <x v="65"/>
    </i>
    <i>
      <x v="1"/>
    </i>
    <i>
      <x v="66"/>
    </i>
    <i t="grand">
      <x/>
    </i>
  </rowItems>
  <colItems count="1">
    <i/>
  </colItems>
  <dataFields count="1">
    <dataField name="Sum of QE4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A3FD3-1106-40D7-AA74-8EE234936883}" name="PivotTable2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R3:S71" firstHeaderRow="1" firstDataRow="1" firstDataCol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  <pivotField showAll="0"/>
    <pivotField showAll="0"/>
    <pivotField showAll="0"/>
  </pivotFields>
  <rowFields count="1">
    <field x="0"/>
  </rowFields>
  <rowItems count="68">
    <i>
      <x v="33"/>
    </i>
    <i>
      <x/>
    </i>
    <i>
      <x v="34"/>
    </i>
    <i>
      <x v="2"/>
    </i>
    <i>
      <x v="35"/>
    </i>
    <i>
      <x v="4"/>
    </i>
    <i>
      <x v="36"/>
    </i>
    <i>
      <x v="6"/>
    </i>
    <i>
      <x v="37"/>
    </i>
    <i>
      <x v="8"/>
    </i>
    <i>
      <x v="38"/>
    </i>
    <i>
      <x v="10"/>
    </i>
    <i>
      <x v="39"/>
    </i>
    <i>
      <x v="12"/>
    </i>
    <i>
      <x v="40"/>
    </i>
    <i>
      <x v="14"/>
    </i>
    <i>
      <x v="41"/>
    </i>
    <i>
      <x v="16"/>
    </i>
    <i>
      <x v="42"/>
    </i>
    <i>
      <x v="18"/>
    </i>
    <i>
      <x v="43"/>
    </i>
    <i>
      <x v="20"/>
    </i>
    <i>
      <x v="44"/>
    </i>
    <i>
      <x v="22"/>
    </i>
    <i>
      <x v="45"/>
    </i>
    <i>
      <x v="24"/>
    </i>
    <i>
      <x v="46"/>
    </i>
    <i>
      <x v="26"/>
    </i>
    <i>
      <x v="47"/>
    </i>
    <i>
      <x v="28"/>
    </i>
    <i>
      <x v="48"/>
    </i>
    <i>
      <x v="30"/>
    </i>
    <i>
      <x v="49"/>
    </i>
    <i>
      <x v="32"/>
    </i>
    <i>
      <x v="50"/>
    </i>
    <i>
      <x v="3"/>
    </i>
    <i>
      <x v="51"/>
    </i>
    <i>
      <x v="7"/>
    </i>
    <i>
      <x v="52"/>
    </i>
    <i>
      <x v="11"/>
    </i>
    <i>
      <x v="53"/>
    </i>
    <i>
      <x v="15"/>
    </i>
    <i>
      <x v="54"/>
    </i>
    <i>
      <x v="19"/>
    </i>
    <i>
      <x v="55"/>
    </i>
    <i>
      <x v="23"/>
    </i>
    <i>
      <x v="56"/>
    </i>
    <i>
      <x v="27"/>
    </i>
    <i>
      <x v="57"/>
    </i>
    <i>
      <x v="31"/>
    </i>
    <i>
      <x v="58"/>
    </i>
    <i>
      <x v="5"/>
    </i>
    <i>
      <x v="59"/>
    </i>
    <i>
      <x v="13"/>
    </i>
    <i>
      <x v="60"/>
    </i>
    <i>
      <x v="21"/>
    </i>
    <i>
      <x v="61"/>
    </i>
    <i>
      <x v="29"/>
    </i>
    <i>
      <x v="62"/>
    </i>
    <i>
      <x v="9"/>
    </i>
    <i>
      <x v="63"/>
    </i>
    <i>
      <x v="25"/>
    </i>
    <i>
      <x v="64"/>
    </i>
    <i>
      <x v="17"/>
    </i>
    <i>
      <x v="65"/>
    </i>
    <i>
      <x v="1"/>
    </i>
    <i>
      <x v="66"/>
    </i>
    <i t="grand">
      <x/>
    </i>
  </rowItems>
  <colItems count="1">
    <i/>
  </colItems>
  <dataFields count="1">
    <dataField name="Sum of QE3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ECFA1-4C6C-42AB-923F-B707AA1A4C78}" name="PivotTable1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P3:Q71" firstHeaderRow="1" firstDataRow="1" firstDataCol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68">
    <i>
      <x v="33"/>
    </i>
    <i>
      <x/>
    </i>
    <i>
      <x v="34"/>
    </i>
    <i>
      <x v="2"/>
    </i>
    <i>
      <x v="35"/>
    </i>
    <i>
      <x v="4"/>
    </i>
    <i>
      <x v="36"/>
    </i>
    <i>
      <x v="6"/>
    </i>
    <i>
      <x v="37"/>
    </i>
    <i>
      <x v="8"/>
    </i>
    <i>
      <x v="38"/>
    </i>
    <i>
      <x v="10"/>
    </i>
    <i>
      <x v="39"/>
    </i>
    <i>
      <x v="12"/>
    </i>
    <i>
      <x v="40"/>
    </i>
    <i>
      <x v="14"/>
    </i>
    <i>
      <x v="41"/>
    </i>
    <i>
      <x v="16"/>
    </i>
    <i>
      <x v="42"/>
    </i>
    <i>
      <x v="18"/>
    </i>
    <i>
      <x v="43"/>
    </i>
    <i>
      <x v="20"/>
    </i>
    <i>
      <x v="44"/>
    </i>
    <i>
      <x v="22"/>
    </i>
    <i>
      <x v="45"/>
    </i>
    <i>
      <x v="24"/>
    </i>
    <i>
      <x v="46"/>
    </i>
    <i>
      <x v="26"/>
    </i>
    <i>
      <x v="47"/>
    </i>
    <i>
      <x v="28"/>
    </i>
    <i>
      <x v="48"/>
    </i>
    <i>
      <x v="30"/>
    </i>
    <i>
      <x v="49"/>
    </i>
    <i>
      <x v="32"/>
    </i>
    <i>
      <x v="50"/>
    </i>
    <i>
      <x v="3"/>
    </i>
    <i>
      <x v="51"/>
    </i>
    <i>
      <x v="7"/>
    </i>
    <i>
      <x v="52"/>
    </i>
    <i>
      <x v="11"/>
    </i>
    <i>
      <x v="53"/>
    </i>
    <i>
      <x v="15"/>
    </i>
    <i>
      <x v="54"/>
    </i>
    <i>
      <x v="19"/>
    </i>
    <i>
      <x v="55"/>
    </i>
    <i>
      <x v="23"/>
    </i>
    <i>
      <x v="56"/>
    </i>
    <i>
      <x v="27"/>
    </i>
    <i>
      <x v="57"/>
    </i>
    <i>
      <x v="31"/>
    </i>
    <i>
      <x v="58"/>
    </i>
    <i>
      <x v="5"/>
    </i>
    <i>
      <x v="59"/>
    </i>
    <i>
      <x v="13"/>
    </i>
    <i>
      <x v="60"/>
    </i>
    <i>
      <x v="21"/>
    </i>
    <i>
      <x v="61"/>
    </i>
    <i>
      <x v="29"/>
    </i>
    <i>
      <x v="62"/>
    </i>
    <i>
      <x v="9"/>
    </i>
    <i>
      <x v="63"/>
    </i>
    <i>
      <x v="25"/>
    </i>
    <i>
      <x v="64"/>
    </i>
    <i>
      <x v="17"/>
    </i>
    <i>
      <x v="65"/>
    </i>
    <i>
      <x v="1"/>
    </i>
    <i>
      <x v="66"/>
    </i>
    <i t="grand">
      <x/>
    </i>
  </rowItems>
  <colItems count="1">
    <i/>
  </colItems>
  <dataFields count="1">
    <dataField name="Sum of QE2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ECAA2-5CB5-4CCD-AFA9-B6720F1AFDE9}" name="PivotTable18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N3:O71" firstHeaderRow="1" firstDataRow="1" firstDataCol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68">
    <i>
      <x v="33"/>
    </i>
    <i>
      <x/>
    </i>
    <i>
      <x v="34"/>
    </i>
    <i>
      <x v="2"/>
    </i>
    <i>
      <x v="35"/>
    </i>
    <i>
      <x v="4"/>
    </i>
    <i>
      <x v="36"/>
    </i>
    <i>
      <x v="6"/>
    </i>
    <i>
      <x v="37"/>
    </i>
    <i>
      <x v="8"/>
    </i>
    <i>
      <x v="38"/>
    </i>
    <i>
      <x v="10"/>
    </i>
    <i>
      <x v="39"/>
    </i>
    <i>
      <x v="12"/>
    </i>
    <i>
      <x v="40"/>
    </i>
    <i>
      <x v="14"/>
    </i>
    <i>
      <x v="41"/>
    </i>
    <i>
      <x v="16"/>
    </i>
    <i>
      <x v="42"/>
    </i>
    <i>
      <x v="18"/>
    </i>
    <i>
      <x v="43"/>
    </i>
    <i>
      <x v="20"/>
    </i>
    <i>
      <x v="44"/>
    </i>
    <i>
      <x v="22"/>
    </i>
    <i>
      <x v="45"/>
    </i>
    <i>
      <x v="24"/>
    </i>
    <i>
      <x v="46"/>
    </i>
    <i>
      <x v="26"/>
    </i>
    <i>
      <x v="47"/>
    </i>
    <i>
      <x v="28"/>
    </i>
    <i>
      <x v="48"/>
    </i>
    <i>
      <x v="30"/>
    </i>
    <i>
      <x v="49"/>
    </i>
    <i>
      <x v="32"/>
    </i>
    <i>
      <x v="50"/>
    </i>
    <i>
      <x v="3"/>
    </i>
    <i>
      <x v="51"/>
    </i>
    <i>
      <x v="7"/>
    </i>
    <i>
      <x v="52"/>
    </i>
    <i>
      <x v="11"/>
    </i>
    <i>
      <x v="53"/>
    </i>
    <i>
      <x v="15"/>
    </i>
    <i>
      <x v="54"/>
    </i>
    <i>
      <x v="19"/>
    </i>
    <i>
      <x v="55"/>
    </i>
    <i>
      <x v="23"/>
    </i>
    <i>
      <x v="56"/>
    </i>
    <i>
      <x v="27"/>
    </i>
    <i>
      <x v="57"/>
    </i>
    <i>
      <x v="31"/>
    </i>
    <i>
      <x v="58"/>
    </i>
    <i>
      <x v="5"/>
    </i>
    <i>
      <x v="59"/>
    </i>
    <i>
      <x v="13"/>
    </i>
    <i>
      <x v="60"/>
    </i>
    <i>
      <x v="21"/>
    </i>
    <i>
      <x v="61"/>
    </i>
    <i>
      <x v="29"/>
    </i>
    <i>
      <x v="62"/>
    </i>
    <i>
      <x v="9"/>
    </i>
    <i>
      <x v="63"/>
    </i>
    <i>
      <x v="25"/>
    </i>
    <i>
      <x v="64"/>
    </i>
    <i>
      <x v="17"/>
    </i>
    <i>
      <x v="65"/>
    </i>
    <i>
      <x v="1"/>
    </i>
    <i>
      <x v="66"/>
    </i>
    <i t="grand">
      <x/>
    </i>
  </rowItems>
  <colItems count="1">
    <i/>
  </colItems>
  <dataFields count="1">
    <dataField name="Sum of QE1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501CA-EE53-4DB5-BF30-C24AEFFEBA05}" name="PivotTable1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K3:L71" firstHeaderRow="1" firstDataRow="1" firstDataCol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68">
    <i>
      <x v="33"/>
    </i>
    <i>
      <x/>
    </i>
    <i>
      <x v="34"/>
    </i>
    <i>
      <x v="2"/>
    </i>
    <i>
      <x v="35"/>
    </i>
    <i>
      <x v="4"/>
    </i>
    <i>
      <x v="36"/>
    </i>
    <i>
      <x v="6"/>
    </i>
    <i>
      <x v="37"/>
    </i>
    <i>
      <x v="8"/>
    </i>
    <i>
      <x v="38"/>
    </i>
    <i>
      <x v="10"/>
    </i>
    <i>
      <x v="39"/>
    </i>
    <i>
      <x v="12"/>
    </i>
    <i>
      <x v="40"/>
    </i>
    <i>
      <x v="14"/>
    </i>
    <i>
      <x v="41"/>
    </i>
    <i>
      <x v="16"/>
    </i>
    <i>
      <x v="42"/>
    </i>
    <i>
      <x v="18"/>
    </i>
    <i>
      <x v="43"/>
    </i>
    <i>
      <x v="20"/>
    </i>
    <i>
      <x v="44"/>
    </i>
    <i>
      <x v="22"/>
    </i>
    <i>
      <x v="45"/>
    </i>
    <i>
      <x v="24"/>
    </i>
    <i>
      <x v="46"/>
    </i>
    <i>
      <x v="26"/>
    </i>
    <i>
      <x v="47"/>
    </i>
    <i>
      <x v="28"/>
    </i>
    <i>
      <x v="48"/>
    </i>
    <i>
      <x v="30"/>
    </i>
    <i>
      <x v="49"/>
    </i>
    <i>
      <x v="32"/>
    </i>
    <i>
      <x v="50"/>
    </i>
    <i>
      <x v="3"/>
    </i>
    <i>
      <x v="51"/>
    </i>
    <i>
      <x v="7"/>
    </i>
    <i>
      <x v="52"/>
    </i>
    <i>
      <x v="11"/>
    </i>
    <i>
      <x v="53"/>
    </i>
    <i>
      <x v="15"/>
    </i>
    <i>
      <x v="54"/>
    </i>
    <i>
      <x v="19"/>
    </i>
    <i>
      <x v="55"/>
    </i>
    <i>
      <x v="23"/>
    </i>
    <i>
      <x v="56"/>
    </i>
    <i>
      <x v="27"/>
    </i>
    <i>
      <x v="57"/>
    </i>
    <i>
      <x v="31"/>
    </i>
    <i>
      <x v="58"/>
    </i>
    <i>
      <x v="5"/>
    </i>
    <i>
      <x v="59"/>
    </i>
    <i>
      <x v="13"/>
    </i>
    <i>
      <x v="60"/>
    </i>
    <i>
      <x v="21"/>
    </i>
    <i>
      <x v="61"/>
    </i>
    <i>
      <x v="29"/>
    </i>
    <i>
      <x v="62"/>
    </i>
    <i>
      <x v="9"/>
    </i>
    <i>
      <x v="63"/>
    </i>
    <i>
      <x v="25"/>
    </i>
    <i>
      <x v="64"/>
    </i>
    <i>
      <x v="17"/>
    </i>
    <i>
      <x v="65"/>
    </i>
    <i>
      <x v="1"/>
    </i>
    <i>
      <x v="66"/>
    </i>
    <i t="grand">
      <x/>
    </i>
  </rowItems>
  <colItems count="1">
    <i/>
  </colItems>
  <dataFields count="1">
    <dataField name="Sum of RC6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21254-667F-48F7-B5CF-ED2A6E18278B}" name="PivotTable1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I3:J71" firstHeaderRow="1" firstDataRow="1" firstDataCol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8">
    <i>
      <x v="33"/>
    </i>
    <i>
      <x/>
    </i>
    <i>
      <x v="34"/>
    </i>
    <i>
      <x v="2"/>
    </i>
    <i>
      <x v="35"/>
    </i>
    <i>
      <x v="4"/>
    </i>
    <i>
      <x v="36"/>
    </i>
    <i>
      <x v="6"/>
    </i>
    <i>
      <x v="37"/>
    </i>
    <i>
      <x v="8"/>
    </i>
    <i>
      <x v="38"/>
    </i>
    <i>
      <x v="10"/>
    </i>
    <i>
      <x v="39"/>
    </i>
    <i>
      <x v="12"/>
    </i>
    <i>
      <x v="40"/>
    </i>
    <i>
      <x v="14"/>
    </i>
    <i>
      <x v="41"/>
    </i>
    <i>
      <x v="16"/>
    </i>
    <i>
      <x v="42"/>
    </i>
    <i>
      <x v="18"/>
    </i>
    <i>
      <x v="43"/>
    </i>
    <i>
      <x v="20"/>
    </i>
    <i>
      <x v="44"/>
    </i>
    <i>
      <x v="22"/>
    </i>
    <i>
      <x v="45"/>
    </i>
    <i>
      <x v="24"/>
    </i>
    <i>
      <x v="46"/>
    </i>
    <i>
      <x v="26"/>
    </i>
    <i>
      <x v="47"/>
    </i>
    <i>
      <x v="28"/>
    </i>
    <i>
      <x v="48"/>
    </i>
    <i>
      <x v="30"/>
    </i>
    <i>
      <x v="49"/>
    </i>
    <i>
      <x v="32"/>
    </i>
    <i>
      <x v="50"/>
    </i>
    <i>
      <x v="3"/>
    </i>
    <i>
      <x v="51"/>
    </i>
    <i>
      <x v="7"/>
    </i>
    <i>
      <x v="52"/>
    </i>
    <i>
      <x v="11"/>
    </i>
    <i>
      <x v="53"/>
    </i>
    <i>
      <x v="15"/>
    </i>
    <i>
      <x v="54"/>
    </i>
    <i>
      <x v="19"/>
    </i>
    <i>
      <x v="55"/>
    </i>
    <i>
      <x v="23"/>
    </i>
    <i>
      <x v="56"/>
    </i>
    <i>
      <x v="27"/>
    </i>
    <i>
      <x v="57"/>
    </i>
    <i>
      <x v="31"/>
    </i>
    <i>
      <x v="58"/>
    </i>
    <i>
      <x v="5"/>
    </i>
    <i>
      <x v="59"/>
    </i>
    <i>
      <x v="13"/>
    </i>
    <i>
      <x v="60"/>
    </i>
    <i>
      <x v="21"/>
    </i>
    <i>
      <x v="61"/>
    </i>
    <i>
      <x v="29"/>
    </i>
    <i>
      <x v="62"/>
    </i>
    <i>
      <x v="9"/>
    </i>
    <i>
      <x v="63"/>
    </i>
    <i>
      <x v="25"/>
    </i>
    <i>
      <x v="64"/>
    </i>
    <i>
      <x v="17"/>
    </i>
    <i>
      <x v="65"/>
    </i>
    <i>
      <x v="1"/>
    </i>
    <i>
      <x v="66"/>
    </i>
    <i t="grand">
      <x/>
    </i>
  </rowItems>
  <colItems count="1">
    <i/>
  </colItems>
  <dataFields count="1">
    <dataField name="Sum of RC5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A6995-935C-4D82-95D5-DD521774518D}" name="PivotTable1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G3:H71" firstHeaderRow="1" firstDataRow="1" firstDataCol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8">
    <i>
      <x v="33"/>
    </i>
    <i>
      <x/>
    </i>
    <i>
      <x v="34"/>
    </i>
    <i>
      <x v="2"/>
    </i>
    <i>
      <x v="35"/>
    </i>
    <i>
      <x v="4"/>
    </i>
    <i>
      <x v="36"/>
    </i>
    <i>
      <x v="6"/>
    </i>
    <i>
      <x v="37"/>
    </i>
    <i>
      <x v="8"/>
    </i>
    <i>
      <x v="38"/>
    </i>
    <i>
      <x v="10"/>
    </i>
    <i>
      <x v="39"/>
    </i>
    <i>
      <x v="12"/>
    </i>
    <i>
      <x v="40"/>
    </i>
    <i>
      <x v="14"/>
    </i>
    <i>
      <x v="41"/>
    </i>
    <i>
      <x v="16"/>
    </i>
    <i>
      <x v="42"/>
    </i>
    <i>
      <x v="18"/>
    </i>
    <i>
      <x v="43"/>
    </i>
    <i>
      <x v="20"/>
    </i>
    <i>
      <x v="44"/>
    </i>
    <i>
      <x v="22"/>
    </i>
    <i>
      <x v="45"/>
    </i>
    <i>
      <x v="24"/>
    </i>
    <i>
      <x v="46"/>
    </i>
    <i>
      <x v="26"/>
    </i>
    <i>
      <x v="47"/>
    </i>
    <i>
      <x v="28"/>
    </i>
    <i>
      <x v="48"/>
    </i>
    <i>
      <x v="30"/>
    </i>
    <i>
      <x v="49"/>
    </i>
    <i>
      <x v="32"/>
    </i>
    <i>
      <x v="50"/>
    </i>
    <i>
      <x v="3"/>
    </i>
    <i>
      <x v="51"/>
    </i>
    <i>
      <x v="7"/>
    </i>
    <i>
      <x v="52"/>
    </i>
    <i>
      <x v="11"/>
    </i>
    <i>
      <x v="53"/>
    </i>
    <i>
      <x v="15"/>
    </i>
    <i>
      <x v="54"/>
    </i>
    <i>
      <x v="19"/>
    </i>
    <i>
      <x v="55"/>
    </i>
    <i>
      <x v="23"/>
    </i>
    <i>
      <x v="56"/>
    </i>
    <i>
      <x v="27"/>
    </i>
    <i>
      <x v="57"/>
    </i>
    <i>
      <x v="31"/>
    </i>
    <i>
      <x v="58"/>
    </i>
    <i>
      <x v="5"/>
    </i>
    <i>
      <x v="59"/>
    </i>
    <i>
      <x v="13"/>
    </i>
    <i>
      <x v="60"/>
    </i>
    <i>
      <x v="21"/>
    </i>
    <i>
      <x v="61"/>
    </i>
    <i>
      <x v="29"/>
    </i>
    <i>
      <x v="62"/>
    </i>
    <i>
      <x v="9"/>
    </i>
    <i>
      <x v="63"/>
    </i>
    <i>
      <x v="25"/>
    </i>
    <i>
      <x v="64"/>
    </i>
    <i>
      <x v="17"/>
    </i>
    <i>
      <x v="65"/>
    </i>
    <i>
      <x v="1"/>
    </i>
    <i>
      <x v="66"/>
    </i>
    <i t="grand">
      <x/>
    </i>
  </rowItems>
  <colItems count="1">
    <i/>
  </colItems>
  <dataFields count="1">
    <dataField name="Sum of RC4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65D76-24CC-401D-8828-0DBA45F9C073}" name="PivotTable1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E3:F71" firstHeaderRow="1" firstDataRow="1" firstDataCol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8">
    <i>
      <x v="33"/>
    </i>
    <i>
      <x/>
    </i>
    <i>
      <x v="34"/>
    </i>
    <i>
      <x v="2"/>
    </i>
    <i>
      <x v="35"/>
    </i>
    <i>
      <x v="4"/>
    </i>
    <i>
      <x v="36"/>
    </i>
    <i>
      <x v="6"/>
    </i>
    <i>
      <x v="37"/>
    </i>
    <i>
      <x v="8"/>
    </i>
    <i>
      <x v="38"/>
    </i>
    <i>
      <x v="10"/>
    </i>
    <i>
      <x v="39"/>
    </i>
    <i>
      <x v="12"/>
    </i>
    <i>
      <x v="40"/>
    </i>
    <i>
      <x v="14"/>
    </i>
    <i>
      <x v="41"/>
    </i>
    <i>
      <x v="16"/>
    </i>
    <i>
      <x v="42"/>
    </i>
    <i>
      <x v="18"/>
    </i>
    <i>
      <x v="43"/>
    </i>
    <i>
      <x v="20"/>
    </i>
    <i>
      <x v="44"/>
    </i>
    <i>
      <x v="22"/>
    </i>
    <i>
      <x v="45"/>
    </i>
    <i>
      <x v="24"/>
    </i>
    <i>
      <x v="46"/>
    </i>
    <i>
      <x v="26"/>
    </i>
    <i>
      <x v="47"/>
    </i>
    <i>
      <x v="28"/>
    </i>
    <i>
      <x v="48"/>
    </i>
    <i>
      <x v="30"/>
    </i>
    <i>
      <x v="49"/>
    </i>
    <i>
      <x v="32"/>
    </i>
    <i>
      <x v="50"/>
    </i>
    <i>
      <x v="3"/>
    </i>
    <i>
      <x v="51"/>
    </i>
    <i>
      <x v="7"/>
    </i>
    <i>
      <x v="52"/>
    </i>
    <i>
      <x v="11"/>
    </i>
    <i>
      <x v="53"/>
    </i>
    <i>
      <x v="15"/>
    </i>
    <i>
      <x v="54"/>
    </i>
    <i>
      <x v="19"/>
    </i>
    <i>
      <x v="55"/>
    </i>
    <i>
      <x v="23"/>
    </i>
    <i>
      <x v="56"/>
    </i>
    <i>
      <x v="27"/>
    </i>
    <i>
      <x v="57"/>
    </i>
    <i>
      <x v="31"/>
    </i>
    <i>
      <x v="58"/>
    </i>
    <i>
      <x v="5"/>
    </i>
    <i>
      <x v="59"/>
    </i>
    <i>
      <x v="13"/>
    </i>
    <i>
      <x v="60"/>
    </i>
    <i>
      <x v="21"/>
    </i>
    <i>
      <x v="61"/>
    </i>
    <i>
      <x v="29"/>
    </i>
    <i>
      <x v="62"/>
    </i>
    <i>
      <x v="9"/>
    </i>
    <i>
      <x v="63"/>
    </i>
    <i>
      <x v="25"/>
    </i>
    <i>
      <x v="64"/>
    </i>
    <i>
      <x v="17"/>
    </i>
    <i>
      <x v="65"/>
    </i>
    <i>
      <x v="1"/>
    </i>
    <i>
      <x v="66"/>
    </i>
    <i t="grand">
      <x/>
    </i>
  </rowItems>
  <colItems count="1">
    <i/>
  </colItems>
  <dataFields count="1">
    <dataField name="Sum of RC3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35539-CF12-474D-B207-5B77AEC23CD3}" name="PivotTable1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C3:D71" firstHeaderRow="1" firstDataRow="1" firstDataCol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8">
    <i>
      <x v="33"/>
    </i>
    <i>
      <x/>
    </i>
    <i>
      <x v="34"/>
    </i>
    <i>
      <x v="2"/>
    </i>
    <i>
      <x v="35"/>
    </i>
    <i>
      <x v="4"/>
    </i>
    <i>
      <x v="36"/>
    </i>
    <i>
      <x v="6"/>
    </i>
    <i>
      <x v="37"/>
    </i>
    <i>
      <x v="8"/>
    </i>
    <i>
      <x v="38"/>
    </i>
    <i>
      <x v="10"/>
    </i>
    <i>
      <x v="39"/>
    </i>
    <i>
      <x v="12"/>
    </i>
    <i>
      <x v="40"/>
    </i>
    <i>
      <x v="14"/>
    </i>
    <i>
      <x v="41"/>
    </i>
    <i>
      <x v="16"/>
    </i>
    <i>
      <x v="42"/>
    </i>
    <i>
      <x v="18"/>
    </i>
    <i>
      <x v="43"/>
    </i>
    <i>
      <x v="20"/>
    </i>
    <i>
      <x v="44"/>
    </i>
    <i>
      <x v="22"/>
    </i>
    <i>
      <x v="45"/>
    </i>
    <i>
      <x v="24"/>
    </i>
    <i>
      <x v="46"/>
    </i>
    <i>
      <x v="26"/>
    </i>
    <i>
      <x v="47"/>
    </i>
    <i>
      <x v="28"/>
    </i>
    <i>
      <x v="48"/>
    </i>
    <i>
      <x v="30"/>
    </i>
    <i>
      <x v="49"/>
    </i>
    <i>
      <x v="32"/>
    </i>
    <i>
      <x v="50"/>
    </i>
    <i>
      <x v="3"/>
    </i>
    <i>
      <x v="51"/>
    </i>
    <i>
      <x v="7"/>
    </i>
    <i>
      <x v="52"/>
    </i>
    <i>
      <x v="11"/>
    </i>
    <i>
      <x v="53"/>
    </i>
    <i>
      <x v="15"/>
    </i>
    <i>
      <x v="54"/>
    </i>
    <i>
      <x v="19"/>
    </i>
    <i>
      <x v="55"/>
    </i>
    <i>
      <x v="23"/>
    </i>
    <i>
      <x v="56"/>
    </i>
    <i>
      <x v="27"/>
    </i>
    <i>
      <x v="57"/>
    </i>
    <i>
      <x v="31"/>
    </i>
    <i>
      <x v="58"/>
    </i>
    <i>
      <x v="5"/>
    </i>
    <i>
      <x v="59"/>
    </i>
    <i>
      <x v="13"/>
    </i>
    <i>
      <x v="60"/>
    </i>
    <i>
      <x v="21"/>
    </i>
    <i>
      <x v="61"/>
    </i>
    <i>
      <x v="29"/>
    </i>
    <i>
      <x v="62"/>
    </i>
    <i>
      <x v="9"/>
    </i>
    <i>
      <x v="63"/>
    </i>
    <i>
      <x v="25"/>
    </i>
    <i>
      <x v="64"/>
    </i>
    <i>
      <x v="17"/>
    </i>
    <i>
      <x v="65"/>
    </i>
    <i>
      <x v="1"/>
    </i>
    <i>
      <x v="66"/>
    </i>
    <i t="grand">
      <x/>
    </i>
  </rowItems>
  <colItems count="1">
    <i/>
  </colItems>
  <dataFields count="1">
    <dataField name="Sum of RC2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29427-F57A-440D-B6D2-31F6762AAC9F}" name="PivotTable1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">
  <location ref="A3:B71" firstHeaderRow="1" firstDataRow="1" firstDataCol="1"/>
  <pivotFields count="13">
    <pivotField axis="axisRow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8">
    <i>
      <x v="33"/>
    </i>
    <i>
      <x/>
    </i>
    <i>
      <x v="34"/>
    </i>
    <i>
      <x v="2"/>
    </i>
    <i>
      <x v="35"/>
    </i>
    <i>
      <x v="4"/>
    </i>
    <i>
      <x v="36"/>
    </i>
    <i>
      <x v="6"/>
    </i>
    <i>
      <x v="37"/>
    </i>
    <i>
      <x v="8"/>
    </i>
    <i>
      <x v="38"/>
    </i>
    <i>
      <x v="10"/>
    </i>
    <i>
      <x v="39"/>
    </i>
    <i>
      <x v="12"/>
    </i>
    <i>
      <x v="40"/>
    </i>
    <i>
      <x v="14"/>
    </i>
    <i>
      <x v="41"/>
    </i>
    <i>
      <x v="16"/>
    </i>
    <i>
      <x v="42"/>
    </i>
    <i>
      <x v="18"/>
    </i>
    <i>
      <x v="43"/>
    </i>
    <i>
      <x v="20"/>
    </i>
    <i>
      <x v="44"/>
    </i>
    <i>
      <x v="22"/>
    </i>
    <i>
      <x v="45"/>
    </i>
    <i>
      <x v="24"/>
    </i>
    <i>
      <x v="46"/>
    </i>
    <i>
      <x v="26"/>
    </i>
    <i>
      <x v="47"/>
    </i>
    <i>
      <x v="28"/>
    </i>
    <i>
      <x v="48"/>
    </i>
    <i>
      <x v="30"/>
    </i>
    <i>
      <x v="49"/>
    </i>
    <i>
      <x v="32"/>
    </i>
    <i>
      <x v="50"/>
    </i>
    <i>
      <x v="3"/>
    </i>
    <i>
      <x v="51"/>
    </i>
    <i>
      <x v="7"/>
    </i>
    <i>
      <x v="52"/>
    </i>
    <i>
      <x v="11"/>
    </i>
    <i>
      <x v="53"/>
    </i>
    <i>
      <x v="15"/>
    </i>
    <i>
      <x v="54"/>
    </i>
    <i>
      <x v="19"/>
    </i>
    <i>
      <x v="55"/>
    </i>
    <i>
      <x v="23"/>
    </i>
    <i>
      <x v="56"/>
    </i>
    <i>
      <x v="27"/>
    </i>
    <i>
      <x v="57"/>
    </i>
    <i>
      <x v="31"/>
    </i>
    <i>
      <x v="58"/>
    </i>
    <i>
      <x v="5"/>
    </i>
    <i>
      <x v="59"/>
    </i>
    <i>
      <x v="13"/>
    </i>
    <i>
      <x v="60"/>
    </i>
    <i>
      <x v="21"/>
    </i>
    <i>
      <x v="61"/>
    </i>
    <i>
      <x v="29"/>
    </i>
    <i>
      <x v="62"/>
    </i>
    <i>
      <x v="9"/>
    </i>
    <i>
      <x v="63"/>
    </i>
    <i>
      <x v="25"/>
    </i>
    <i>
      <x v="64"/>
    </i>
    <i>
      <x v="17"/>
    </i>
    <i>
      <x v="65"/>
    </i>
    <i>
      <x v="1"/>
    </i>
    <i>
      <x v="66"/>
    </i>
    <i t="grand">
      <x/>
    </i>
  </rowItems>
  <colItems count="1">
    <i/>
  </colItems>
  <dataFields count="1">
    <dataField name="Sum of RC1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BF41-89B8-498C-8992-1FD5D327EE86}">
  <dimension ref="A1:E68"/>
  <sheetViews>
    <sheetView zoomScale="80" zoomScaleNormal="80" workbookViewId="0">
      <pane ySplit="1" topLeftCell="A2" activePane="bottomLeft" state="frozenSplit"/>
      <selection pane="bottomLeft" activeCell="E1" sqref="E1:E1048576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9.85546875" bestFit="1" customWidth="1"/>
    <col min="4" max="4" width="8.85546875" bestFit="1" customWidth="1"/>
    <col min="5" max="5" width="7.7109375" style="10" bestFit="1" customWidth="1"/>
  </cols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s="10" t="s">
        <v>39</v>
      </c>
    </row>
    <row r="2" spans="1:5" x14ac:dyDescent="0.25">
      <c r="A2" s="8">
        <v>17</v>
      </c>
      <c r="B2">
        <v>3</v>
      </c>
      <c r="C2">
        <v>7</v>
      </c>
      <c r="D2">
        <v>2</v>
      </c>
      <c r="E2" s="10">
        <v>0</v>
      </c>
    </row>
    <row r="3" spans="1:5" x14ac:dyDescent="0.25">
      <c r="A3" s="8">
        <v>19</v>
      </c>
      <c r="B3">
        <v>3</v>
      </c>
      <c r="C3">
        <v>7</v>
      </c>
      <c r="D3">
        <v>2</v>
      </c>
      <c r="E3" s="10">
        <v>0</v>
      </c>
    </row>
    <row r="4" spans="1:5" x14ac:dyDescent="0.25">
      <c r="A4" s="8">
        <v>20</v>
      </c>
      <c r="B4">
        <v>3</v>
      </c>
      <c r="C4">
        <v>8</v>
      </c>
      <c r="D4">
        <v>2</v>
      </c>
      <c r="E4" s="10">
        <v>0</v>
      </c>
    </row>
    <row r="5" spans="1:5" x14ac:dyDescent="0.25">
      <c r="A5" s="8">
        <v>22</v>
      </c>
      <c r="B5">
        <v>3</v>
      </c>
      <c r="C5">
        <v>8</v>
      </c>
      <c r="D5">
        <v>2</v>
      </c>
      <c r="E5" s="10">
        <v>0</v>
      </c>
    </row>
    <row r="6" spans="1:5" x14ac:dyDescent="0.25">
      <c r="A6" s="8">
        <v>23</v>
      </c>
      <c r="B6">
        <v>3</v>
      </c>
      <c r="C6">
        <v>9</v>
      </c>
      <c r="D6">
        <v>2</v>
      </c>
      <c r="E6" s="10">
        <v>0</v>
      </c>
    </row>
    <row r="7" spans="1:5" x14ac:dyDescent="0.25">
      <c r="A7" s="8">
        <v>25</v>
      </c>
      <c r="B7">
        <v>3</v>
      </c>
      <c r="C7">
        <v>10</v>
      </c>
      <c r="D7">
        <v>4</v>
      </c>
      <c r="E7" s="10">
        <v>0</v>
      </c>
    </row>
    <row r="8" spans="1:5" x14ac:dyDescent="0.25">
      <c r="A8" s="8">
        <v>26</v>
      </c>
      <c r="B8">
        <v>3</v>
      </c>
      <c r="C8">
        <v>1</v>
      </c>
      <c r="D8">
        <v>4</v>
      </c>
      <c r="E8" s="10">
        <v>0</v>
      </c>
    </row>
    <row r="9" spans="1:5" x14ac:dyDescent="0.25">
      <c r="A9" s="8">
        <v>27</v>
      </c>
      <c r="B9">
        <v>3</v>
      </c>
      <c r="C9">
        <v>10</v>
      </c>
      <c r="D9">
        <v>4</v>
      </c>
      <c r="E9" s="10">
        <v>0</v>
      </c>
    </row>
    <row r="10" spans="1:5" x14ac:dyDescent="0.25">
      <c r="A10" s="8">
        <v>28</v>
      </c>
      <c r="B10">
        <v>3</v>
      </c>
      <c r="C10">
        <v>9</v>
      </c>
      <c r="D10">
        <v>4</v>
      </c>
      <c r="E10" s="10">
        <v>0</v>
      </c>
    </row>
    <row r="11" spans="1:5" x14ac:dyDescent="0.25">
      <c r="A11" s="8">
        <v>29</v>
      </c>
      <c r="B11">
        <v>3</v>
      </c>
      <c r="C11">
        <v>9</v>
      </c>
      <c r="D11">
        <v>4</v>
      </c>
      <c r="E11" s="10">
        <v>0</v>
      </c>
    </row>
    <row r="12" spans="1:5" x14ac:dyDescent="0.25">
      <c r="A12" s="8">
        <v>30</v>
      </c>
      <c r="B12">
        <v>3</v>
      </c>
      <c r="C12">
        <v>11</v>
      </c>
      <c r="D12">
        <v>4</v>
      </c>
      <c r="E12" s="10">
        <v>0</v>
      </c>
    </row>
    <row r="13" spans="1:5" x14ac:dyDescent="0.25">
      <c r="A13" s="8">
        <v>31</v>
      </c>
      <c r="B13">
        <v>3</v>
      </c>
      <c r="C13">
        <v>1</v>
      </c>
      <c r="D13">
        <v>4</v>
      </c>
      <c r="E13" s="10">
        <v>0</v>
      </c>
    </row>
    <row r="14" spans="1:5" x14ac:dyDescent="0.25">
      <c r="A14" s="8">
        <v>32</v>
      </c>
      <c r="B14">
        <v>3</v>
      </c>
      <c r="C14">
        <v>11</v>
      </c>
      <c r="D14">
        <v>4</v>
      </c>
      <c r="E14" s="10">
        <v>0</v>
      </c>
    </row>
    <row r="15" spans="1:5" x14ac:dyDescent="0.25">
      <c r="A15" s="8">
        <v>33</v>
      </c>
      <c r="B15">
        <v>3</v>
      </c>
      <c r="C15">
        <v>10</v>
      </c>
      <c r="D15">
        <v>4</v>
      </c>
      <c r="E15" s="10">
        <v>0</v>
      </c>
    </row>
    <row r="16" spans="1:5" x14ac:dyDescent="0.25">
      <c r="A16" s="8">
        <v>34</v>
      </c>
      <c r="B16">
        <v>3</v>
      </c>
      <c r="C16">
        <v>10</v>
      </c>
      <c r="D16">
        <v>4</v>
      </c>
      <c r="E16" s="10">
        <v>0</v>
      </c>
    </row>
    <row r="17" spans="1:5" x14ac:dyDescent="0.25">
      <c r="A17" s="8">
        <v>36</v>
      </c>
      <c r="B17">
        <v>3</v>
      </c>
      <c r="C17">
        <v>12</v>
      </c>
      <c r="D17">
        <v>4</v>
      </c>
      <c r="E17" s="10">
        <v>0</v>
      </c>
    </row>
    <row r="18" spans="1:5" x14ac:dyDescent="0.25">
      <c r="A18" s="8">
        <v>38</v>
      </c>
      <c r="B18">
        <v>3</v>
      </c>
      <c r="C18">
        <v>12</v>
      </c>
      <c r="D18">
        <v>4</v>
      </c>
      <c r="E18" s="10">
        <v>0</v>
      </c>
    </row>
    <row r="19" spans="1:5" x14ac:dyDescent="0.25">
      <c r="A19" s="8">
        <v>40</v>
      </c>
      <c r="B19">
        <v>3</v>
      </c>
      <c r="C19">
        <v>11</v>
      </c>
      <c r="D19">
        <v>4</v>
      </c>
      <c r="E19" s="10">
        <v>0</v>
      </c>
    </row>
    <row r="20" spans="1:5" x14ac:dyDescent="0.25">
      <c r="A20" s="8">
        <v>41</v>
      </c>
      <c r="B20">
        <v>3</v>
      </c>
      <c r="C20">
        <v>11</v>
      </c>
      <c r="D20">
        <v>4</v>
      </c>
      <c r="E20" s="10">
        <v>0</v>
      </c>
    </row>
    <row r="21" spans="1:5" x14ac:dyDescent="0.25">
      <c r="A21" s="8">
        <v>43</v>
      </c>
      <c r="B21">
        <v>3</v>
      </c>
      <c r="C21">
        <v>12</v>
      </c>
      <c r="D21">
        <v>4</v>
      </c>
      <c r="E21" s="10">
        <v>0</v>
      </c>
    </row>
    <row r="22" spans="1:5" x14ac:dyDescent="0.25">
      <c r="A22" s="8">
        <v>45</v>
      </c>
      <c r="B22">
        <v>3</v>
      </c>
      <c r="C22">
        <v>13</v>
      </c>
      <c r="D22">
        <v>4</v>
      </c>
      <c r="E22" s="10">
        <v>0</v>
      </c>
    </row>
    <row r="23" spans="1:5" x14ac:dyDescent="0.25">
      <c r="A23" s="8">
        <v>46</v>
      </c>
      <c r="B23">
        <v>3</v>
      </c>
      <c r="C23">
        <v>12</v>
      </c>
      <c r="D23">
        <v>4</v>
      </c>
      <c r="E23" s="10">
        <v>0</v>
      </c>
    </row>
    <row r="24" spans="1:5" x14ac:dyDescent="0.25">
      <c r="A24" s="8">
        <v>48</v>
      </c>
      <c r="B24">
        <v>3</v>
      </c>
      <c r="C24">
        <v>13</v>
      </c>
      <c r="D24">
        <v>4</v>
      </c>
      <c r="E24" s="10">
        <v>0</v>
      </c>
    </row>
    <row r="25" spans="1:5" x14ac:dyDescent="0.25">
      <c r="A25" s="8">
        <v>49</v>
      </c>
      <c r="B25">
        <v>3</v>
      </c>
      <c r="C25">
        <v>12</v>
      </c>
      <c r="D25">
        <v>4</v>
      </c>
      <c r="E25" s="10">
        <v>0</v>
      </c>
    </row>
    <row r="26" spans="1:5" x14ac:dyDescent="0.25">
      <c r="A26" s="8">
        <v>67</v>
      </c>
      <c r="B26">
        <v>3</v>
      </c>
      <c r="C26">
        <v>7</v>
      </c>
      <c r="D26">
        <v>2</v>
      </c>
      <c r="E26" s="10">
        <v>0</v>
      </c>
    </row>
    <row r="27" spans="1:5" x14ac:dyDescent="0.25">
      <c r="A27" s="8">
        <v>69</v>
      </c>
      <c r="B27">
        <v>3</v>
      </c>
      <c r="C27">
        <v>7</v>
      </c>
      <c r="D27">
        <v>2</v>
      </c>
      <c r="E27" s="10">
        <v>0</v>
      </c>
    </row>
    <row r="28" spans="1:5" x14ac:dyDescent="0.25">
      <c r="A28" s="8">
        <v>70</v>
      </c>
      <c r="B28">
        <v>3</v>
      </c>
      <c r="C28">
        <v>8</v>
      </c>
      <c r="D28">
        <v>2</v>
      </c>
      <c r="E28" s="10">
        <v>0</v>
      </c>
    </row>
    <row r="29" spans="1:5" x14ac:dyDescent="0.25">
      <c r="A29" s="8">
        <v>72</v>
      </c>
      <c r="B29">
        <v>3</v>
      </c>
      <c r="C29">
        <v>8</v>
      </c>
      <c r="D29">
        <v>2</v>
      </c>
      <c r="E29" s="10">
        <v>0</v>
      </c>
    </row>
    <row r="30" spans="1:5" x14ac:dyDescent="0.25">
      <c r="A30" s="8">
        <v>73</v>
      </c>
      <c r="B30">
        <v>3</v>
      </c>
      <c r="C30">
        <v>9</v>
      </c>
      <c r="D30">
        <v>2</v>
      </c>
      <c r="E30" s="10">
        <v>0</v>
      </c>
    </row>
    <row r="31" spans="1:5" x14ac:dyDescent="0.25">
      <c r="A31" s="8">
        <v>75</v>
      </c>
      <c r="B31">
        <v>3</v>
      </c>
      <c r="C31">
        <v>10</v>
      </c>
      <c r="D31">
        <v>4</v>
      </c>
      <c r="E31" s="10">
        <v>0</v>
      </c>
    </row>
    <row r="32" spans="1:5" x14ac:dyDescent="0.25">
      <c r="A32" s="8">
        <v>76</v>
      </c>
      <c r="B32">
        <v>3</v>
      </c>
      <c r="C32">
        <v>1</v>
      </c>
      <c r="D32">
        <v>4</v>
      </c>
      <c r="E32" s="10">
        <v>0</v>
      </c>
    </row>
    <row r="33" spans="1:5" x14ac:dyDescent="0.25">
      <c r="A33" s="8">
        <v>77</v>
      </c>
      <c r="B33">
        <v>3</v>
      </c>
      <c r="C33">
        <v>10</v>
      </c>
      <c r="D33">
        <v>4</v>
      </c>
      <c r="E33" s="10">
        <v>0</v>
      </c>
    </row>
    <row r="34" spans="1:5" x14ac:dyDescent="0.25">
      <c r="A34" s="8">
        <v>78</v>
      </c>
      <c r="B34">
        <v>3</v>
      </c>
      <c r="C34">
        <v>9</v>
      </c>
      <c r="D34">
        <v>4</v>
      </c>
      <c r="E34" s="10">
        <v>0</v>
      </c>
    </row>
    <row r="35" spans="1:5" x14ac:dyDescent="0.25">
      <c r="A35" s="8">
        <v>79</v>
      </c>
      <c r="B35">
        <v>3</v>
      </c>
      <c r="C35">
        <v>9</v>
      </c>
      <c r="D35">
        <v>4</v>
      </c>
      <c r="E35" s="10">
        <v>0</v>
      </c>
    </row>
    <row r="36" spans="1:5" x14ac:dyDescent="0.25">
      <c r="A36" s="8">
        <v>80</v>
      </c>
      <c r="B36">
        <v>3</v>
      </c>
      <c r="C36">
        <v>11</v>
      </c>
      <c r="D36">
        <v>4</v>
      </c>
      <c r="E36" s="10">
        <v>0</v>
      </c>
    </row>
    <row r="37" spans="1:5" x14ac:dyDescent="0.25">
      <c r="A37" s="8">
        <v>81</v>
      </c>
      <c r="B37">
        <v>3</v>
      </c>
      <c r="C37">
        <v>1</v>
      </c>
      <c r="D37">
        <v>4</v>
      </c>
      <c r="E37" s="10">
        <v>0</v>
      </c>
    </row>
    <row r="38" spans="1:5" x14ac:dyDescent="0.25">
      <c r="A38" s="8">
        <v>82</v>
      </c>
      <c r="B38">
        <v>3</v>
      </c>
      <c r="C38">
        <v>11</v>
      </c>
      <c r="D38">
        <v>4</v>
      </c>
      <c r="E38" s="10">
        <v>0</v>
      </c>
    </row>
    <row r="39" spans="1:5" x14ac:dyDescent="0.25">
      <c r="A39" s="8">
        <v>83</v>
      </c>
      <c r="B39">
        <v>3</v>
      </c>
      <c r="C39">
        <v>10</v>
      </c>
      <c r="D39">
        <v>4</v>
      </c>
      <c r="E39" s="10">
        <v>0</v>
      </c>
    </row>
    <row r="40" spans="1:5" x14ac:dyDescent="0.25">
      <c r="A40" s="8">
        <v>84</v>
      </c>
      <c r="B40">
        <v>3</v>
      </c>
      <c r="C40">
        <v>10</v>
      </c>
      <c r="D40">
        <v>4</v>
      </c>
      <c r="E40" s="10">
        <v>0</v>
      </c>
    </row>
    <row r="41" spans="1:5" x14ac:dyDescent="0.25">
      <c r="A41" s="8">
        <v>86</v>
      </c>
      <c r="B41">
        <v>3</v>
      </c>
      <c r="C41">
        <v>13</v>
      </c>
      <c r="D41">
        <v>4</v>
      </c>
      <c r="E41" s="10">
        <v>0</v>
      </c>
    </row>
    <row r="42" spans="1:5" x14ac:dyDescent="0.25">
      <c r="A42" s="8">
        <v>88</v>
      </c>
      <c r="B42">
        <v>3</v>
      </c>
      <c r="C42">
        <v>13</v>
      </c>
      <c r="D42">
        <v>4</v>
      </c>
      <c r="E42" s="10">
        <v>0</v>
      </c>
    </row>
    <row r="43" spans="1:5" x14ac:dyDescent="0.25">
      <c r="A43" s="8">
        <v>90</v>
      </c>
      <c r="B43">
        <v>3</v>
      </c>
      <c r="C43">
        <v>12</v>
      </c>
      <c r="D43">
        <v>4</v>
      </c>
      <c r="E43" s="10">
        <v>0</v>
      </c>
    </row>
    <row r="44" spans="1:5" x14ac:dyDescent="0.25">
      <c r="A44" s="8">
        <v>92</v>
      </c>
      <c r="B44">
        <v>3</v>
      </c>
      <c r="C44">
        <v>12</v>
      </c>
      <c r="D44">
        <v>4</v>
      </c>
      <c r="E44" s="10">
        <v>0</v>
      </c>
    </row>
    <row r="45" spans="1:5" x14ac:dyDescent="0.25">
      <c r="A45" s="8">
        <v>93</v>
      </c>
      <c r="B45">
        <v>3</v>
      </c>
      <c r="C45">
        <v>12</v>
      </c>
      <c r="D45">
        <v>4</v>
      </c>
      <c r="E45" s="10">
        <v>0</v>
      </c>
    </row>
    <row r="46" spans="1:5" x14ac:dyDescent="0.25">
      <c r="A46" s="8">
        <v>94</v>
      </c>
      <c r="B46">
        <v>3</v>
      </c>
      <c r="C46">
        <v>14</v>
      </c>
      <c r="D46">
        <v>4</v>
      </c>
      <c r="E46" s="10">
        <v>0</v>
      </c>
    </row>
    <row r="47" spans="1:5" x14ac:dyDescent="0.25">
      <c r="A47" s="8">
        <v>96</v>
      </c>
      <c r="B47">
        <v>3</v>
      </c>
      <c r="C47">
        <v>14</v>
      </c>
      <c r="D47">
        <v>4</v>
      </c>
      <c r="E47" s="10">
        <v>0</v>
      </c>
    </row>
    <row r="48" spans="1:5" x14ac:dyDescent="0.25">
      <c r="A48" s="8">
        <v>98</v>
      </c>
      <c r="B48">
        <v>3</v>
      </c>
      <c r="C48">
        <v>13</v>
      </c>
      <c r="D48">
        <v>4</v>
      </c>
      <c r="E48" s="10">
        <v>0</v>
      </c>
    </row>
    <row r="49" spans="1:5" x14ac:dyDescent="0.25">
      <c r="A49" s="8">
        <v>99</v>
      </c>
      <c r="B49">
        <v>3</v>
      </c>
      <c r="C49">
        <v>13</v>
      </c>
      <c r="D49">
        <v>4</v>
      </c>
      <c r="E49" s="10">
        <v>0</v>
      </c>
    </row>
    <row r="50" spans="1:5" x14ac:dyDescent="0.25">
      <c r="A50" s="8">
        <v>101</v>
      </c>
      <c r="B50">
        <v>3</v>
      </c>
      <c r="C50">
        <v>13</v>
      </c>
      <c r="D50">
        <v>4</v>
      </c>
      <c r="E50" s="10">
        <v>0</v>
      </c>
    </row>
    <row r="51" spans="1:5" x14ac:dyDescent="0.25">
      <c r="A51" s="8">
        <v>103</v>
      </c>
      <c r="B51">
        <v>3</v>
      </c>
      <c r="C51">
        <v>13</v>
      </c>
      <c r="D51">
        <v>4</v>
      </c>
      <c r="E51" s="10">
        <v>0</v>
      </c>
    </row>
    <row r="52" spans="1:5" x14ac:dyDescent="0.25">
      <c r="A52" s="8">
        <v>105</v>
      </c>
      <c r="B52">
        <v>3</v>
      </c>
      <c r="C52">
        <v>14</v>
      </c>
      <c r="D52">
        <v>4</v>
      </c>
      <c r="E52" s="10">
        <v>0</v>
      </c>
    </row>
    <row r="53" spans="1:5" x14ac:dyDescent="0.25">
      <c r="A53" s="8">
        <v>106</v>
      </c>
      <c r="B53">
        <v>3</v>
      </c>
      <c r="C53">
        <v>13</v>
      </c>
      <c r="D53">
        <v>4</v>
      </c>
      <c r="E53" s="10">
        <v>0</v>
      </c>
    </row>
    <row r="54" spans="1:5" x14ac:dyDescent="0.25">
      <c r="A54" s="8">
        <v>108</v>
      </c>
      <c r="B54">
        <v>3</v>
      </c>
      <c r="C54">
        <v>14</v>
      </c>
      <c r="D54">
        <v>4</v>
      </c>
      <c r="E54" s="10">
        <v>0</v>
      </c>
    </row>
    <row r="55" spans="1:5" x14ac:dyDescent="0.25">
      <c r="A55" s="8">
        <v>109</v>
      </c>
      <c r="B55">
        <v>3</v>
      </c>
      <c r="C55">
        <v>14</v>
      </c>
      <c r="D55">
        <v>4</v>
      </c>
      <c r="E55" s="10">
        <v>0</v>
      </c>
    </row>
    <row r="56" spans="1:5" x14ac:dyDescent="0.25">
      <c r="A56" s="8">
        <v>112</v>
      </c>
      <c r="B56">
        <v>3</v>
      </c>
      <c r="C56">
        <v>13</v>
      </c>
      <c r="D56">
        <v>4</v>
      </c>
      <c r="E56" s="10">
        <v>0</v>
      </c>
    </row>
    <row r="57" spans="1:5" x14ac:dyDescent="0.25">
      <c r="A57" s="8">
        <v>114</v>
      </c>
      <c r="B57">
        <v>3</v>
      </c>
      <c r="C57">
        <v>13</v>
      </c>
      <c r="D57">
        <v>4</v>
      </c>
      <c r="E57" s="10">
        <v>0</v>
      </c>
    </row>
    <row r="58" spans="1:5" x14ac:dyDescent="0.25">
      <c r="A58" s="8">
        <v>115</v>
      </c>
      <c r="B58">
        <v>3</v>
      </c>
      <c r="C58">
        <v>13</v>
      </c>
      <c r="D58">
        <v>4</v>
      </c>
      <c r="E58" s="10">
        <v>0</v>
      </c>
    </row>
    <row r="59" spans="1:5" x14ac:dyDescent="0.25">
      <c r="A59" s="8">
        <v>118</v>
      </c>
      <c r="B59">
        <v>3</v>
      </c>
      <c r="C59">
        <v>15</v>
      </c>
      <c r="D59">
        <v>4</v>
      </c>
      <c r="E59" s="10">
        <v>0</v>
      </c>
    </row>
    <row r="60" spans="1:5" x14ac:dyDescent="0.25">
      <c r="A60" s="8">
        <v>119</v>
      </c>
      <c r="B60">
        <v>3</v>
      </c>
      <c r="C60">
        <v>14</v>
      </c>
      <c r="D60">
        <v>4</v>
      </c>
      <c r="E60" s="10">
        <v>0</v>
      </c>
    </row>
    <row r="61" spans="1:5" x14ac:dyDescent="0.25">
      <c r="A61" s="8">
        <v>121</v>
      </c>
      <c r="B61">
        <v>3</v>
      </c>
      <c r="C61">
        <v>15</v>
      </c>
      <c r="D61">
        <v>4</v>
      </c>
      <c r="E61" s="10">
        <v>0</v>
      </c>
    </row>
    <row r="62" spans="1:5" x14ac:dyDescent="0.25">
      <c r="A62" s="8">
        <v>123</v>
      </c>
      <c r="B62">
        <v>3</v>
      </c>
      <c r="C62">
        <v>15</v>
      </c>
      <c r="D62">
        <v>4</v>
      </c>
      <c r="E62" s="10">
        <v>0</v>
      </c>
    </row>
    <row r="63" spans="1:5" x14ac:dyDescent="0.25">
      <c r="A63" s="8">
        <v>125</v>
      </c>
      <c r="B63">
        <v>3</v>
      </c>
      <c r="C63">
        <v>14</v>
      </c>
      <c r="D63">
        <v>4</v>
      </c>
      <c r="E63" s="10">
        <v>0</v>
      </c>
    </row>
    <row r="64" spans="1:5" x14ac:dyDescent="0.25">
      <c r="A64" s="8">
        <v>126</v>
      </c>
      <c r="B64">
        <v>3</v>
      </c>
      <c r="C64">
        <v>14</v>
      </c>
      <c r="D64">
        <v>4</v>
      </c>
      <c r="E64" s="10">
        <v>0</v>
      </c>
    </row>
    <row r="65" spans="1:5" x14ac:dyDescent="0.25">
      <c r="A65" s="8">
        <v>128</v>
      </c>
      <c r="B65">
        <v>3</v>
      </c>
      <c r="C65">
        <v>15</v>
      </c>
      <c r="D65">
        <v>5</v>
      </c>
      <c r="E65" s="10">
        <v>0</v>
      </c>
    </row>
    <row r="66" spans="1:5" x14ac:dyDescent="0.25">
      <c r="A66" s="8">
        <v>129</v>
      </c>
      <c r="B66">
        <v>3</v>
      </c>
      <c r="C66">
        <v>14</v>
      </c>
      <c r="D66">
        <v>4</v>
      </c>
      <c r="E66" s="10">
        <v>0</v>
      </c>
    </row>
    <row r="67" spans="1:5" x14ac:dyDescent="0.25">
      <c r="A67" s="8">
        <v>131</v>
      </c>
      <c r="B67">
        <v>3</v>
      </c>
      <c r="C67">
        <v>15</v>
      </c>
      <c r="D67">
        <v>5</v>
      </c>
      <c r="E67" s="10">
        <v>0</v>
      </c>
    </row>
    <row r="68" spans="1:5" x14ac:dyDescent="0.25">
      <c r="A68" s="8">
        <v>132</v>
      </c>
      <c r="B68">
        <v>3</v>
      </c>
      <c r="C68">
        <v>14</v>
      </c>
      <c r="D68">
        <v>4</v>
      </c>
      <c r="E68" s="10">
        <v>0</v>
      </c>
    </row>
  </sheetData>
  <autoFilter ref="A1:E68" xr:uid="{036058B9-04DE-44FB-A2EB-F2097B10864A}"/>
  <conditionalFormatting sqref="A2:A68">
    <cfRule type="containsText" dxfId="97" priority="1" operator="containsText" text="ERROR">
      <formula>NOT(ISERROR(SEARCH("ERROR",A2)))</formula>
    </cfRule>
    <cfRule type="containsText" dxfId="96" priority="2" operator="containsText" text="TIME OUT">
      <formula>NOT(ISERROR(SEARCH("TIME OUT",A2)))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71A9-3182-497E-92D7-0BC46335D12F}">
  <dimension ref="A1:AQ70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3"/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 x14ac:dyDescent="0.25"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0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TIE</v>
      </c>
      <c r="O2" s="5" t="e">
        <f>IF(M2="--","--",TEXT(MIN(C2,H2)/MAX(C2,H2),"0.000%"))</f>
        <v>#DIV/0!</v>
      </c>
      <c r="P2" s="5">
        <f>IF(OR(ISNUMBER(SEARCH("ERROR", D2)), ISNUMBER(SEARCH("ERROR", I2)), ISNUMBER(SEARCH("TIME OUT", D2)), ISNUMBER(SEARCH("TIME OUT", I2))),"--",D2-I2)</f>
        <v>0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TIE</v>
      </c>
      <c r="R2" s="5" t="e">
        <f>IF(P2="--","--",TEXT(MIN(D2,I2)/MAX(D2,I2),"0.000%"))</f>
        <v>#DIV/0!</v>
      </c>
      <c r="S2" s="5">
        <f>IF(OR(ISNUMBER(SEARCH("ERROR", E2)), ISNUMBER(SEARCH("ERROR", J2)), ISNUMBER(SEARCH("TIME OUT", E2)), ISNUMBER(SEARCH("TIME OUT", J2))),"--",E2-J2)</f>
        <v>0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TIE</v>
      </c>
      <c r="U2" s="5" t="e">
        <f>IF(S2="--","--",TEXT(MIN(E2,J2)/MAX(E2,J2),"0.000%"))</f>
        <v>#DIV/0!</v>
      </c>
      <c r="V2" s="5">
        <f>IF(OR(ISNUMBER(SEARCH("ERROR", F2)), ISNUMBER(SEARCH("ERROR", K2)), ISNUMBER(SEARCH("TIME OUT", F2)), ISNUMBER(SEARCH("TIME OUT", K2))),"--",F2-K2)</f>
        <v>0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TIE</v>
      </c>
      <c r="X2" s="5" t="e">
        <f>IF(V2="--","--",TEXT(MIN(F2,K2)/MAX(F2,K2),"0.000%"))</f>
        <v>#DIV/0!</v>
      </c>
      <c r="Y2" s="5"/>
      <c r="Z2" t="e">
        <f>AVERAGE(C:C)</f>
        <v>#DIV/0!</v>
      </c>
      <c r="AA2" t="e">
        <f>AVERAGE(D:D)</f>
        <v>#DIV/0!</v>
      </c>
      <c r="AB2" t="e">
        <f>AVERAGE(E:E)</f>
        <v>#DIV/0!</v>
      </c>
      <c r="AC2" t="e">
        <f>AVERAGE(F:F)</f>
        <v>#DIV/0!</v>
      </c>
      <c r="AD2" t="e">
        <f>AVERAGE(H:H)</f>
        <v>#DIV/0!</v>
      </c>
      <c r="AE2" t="e">
        <f t="shared" ref="AE2:AG2" si="0">AVERAGE(I:I)</f>
        <v>#DIV/0!</v>
      </c>
      <c r="AF2" t="e">
        <f t="shared" si="0"/>
        <v>#DIV/0!</v>
      </c>
      <c r="AG2" t="e">
        <f t="shared" si="0"/>
        <v>#DIV/0!</v>
      </c>
      <c r="AH2">
        <f>AVERAGE(M2)</f>
        <v>0</v>
      </c>
      <c r="AI2">
        <f>AVERAGE(P2)</f>
        <v>0</v>
      </c>
      <c r="AJ2">
        <f>AVERAGE(S2)</f>
        <v>0</v>
      </c>
      <c r="AK2">
        <f>AVERAGE(V2)</f>
        <v>0</v>
      </c>
    </row>
    <row r="3" spans="1:43" x14ac:dyDescent="0.25"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43" x14ac:dyDescent="0.25"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43" x14ac:dyDescent="0.25"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43" x14ac:dyDescent="0.25"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A6" s="9" t="s">
        <v>26</v>
      </c>
      <c r="AB6" s="9"/>
      <c r="AC6" s="9" t="s">
        <v>27</v>
      </c>
      <c r="AD6" s="9"/>
      <c r="AE6" s="9" t="s">
        <v>28</v>
      </c>
      <c r="AF6" s="9"/>
      <c r="AG6" s="9" t="s">
        <v>29</v>
      </c>
      <c r="AH6" s="9"/>
      <c r="AJ6" s="9" t="s">
        <v>40</v>
      </c>
      <c r="AK6" s="9"/>
      <c r="AL6" s="9" t="s">
        <v>41</v>
      </c>
      <c r="AM6" s="9"/>
      <c r="AN6" s="9" t="s">
        <v>42</v>
      </c>
      <c r="AO6" s="9"/>
      <c r="AP6" s="9" t="s">
        <v>43</v>
      </c>
      <c r="AQ6" s="9"/>
    </row>
    <row r="7" spans="1:43" x14ac:dyDescent="0.25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 t="s">
        <v>30</v>
      </c>
      <c r="AA7">
        <f>COUNTIF(N:N,$Z7)</f>
        <v>0</v>
      </c>
      <c r="AB7" s="6">
        <f>AA7/AA$11</f>
        <v>0</v>
      </c>
      <c r="AC7">
        <f>COUNTIF(Q:Q,$Z7)</f>
        <v>0</v>
      </c>
      <c r="AD7" s="6">
        <f>AC7/AC$11</f>
        <v>0</v>
      </c>
      <c r="AE7">
        <f>COUNTIF(T:T,$Z7)</f>
        <v>0</v>
      </c>
      <c r="AF7" s="6">
        <f>AE7/AE$11</f>
        <v>0</v>
      </c>
      <c r="AG7">
        <f>COUNTIF(W:W,$Z7)</f>
        <v>0</v>
      </c>
      <c r="AH7" s="6">
        <f>AG7/AG$11</f>
        <v>0</v>
      </c>
      <c r="AJ7">
        <f>COUNTA(B2:B68)-COUNTIF(B2:B68,"*TIME OUT*")-COUNTIF(B2:B68,"*ERROR*")</f>
        <v>0</v>
      </c>
      <c r="AK7" s="6">
        <f>AJ7/67</f>
        <v>0</v>
      </c>
      <c r="AL7">
        <f>COUNTIF(B2:B68,"*TIME OUT*")</f>
        <v>0</v>
      </c>
      <c r="AM7" s="6">
        <f>AL7/67</f>
        <v>0</v>
      </c>
      <c r="AN7">
        <f>COUNTIF(B2:B68,"*ERROR*")</f>
        <v>0</v>
      </c>
      <c r="AO7" s="6">
        <f>AN7/67</f>
        <v>0</v>
      </c>
      <c r="AP7">
        <f>AJ7+AL7+AN7</f>
        <v>0</v>
      </c>
      <c r="AQ7" s="6">
        <f>AK7+AM7+AO7</f>
        <v>0</v>
      </c>
    </row>
    <row r="8" spans="1:43" x14ac:dyDescent="0.25"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 t="s">
        <v>31</v>
      </c>
      <c r="AA8">
        <f>COUNTIF(N:N,$Z8)</f>
        <v>0</v>
      </c>
      <c r="AB8" s="6">
        <f>AA8/AA$11</f>
        <v>0</v>
      </c>
      <c r="AC8">
        <f>COUNTIF(Q:Q,$Z8)</f>
        <v>0</v>
      </c>
      <c r="AD8" s="6">
        <f>AC8/AC$11</f>
        <v>0</v>
      </c>
      <c r="AE8">
        <f>COUNTIF(T:T,$Z8)</f>
        <v>0</v>
      </c>
      <c r="AF8" s="6">
        <f>AE8/AE$11</f>
        <v>0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0</v>
      </c>
      <c r="AK8" s="6">
        <f>AJ8/67</f>
        <v>0</v>
      </c>
      <c r="AL8">
        <f>COUNTIF(G2:G68,"*TIME OUT*")</f>
        <v>0</v>
      </c>
      <c r="AM8" s="6">
        <f>AL8/67</f>
        <v>0</v>
      </c>
      <c r="AN8">
        <f>COUNTIF(G2:G68,"*ERROR*")</f>
        <v>0</v>
      </c>
      <c r="AO8" s="6">
        <f>AN8/67</f>
        <v>0</v>
      </c>
      <c r="AP8">
        <f>AJ8+AL8+AN8</f>
        <v>0</v>
      </c>
      <c r="AQ8" s="6">
        <f>AK8+AM8+AO8</f>
        <v>0</v>
      </c>
    </row>
    <row r="9" spans="1:43" x14ac:dyDescent="0.25"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 t="s">
        <v>32</v>
      </c>
      <c r="AA9">
        <f>COUNTIF(N:N,$Z9)</f>
        <v>1</v>
      </c>
      <c r="AB9" s="6">
        <f>AA9/AA$11</f>
        <v>1</v>
      </c>
      <c r="AC9">
        <f>COUNTIF(Q:Q,$Z9)</f>
        <v>1</v>
      </c>
      <c r="AD9" s="6">
        <f>AC9/AC$11</f>
        <v>1</v>
      </c>
      <c r="AE9">
        <f>COUNTIF(T:T,$Z9)</f>
        <v>1</v>
      </c>
      <c r="AF9" s="6">
        <f>AE9/AE$11</f>
        <v>1</v>
      </c>
      <c r="AG9">
        <f>COUNTIF(W:W,$Z9)</f>
        <v>1</v>
      </c>
      <c r="AH9" s="6">
        <f>AG9/AG$11</f>
        <v>1</v>
      </c>
    </row>
    <row r="10" spans="1:43" x14ac:dyDescent="0.25"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 t="s">
        <v>34</v>
      </c>
      <c r="AA10">
        <f>COUNTIF(N:N,$Z10)</f>
        <v>0</v>
      </c>
      <c r="AB10" s="6">
        <f>AA10/AA$11</f>
        <v>0</v>
      </c>
      <c r="AC10">
        <f>COUNTIF(Q:Q,$Z10)</f>
        <v>0</v>
      </c>
      <c r="AD10" s="6">
        <f>AC10/AC$11</f>
        <v>0</v>
      </c>
      <c r="AE10">
        <f>COUNTIF(T:T,$Z10)</f>
        <v>0</v>
      </c>
      <c r="AF10" s="6">
        <f>AE10/AE$11</f>
        <v>0</v>
      </c>
      <c r="AG10">
        <f>COUNTIF(W:W,$Z10)</f>
        <v>0</v>
      </c>
      <c r="AH10" s="6">
        <f>AG10/AG$11</f>
        <v>0</v>
      </c>
    </row>
    <row r="11" spans="1:43" x14ac:dyDescent="0.25"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 t="s">
        <v>33</v>
      </c>
      <c r="AA11">
        <f>COUNTA(N:N)-1</f>
        <v>1</v>
      </c>
      <c r="AB11" s="6">
        <f>AA11/AA$11</f>
        <v>1</v>
      </c>
      <c r="AC11">
        <f>COUNTA(O:O)-1</f>
        <v>1</v>
      </c>
      <c r="AD11" s="6">
        <f>AC11/AC$11</f>
        <v>1</v>
      </c>
      <c r="AE11">
        <f>COUNTA(P:P)-1</f>
        <v>1</v>
      </c>
      <c r="AF11" s="6">
        <f>AE11/AE$11</f>
        <v>1</v>
      </c>
      <c r="AG11">
        <f>COUNTA(Q:Q)-1</f>
        <v>1</v>
      </c>
      <c r="AH11" s="6">
        <f>AG11/AG$11</f>
        <v>1</v>
      </c>
    </row>
    <row r="12" spans="1:43" x14ac:dyDescent="0.25"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43" x14ac:dyDescent="0.25"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AA13" s="9" t="s">
        <v>26</v>
      </c>
      <c r="AB13" s="9"/>
      <c r="AC13" s="9" t="s">
        <v>27</v>
      </c>
      <c r="AD13" s="9"/>
      <c r="AE13" s="9" t="s">
        <v>28</v>
      </c>
      <c r="AF13" s="9"/>
      <c r="AG13" s="9" t="s">
        <v>29</v>
      </c>
      <c r="AH13" s="9"/>
    </row>
    <row r="14" spans="1:43" x14ac:dyDescent="0.25"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 t="s">
        <v>30</v>
      </c>
      <c r="AA14">
        <f>COUNTIF(N:N,$Z7)-COUNTIFS(N:N,$Z7,O:O,"--")</f>
        <v>0</v>
      </c>
      <c r="AB14" s="6">
        <f>AA14/AA$11</f>
        <v>0</v>
      </c>
      <c r="AC14">
        <f>COUNTIF(Q:Q,$Z7)-COUNTIFS(Q:Q,$Z7,R:R,"--")</f>
        <v>0</v>
      </c>
      <c r="AD14" s="6">
        <f>AC14/AC$11</f>
        <v>0</v>
      </c>
      <c r="AE14">
        <f>COUNTIF(T:T,$Z7)-COUNTIFS(T:T,$Z7,U:U,"--")</f>
        <v>0</v>
      </c>
      <c r="AF14" s="6">
        <f>AE14/AE$11</f>
        <v>0</v>
      </c>
      <c r="AG14">
        <f>COUNTIF(W:W,$Z7)-COUNTIFS(W:W,$Z7,X:X,"--")</f>
        <v>0</v>
      </c>
      <c r="AH14" s="6">
        <f>AG14/AG$11</f>
        <v>0</v>
      </c>
    </row>
    <row r="15" spans="1:43" x14ac:dyDescent="0.25"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 t="s">
        <v>31</v>
      </c>
      <c r="AA15">
        <f>COUNTIF(N:N,$Z8)-COUNTIFS(N:N,$Z8,O:O,"--")</f>
        <v>0</v>
      </c>
      <c r="AB15" s="6">
        <f>AA15/AA$11</f>
        <v>0</v>
      </c>
      <c r="AC15">
        <f t="shared" ref="AC15:AC16" si="1">COUNTIF(Q:Q,$Z8)-COUNTIFS(Q:Q,$Z8,R:R,"--")</f>
        <v>0</v>
      </c>
      <c r="AD15" s="6">
        <f>AC15/AC$11</f>
        <v>0</v>
      </c>
      <c r="AE15">
        <f t="shared" ref="AE15:AE16" si="2">COUNTIF(T:T,$Z8)-COUNTIFS(T:T,$Z8,U:U,"--")</f>
        <v>0</v>
      </c>
      <c r="AF15" s="6">
        <f>AE15/AE$11</f>
        <v>0</v>
      </c>
      <c r="AG15">
        <f t="shared" ref="AG15:AG16" si="3">COUNTIF(W:W,$Z8)-COUNTIFS(W:W,$Z8,X:X,"--")</f>
        <v>0</v>
      </c>
      <c r="AH15" s="6">
        <f>AG15/AG$11</f>
        <v>0</v>
      </c>
    </row>
    <row r="16" spans="1:43" x14ac:dyDescent="0.25"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 t="s">
        <v>32</v>
      </c>
      <c r="AA16">
        <f t="shared" ref="AA16" si="4">COUNTIF(N:N,$Z9)-COUNTIFS(N:N,$Z9,O:O,"--")</f>
        <v>1</v>
      </c>
      <c r="AB16" s="6">
        <f>AA16/AA$11</f>
        <v>1</v>
      </c>
      <c r="AC16">
        <f t="shared" si="1"/>
        <v>1</v>
      </c>
      <c r="AD16" s="6">
        <f>AC16/AC$11</f>
        <v>1</v>
      </c>
      <c r="AE16">
        <f t="shared" si="2"/>
        <v>1</v>
      </c>
      <c r="AF16" s="6">
        <f>AE16/AE$11</f>
        <v>1</v>
      </c>
      <c r="AG16">
        <f t="shared" si="3"/>
        <v>1</v>
      </c>
      <c r="AH16" s="6">
        <f>AG16/AG$11</f>
        <v>1</v>
      </c>
    </row>
    <row r="17" spans="12:34" x14ac:dyDescent="0.25"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 t="s">
        <v>34</v>
      </c>
      <c r="AA17">
        <f>COUNTIF(O:O,"--")</f>
        <v>0</v>
      </c>
      <c r="AB17" s="6">
        <f>AA17/AA$11</f>
        <v>0</v>
      </c>
      <c r="AC17">
        <f>COUNTIF(R:R,"--")</f>
        <v>0</v>
      </c>
      <c r="AD17" s="6">
        <f>AC17/AC$11</f>
        <v>0</v>
      </c>
      <c r="AE17">
        <f>COUNTIF(U:U,"--")</f>
        <v>0</v>
      </c>
      <c r="AF17" s="6">
        <f>AE17/AE$11</f>
        <v>0</v>
      </c>
      <c r="AG17">
        <f>COUNTIF(X:X,"--")</f>
        <v>0</v>
      </c>
      <c r="AH17" s="6">
        <f>AG17/AG$11</f>
        <v>0</v>
      </c>
    </row>
    <row r="18" spans="12:34" x14ac:dyDescent="0.25"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 t="s">
        <v>33</v>
      </c>
      <c r="AA18">
        <f>COUNTA(N:N)-1</f>
        <v>1</v>
      </c>
      <c r="AB18" s="6">
        <f>AA18/AA$11</f>
        <v>1</v>
      </c>
      <c r="AC18">
        <f>COUNTA(O:O)-1</f>
        <v>1</v>
      </c>
      <c r="AD18" s="6">
        <f>AC18/AC$11</f>
        <v>1</v>
      </c>
      <c r="AE18">
        <f>COUNTA(P:P)-1</f>
        <v>1</v>
      </c>
      <c r="AF18" s="6">
        <f>AE18/AE$11</f>
        <v>1</v>
      </c>
      <c r="AG18">
        <f>COUNTA(Q:Q)-1</f>
        <v>1</v>
      </c>
      <c r="AH18" s="6">
        <f>AG18/AG$11</f>
        <v>1</v>
      </c>
    </row>
    <row r="19" spans="12:34" x14ac:dyDescent="0.25"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AD19">
        <f>COUNTIF(W:W,$Z8)-COUNTIFS(W:W,$Z8,V:V,"--")</f>
        <v>0</v>
      </c>
    </row>
    <row r="20" spans="12:34" x14ac:dyDescent="0.25"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2:34" x14ac:dyDescent="0.25"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2:34" x14ac:dyDescent="0.25"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2:34" x14ac:dyDescent="0.25"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2:34" x14ac:dyDescent="0.25"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2:34" x14ac:dyDescent="0.25"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t="s">
        <v>44</v>
      </c>
    </row>
    <row r="26" spans="12:34" x14ac:dyDescent="0.25"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t="str">
        <f>Z7&amp;": "&amp;AJ7&amp;" "&amp;AJ6&amp;" ("&amp;TEXT(AK7,"0.00%")&amp;"), "&amp;AL7&amp;" "&amp;AL6&amp;" ("&amp;TEXT(AM7,"0.00%")&amp;"), "&amp;AN7&amp;" "&amp;AN6&amp;" ("&amp;TEXT(AO7,"0.00%")&amp;")."</f>
        <v>RC: 0 Successes (0.00%), 0 Timeouts (0.00%), 0 Errors (0.00%).</v>
      </c>
    </row>
    <row r="27" spans="12:34" x14ac:dyDescent="0.25"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t="str">
        <f>Z8&amp;": "&amp;AJ8&amp;" "&amp;AJ6&amp;" ("&amp;TEXT(AK8,"0.00%")&amp;"), "&amp;AL8&amp;" "&amp;AL6&amp;" ("&amp;TEXT(AM8,"0.00%")&amp;"), "&amp;AN8&amp;" "&amp;AN6&amp;" ("&amp;TEXT(AO8,"0.00%")&amp;")."</f>
        <v>QE: 0 Successes (0.00%), 0 Timeouts (0.00%), 0 Errors (0.00%).</v>
      </c>
    </row>
    <row r="28" spans="12:34" x14ac:dyDescent="0.25"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2:34" x14ac:dyDescent="0.25"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t="s">
        <v>45</v>
      </c>
    </row>
    <row r="30" spans="12:34" x14ac:dyDescent="0.25"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t="str">
        <f>Z7&amp;": "&amp;AC7&amp;" ("&amp;TEXT(AD7,"0.00%")&amp;"), "&amp;AC14&amp;" actual ("&amp;TEXT(AD14,"0.00%")&amp;")"</f>
        <v>RC: 0 (0.00%), 0 actual (0.00%)</v>
      </c>
    </row>
    <row r="31" spans="12:34" x14ac:dyDescent="0.25"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t="str">
        <f>Z8&amp;": "&amp;AC8&amp;" ("&amp;TEXT(AD8,"0.00%")&amp;"), "&amp;AC15&amp;" actual ("&amp;TEXT(AD15,"0.00%")&amp;")"</f>
        <v>QE: 0 (0.00%), 0 actual (0.00%)</v>
      </c>
    </row>
    <row r="32" spans="12:34" x14ac:dyDescent="0.25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2:26" x14ac:dyDescent="0.25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t="s">
        <v>46</v>
      </c>
    </row>
    <row r="34" spans="12:26" x14ac:dyDescent="0.25"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t="str">
        <f>Z7&amp;": "&amp;AG7&amp;" ("&amp;TEXT(AH7,"0.00%")&amp;"), "&amp;AG14&amp;" actual ("&amp;TEXT(AH14,"0.00%")&amp;")"</f>
        <v>RC: 0 (0.00%), 0 actual (0.00%)</v>
      </c>
    </row>
    <row r="35" spans="12:26" x14ac:dyDescent="0.25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t="str">
        <f>Z8&amp;": "&amp;AG8&amp;" ("&amp;TEXT(AH8,"0.00%")&amp;"), "&amp;AG15&amp;" actual ("&amp;TEXT(AH15,"0.00%")&amp;")"</f>
        <v>QE: 0 (0.00%), 0 actual (0.00%)</v>
      </c>
    </row>
    <row r="36" spans="12:26" x14ac:dyDescent="0.25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2:26" x14ac:dyDescent="0.25"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2:26" x14ac:dyDescent="0.25"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2:26" x14ac:dyDescent="0.25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2:26" x14ac:dyDescent="0.25"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2:26" x14ac:dyDescent="0.25"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2:26" x14ac:dyDescent="0.25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2:26" x14ac:dyDescent="0.25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2:26" x14ac:dyDescent="0.25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2:26" x14ac:dyDescent="0.25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2:26" x14ac:dyDescent="0.25"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2:26" x14ac:dyDescent="0.25"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2:26" x14ac:dyDescent="0.25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2:25" x14ac:dyDescent="0.25"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2:25" x14ac:dyDescent="0.25"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2:25" x14ac:dyDescent="0.25"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2:25" x14ac:dyDescent="0.25"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2:25" x14ac:dyDescent="0.25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2:25" x14ac:dyDescent="0.25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2:25" x14ac:dyDescent="0.25"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2:25" x14ac:dyDescent="0.25"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2:25" x14ac:dyDescent="0.25"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2:25" x14ac:dyDescent="0.25"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2:25" x14ac:dyDescent="0.25"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2:25" x14ac:dyDescent="0.25"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2:25" x14ac:dyDescent="0.25"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2:25" x14ac:dyDescent="0.25"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2:25" x14ac:dyDescent="0.25"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2:25" x14ac:dyDescent="0.25"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2:25" x14ac:dyDescent="0.25"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2:25" x14ac:dyDescent="0.25"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2:25" x14ac:dyDescent="0.25"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2:25" x14ac:dyDescent="0.25"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70" spans="12:25" x14ac:dyDescent="0.25">
      <c r="N70" s="5"/>
    </row>
  </sheetData>
  <autoFilter ref="A1:K68" xr:uid="{68567C89-2050-46DB-ABA2-146424013801}"/>
  <mergeCells count="12">
    <mergeCell ref="AL6:AM6"/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</mergeCells>
  <conditionalFormatting sqref="A1:K68">
    <cfRule type="containsText" dxfId="95" priority="5" operator="containsText" text="ERROR">
      <formula>NOT(ISERROR(SEARCH("ERROR",A1)))</formula>
    </cfRule>
    <cfRule type="containsText" dxfId="94" priority="11" operator="containsText" text="TIME OUT">
      <formula>NOT(ISERROR(SEARCH("TIME OUT",A1)))</formula>
    </cfRule>
  </conditionalFormatting>
  <conditionalFormatting sqref="L2:L69 L71:L1048576">
    <cfRule type="cellIs" dxfId="93" priority="7" operator="equal">
      <formula>TRUE</formula>
    </cfRule>
  </conditionalFormatting>
  <conditionalFormatting sqref="L1:S1 X1">
    <cfRule type="containsText" dxfId="92" priority="6" operator="containsText" text="TIME OUT">
      <formula>NOT(ISERROR(SEARCH("TIME OUT",L1)))</formula>
    </cfRule>
  </conditionalFormatting>
  <conditionalFormatting sqref="Y1 L2:Y69 N70 L71:Y1048576">
    <cfRule type="cellIs" dxfId="91" priority="8" operator="equal">
      <formula>"QE"</formula>
    </cfRule>
    <cfRule type="cellIs" dxfId="90" priority="9" operator="equal">
      <formula>"RC"</formula>
    </cfRule>
  </conditionalFormatting>
  <conditionalFormatting sqref="Y1:AG1">
    <cfRule type="containsText" dxfId="89" priority="10" operator="containsText" text="TIME OUT">
      <formula>NOT(ISERROR(SEARCH("TIME OUT",Y1)))</formula>
    </cfRule>
  </conditionalFormatting>
  <conditionalFormatting sqref="Z7:Z11">
    <cfRule type="cellIs" dxfId="88" priority="3" operator="equal">
      <formula>"QE"</formula>
    </cfRule>
    <cfRule type="cellIs" dxfId="87" priority="4" operator="equal">
      <formula>"RC"</formula>
    </cfRule>
  </conditionalFormatting>
  <conditionalFormatting sqref="Z14:Z18">
    <cfRule type="cellIs" dxfId="86" priority="1" operator="equal">
      <formula>"QE"</formula>
    </cfRule>
    <cfRule type="cellIs" dxfId="85" priority="2" operator="equal">
      <formula>"RC"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C749-54A7-4F66-88D7-457AEC497395}">
  <dimension ref="A1:AQ70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3"/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 x14ac:dyDescent="0.25"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0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TIE</v>
      </c>
      <c r="O2" s="5" t="e">
        <f>IF(M2="--","--",TEXT(MIN(C2,H2)/MAX(C2,H2),"0.000%"))</f>
        <v>#DIV/0!</v>
      </c>
      <c r="P2" s="5">
        <f>IF(OR(ISNUMBER(SEARCH("ERROR", D2)), ISNUMBER(SEARCH("ERROR", I2)), ISNUMBER(SEARCH("TIME OUT", D2)), ISNUMBER(SEARCH("TIME OUT", I2))),"--",D2-I2)</f>
        <v>0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TIE</v>
      </c>
      <c r="R2" s="5" t="e">
        <f>IF(P2="--","--",TEXT(MIN(D2,I2)/MAX(D2,I2),"0.000%"))</f>
        <v>#DIV/0!</v>
      </c>
      <c r="S2" s="5">
        <f>IF(OR(ISNUMBER(SEARCH("ERROR", E2)), ISNUMBER(SEARCH("ERROR", J2)), ISNUMBER(SEARCH("TIME OUT", E2)), ISNUMBER(SEARCH("TIME OUT", J2))),"--",E2-J2)</f>
        <v>0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TIE</v>
      </c>
      <c r="U2" s="5" t="e">
        <f>IF(S2="--","--",TEXT(MIN(E2,J2)/MAX(E2,J2),"0.000%"))</f>
        <v>#DIV/0!</v>
      </c>
      <c r="V2" s="5">
        <f>IF(OR(ISNUMBER(SEARCH("ERROR", F2)), ISNUMBER(SEARCH("ERROR", K2)), ISNUMBER(SEARCH("TIME OUT", F2)), ISNUMBER(SEARCH("TIME OUT", K2))),"--",F2-K2)</f>
        <v>0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TIE</v>
      </c>
      <c r="X2" s="5" t="e">
        <f>IF(V2="--","--",TEXT(MIN(F2,K2)/MAX(F2,K2),"0.000%"))</f>
        <v>#DIV/0!</v>
      </c>
      <c r="Y2" s="5"/>
      <c r="Z2" t="e">
        <f>AVERAGE(C:C)</f>
        <v>#DIV/0!</v>
      </c>
      <c r="AA2" t="e">
        <f>AVERAGE(D:D)</f>
        <v>#DIV/0!</v>
      </c>
      <c r="AB2" t="e">
        <f>AVERAGE(E:E)</f>
        <v>#DIV/0!</v>
      </c>
      <c r="AC2" t="e">
        <f>AVERAGE(F:F)</f>
        <v>#DIV/0!</v>
      </c>
      <c r="AD2" t="e">
        <f>AVERAGE(H:H)</f>
        <v>#DIV/0!</v>
      </c>
      <c r="AE2" t="e">
        <f t="shared" ref="AE2:AG2" si="0">AVERAGE(I:I)</f>
        <v>#DIV/0!</v>
      </c>
      <c r="AF2" t="e">
        <f t="shared" si="0"/>
        <v>#DIV/0!</v>
      </c>
      <c r="AG2" t="e">
        <f t="shared" si="0"/>
        <v>#DIV/0!</v>
      </c>
      <c r="AH2">
        <f>AVERAGE(M2)</f>
        <v>0</v>
      </c>
      <c r="AI2">
        <f>AVERAGE(P2)</f>
        <v>0</v>
      </c>
      <c r="AJ2">
        <f>AVERAGE(S2)</f>
        <v>0</v>
      </c>
      <c r="AK2">
        <f>AVERAGE(V2)</f>
        <v>0</v>
      </c>
    </row>
    <row r="3" spans="1:43" x14ac:dyDescent="0.25"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43" x14ac:dyDescent="0.25"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43" x14ac:dyDescent="0.25"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43" x14ac:dyDescent="0.25"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A6" s="9" t="s">
        <v>26</v>
      </c>
      <c r="AB6" s="9"/>
      <c r="AC6" s="9" t="s">
        <v>27</v>
      </c>
      <c r="AD6" s="9"/>
      <c r="AE6" s="9" t="s">
        <v>28</v>
      </c>
      <c r="AF6" s="9"/>
      <c r="AG6" s="9" t="s">
        <v>29</v>
      </c>
      <c r="AH6" s="9"/>
      <c r="AJ6" s="9" t="s">
        <v>40</v>
      </c>
      <c r="AK6" s="9"/>
      <c r="AL6" s="9" t="s">
        <v>41</v>
      </c>
      <c r="AM6" s="9"/>
      <c r="AN6" s="9" t="s">
        <v>42</v>
      </c>
      <c r="AO6" s="9"/>
      <c r="AP6" s="9" t="s">
        <v>43</v>
      </c>
      <c r="AQ6" s="9"/>
    </row>
    <row r="7" spans="1:43" x14ac:dyDescent="0.25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 t="s">
        <v>30</v>
      </c>
      <c r="AA7">
        <f>COUNTIF(N:N,$Z7)</f>
        <v>0</v>
      </c>
      <c r="AB7" s="6">
        <f>AA7/AA$11</f>
        <v>0</v>
      </c>
      <c r="AC7">
        <f>COUNTIF(Q:Q,$Z7)</f>
        <v>0</v>
      </c>
      <c r="AD7" s="6">
        <f>AC7/AC$11</f>
        <v>0</v>
      </c>
      <c r="AE7">
        <f>COUNTIF(T:T,$Z7)</f>
        <v>0</v>
      </c>
      <c r="AF7" s="6">
        <f>AE7/AE$11</f>
        <v>0</v>
      </c>
      <c r="AG7">
        <f>COUNTIF(W:W,$Z7)</f>
        <v>0</v>
      </c>
      <c r="AH7" s="6">
        <f>AG7/AG$11</f>
        <v>0</v>
      </c>
      <c r="AJ7">
        <f>COUNTA(B2:B68)-COUNTIF(B2:B68,"*TIME OUT*")-COUNTIF(B2:B68,"*ERROR*")</f>
        <v>0</v>
      </c>
      <c r="AK7" s="6">
        <f>AJ7/67</f>
        <v>0</v>
      </c>
      <c r="AL7">
        <f>COUNTIF(B2:B68,"*TIME OUT*")</f>
        <v>0</v>
      </c>
      <c r="AM7" s="6">
        <f>AL7/67</f>
        <v>0</v>
      </c>
      <c r="AN7">
        <f>COUNTIF(B2:B68,"*ERROR*")</f>
        <v>0</v>
      </c>
      <c r="AO7" s="6">
        <f>AN7/67</f>
        <v>0</v>
      </c>
      <c r="AP7">
        <f>AJ7+AL7+AN7</f>
        <v>0</v>
      </c>
      <c r="AQ7" s="6">
        <f>AK7+AM7+AO7</f>
        <v>0</v>
      </c>
    </row>
    <row r="8" spans="1:43" x14ac:dyDescent="0.25"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 t="s">
        <v>31</v>
      </c>
      <c r="AA8">
        <f>COUNTIF(N:N,$Z8)</f>
        <v>0</v>
      </c>
      <c r="AB8" s="6">
        <f>AA8/AA$11</f>
        <v>0</v>
      </c>
      <c r="AC8">
        <f>COUNTIF(Q:Q,$Z8)</f>
        <v>0</v>
      </c>
      <c r="AD8" s="6">
        <f>AC8/AC$11</f>
        <v>0</v>
      </c>
      <c r="AE8">
        <f>COUNTIF(T:T,$Z8)</f>
        <v>0</v>
      </c>
      <c r="AF8" s="6">
        <f>AE8/AE$11</f>
        <v>0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0</v>
      </c>
      <c r="AK8" s="6">
        <f>AJ8/67</f>
        <v>0</v>
      </c>
      <c r="AL8">
        <f>COUNTIF(G2:G68,"*TIME OUT*")</f>
        <v>0</v>
      </c>
      <c r="AM8" s="6">
        <f>AL8/67</f>
        <v>0</v>
      </c>
      <c r="AN8">
        <f>COUNTIF(G2:G68,"*ERROR*")</f>
        <v>0</v>
      </c>
      <c r="AO8" s="6">
        <f>AN8/67</f>
        <v>0</v>
      </c>
      <c r="AP8">
        <f>AJ8+AL8+AN8</f>
        <v>0</v>
      </c>
      <c r="AQ8" s="6">
        <f>AK8+AM8+AO8</f>
        <v>0</v>
      </c>
    </row>
    <row r="9" spans="1:43" x14ac:dyDescent="0.25"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 t="s">
        <v>32</v>
      </c>
      <c r="AA9">
        <f>COUNTIF(N:N,$Z9)</f>
        <v>1</v>
      </c>
      <c r="AB9" s="6">
        <f>AA9/AA$11</f>
        <v>1</v>
      </c>
      <c r="AC9">
        <f>COUNTIF(Q:Q,$Z9)</f>
        <v>1</v>
      </c>
      <c r="AD9" s="6">
        <f>AC9/AC$11</f>
        <v>1</v>
      </c>
      <c r="AE9">
        <f>COUNTIF(T:T,$Z9)</f>
        <v>1</v>
      </c>
      <c r="AF9" s="6">
        <f>AE9/AE$11</f>
        <v>1</v>
      </c>
      <c r="AG9">
        <f>COUNTIF(W:W,$Z9)</f>
        <v>1</v>
      </c>
      <c r="AH9" s="6">
        <f>AG9/AG$11</f>
        <v>1</v>
      </c>
    </row>
    <row r="10" spans="1:43" x14ac:dyDescent="0.25"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 t="s">
        <v>34</v>
      </c>
      <c r="AA10">
        <f>COUNTIF(N:N,$Z10)</f>
        <v>0</v>
      </c>
      <c r="AB10" s="6">
        <f>AA10/AA$11</f>
        <v>0</v>
      </c>
      <c r="AC10">
        <f>COUNTIF(Q:Q,$Z10)</f>
        <v>0</v>
      </c>
      <c r="AD10" s="6">
        <f>AC10/AC$11</f>
        <v>0</v>
      </c>
      <c r="AE10">
        <f>COUNTIF(T:T,$Z10)</f>
        <v>0</v>
      </c>
      <c r="AF10" s="6">
        <f>AE10/AE$11</f>
        <v>0</v>
      </c>
      <c r="AG10">
        <f>COUNTIF(W:W,$Z10)</f>
        <v>0</v>
      </c>
      <c r="AH10" s="6">
        <f>AG10/AG$11</f>
        <v>0</v>
      </c>
    </row>
    <row r="11" spans="1:43" x14ac:dyDescent="0.25"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 t="s">
        <v>33</v>
      </c>
      <c r="AA11">
        <f>COUNTA(N:N)-1</f>
        <v>1</v>
      </c>
      <c r="AB11" s="6">
        <f>AA11/AA$11</f>
        <v>1</v>
      </c>
      <c r="AC11">
        <f>COUNTA(O:O)-1</f>
        <v>1</v>
      </c>
      <c r="AD11" s="6">
        <f>AC11/AC$11</f>
        <v>1</v>
      </c>
      <c r="AE11">
        <f>COUNTA(P:P)-1</f>
        <v>1</v>
      </c>
      <c r="AF11" s="6">
        <f>AE11/AE$11</f>
        <v>1</v>
      </c>
      <c r="AG11">
        <f>COUNTA(Q:Q)-1</f>
        <v>1</v>
      </c>
      <c r="AH11" s="6">
        <f>AG11/AG$11</f>
        <v>1</v>
      </c>
    </row>
    <row r="12" spans="1:43" x14ac:dyDescent="0.25"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43" x14ac:dyDescent="0.25"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AA13" s="9" t="s">
        <v>26</v>
      </c>
      <c r="AB13" s="9"/>
      <c r="AC13" s="9" t="s">
        <v>27</v>
      </c>
      <c r="AD13" s="9"/>
      <c r="AE13" s="9" t="s">
        <v>28</v>
      </c>
      <c r="AF13" s="9"/>
      <c r="AG13" s="9" t="s">
        <v>29</v>
      </c>
      <c r="AH13" s="9"/>
    </row>
    <row r="14" spans="1:43" x14ac:dyDescent="0.25"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 t="s">
        <v>30</v>
      </c>
      <c r="AA14">
        <f>COUNTIF(N:N,$Z7)-COUNTIFS(N:N,$Z7,O:O,"--")</f>
        <v>0</v>
      </c>
      <c r="AB14" s="6">
        <f>AA14/AA$11</f>
        <v>0</v>
      </c>
      <c r="AC14">
        <f>COUNTIF(Q:Q,$Z7)-COUNTIFS(Q:Q,$Z7,R:R,"--")</f>
        <v>0</v>
      </c>
      <c r="AD14" s="6">
        <f>AC14/AC$11</f>
        <v>0</v>
      </c>
      <c r="AE14">
        <f>COUNTIF(T:T,$Z7)-COUNTIFS(T:T,$Z7,U:U,"--")</f>
        <v>0</v>
      </c>
      <c r="AF14" s="6">
        <f>AE14/AE$11</f>
        <v>0</v>
      </c>
      <c r="AG14">
        <f>COUNTIF(W:W,$Z7)-COUNTIFS(W:W,$Z7,X:X,"--")</f>
        <v>0</v>
      </c>
      <c r="AH14" s="6">
        <f>AG14/AG$11</f>
        <v>0</v>
      </c>
    </row>
    <row r="15" spans="1:43" x14ac:dyDescent="0.25"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 t="s">
        <v>31</v>
      </c>
      <c r="AA15">
        <f>COUNTIF(N:N,$Z8)-COUNTIFS(N:N,$Z8,O:O,"--")</f>
        <v>0</v>
      </c>
      <c r="AB15" s="6">
        <f>AA15/AA$11</f>
        <v>0</v>
      </c>
      <c r="AC15">
        <f t="shared" ref="AC15:AC16" si="1">COUNTIF(Q:Q,$Z8)-COUNTIFS(Q:Q,$Z8,R:R,"--")</f>
        <v>0</v>
      </c>
      <c r="AD15" s="6">
        <f>AC15/AC$11</f>
        <v>0</v>
      </c>
      <c r="AE15">
        <f t="shared" ref="AE15:AE16" si="2">COUNTIF(T:T,$Z8)-COUNTIFS(T:T,$Z8,U:U,"--")</f>
        <v>0</v>
      </c>
      <c r="AF15" s="6">
        <f>AE15/AE$11</f>
        <v>0</v>
      </c>
      <c r="AG15">
        <f t="shared" ref="AG15:AG16" si="3">COUNTIF(W:W,$Z8)-COUNTIFS(W:W,$Z8,X:X,"--")</f>
        <v>0</v>
      </c>
      <c r="AH15" s="6">
        <f>AG15/AG$11</f>
        <v>0</v>
      </c>
    </row>
    <row r="16" spans="1:43" x14ac:dyDescent="0.25"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 t="s">
        <v>32</v>
      </c>
      <c r="AA16">
        <f t="shared" ref="AA16" si="4">COUNTIF(N:N,$Z9)-COUNTIFS(N:N,$Z9,O:O,"--")</f>
        <v>1</v>
      </c>
      <c r="AB16" s="6">
        <f>AA16/AA$11</f>
        <v>1</v>
      </c>
      <c r="AC16">
        <f t="shared" si="1"/>
        <v>1</v>
      </c>
      <c r="AD16" s="6">
        <f>AC16/AC$11</f>
        <v>1</v>
      </c>
      <c r="AE16">
        <f t="shared" si="2"/>
        <v>1</v>
      </c>
      <c r="AF16" s="6">
        <f>AE16/AE$11</f>
        <v>1</v>
      </c>
      <c r="AG16">
        <f t="shared" si="3"/>
        <v>1</v>
      </c>
      <c r="AH16" s="6">
        <f>AG16/AG$11</f>
        <v>1</v>
      </c>
    </row>
    <row r="17" spans="12:34" x14ac:dyDescent="0.25"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 t="s">
        <v>34</v>
      </c>
      <c r="AA17">
        <f>COUNTIF(O:O,"--")</f>
        <v>0</v>
      </c>
      <c r="AB17" s="6">
        <f>AA17/AA$11</f>
        <v>0</v>
      </c>
      <c r="AC17">
        <f>COUNTIF(R:R,"--")</f>
        <v>0</v>
      </c>
      <c r="AD17" s="6">
        <f>AC17/AC$11</f>
        <v>0</v>
      </c>
      <c r="AE17">
        <f>COUNTIF(U:U,"--")</f>
        <v>0</v>
      </c>
      <c r="AF17" s="6">
        <f>AE17/AE$11</f>
        <v>0</v>
      </c>
      <c r="AG17">
        <f>COUNTIF(X:X,"--")</f>
        <v>0</v>
      </c>
      <c r="AH17" s="6">
        <f>AG17/AG$11</f>
        <v>0</v>
      </c>
    </row>
    <row r="18" spans="12:34" x14ac:dyDescent="0.25"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 t="s">
        <v>33</v>
      </c>
      <c r="AA18">
        <f>COUNTA(N:N)-1</f>
        <v>1</v>
      </c>
      <c r="AB18" s="6">
        <f>AA18/AA$11</f>
        <v>1</v>
      </c>
      <c r="AC18">
        <f>COUNTA(O:O)-1</f>
        <v>1</v>
      </c>
      <c r="AD18" s="6">
        <f>AC18/AC$11</f>
        <v>1</v>
      </c>
      <c r="AE18">
        <f>COUNTA(P:P)-1</f>
        <v>1</v>
      </c>
      <c r="AF18" s="6">
        <f>AE18/AE$11</f>
        <v>1</v>
      </c>
      <c r="AG18">
        <f>COUNTA(Q:Q)-1</f>
        <v>1</v>
      </c>
      <c r="AH18" s="6">
        <f>AG18/AG$11</f>
        <v>1</v>
      </c>
    </row>
    <row r="19" spans="12:34" x14ac:dyDescent="0.25"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AD19">
        <f>COUNTIF(W:W,$Z8)-COUNTIFS(W:W,$Z8,V:V,"--")</f>
        <v>0</v>
      </c>
    </row>
    <row r="20" spans="12:34" x14ac:dyDescent="0.25"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2:34" x14ac:dyDescent="0.25"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2:34" x14ac:dyDescent="0.25"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2:34" x14ac:dyDescent="0.25"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2:34" x14ac:dyDescent="0.25"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2:34" x14ac:dyDescent="0.25"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t="s">
        <v>44</v>
      </c>
    </row>
    <row r="26" spans="12:34" x14ac:dyDescent="0.25"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t="str">
        <f>Z7&amp;": "&amp;AJ7&amp;" "&amp;AJ6&amp;" ("&amp;TEXT(AK7,"0.00%")&amp;"), "&amp;AL7&amp;" "&amp;AL6&amp;" ("&amp;TEXT(AM7,"0.00%")&amp;"), "&amp;AN7&amp;" "&amp;AN6&amp;" ("&amp;TEXT(AO7,"0.00%")&amp;")."</f>
        <v>RC: 0 Successes (0.00%), 0 Timeouts (0.00%), 0 Errors (0.00%).</v>
      </c>
    </row>
    <row r="27" spans="12:34" x14ac:dyDescent="0.25"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t="str">
        <f>Z8&amp;": "&amp;AJ8&amp;" "&amp;AJ6&amp;" ("&amp;TEXT(AK8,"0.00%")&amp;"), "&amp;AL8&amp;" "&amp;AL6&amp;" ("&amp;TEXT(AM8,"0.00%")&amp;"), "&amp;AN8&amp;" "&amp;AN6&amp;" ("&amp;TEXT(AO8,"0.00%")&amp;")."</f>
        <v>QE: 0 Successes (0.00%), 0 Timeouts (0.00%), 0 Errors (0.00%).</v>
      </c>
    </row>
    <row r="28" spans="12:34" x14ac:dyDescent="0.25"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2:34" x14ac:dyDescent="0.25"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t="s">
        <v>45</v>
      </c>
    </row>
    <row r="30" spans="12:34" x14ac:dyDescent="0.25"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t="str">
        <f>Z7&amp;": "&amp;AC7&amp;" ("&amp;TEXT(AD7,"0.00%")&amp;"), "&amp;AC14&amp;" actual ("&amp;TEXT(AD14,"0.00%")&amp;")"</f>
        <v>RC: 0 (0.00%), 0 actual (0.00%)</v>
      </c>
    </row>
    <row r="31" spans="12:34" x14ac:dyDescent="0.25"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t="str">
        <f>Z8&amp;": "&amp;AC8&amp;" ("&amp;TEXT(AD8,"0.00%")&amp;"), "&amp;AC15&amp;" actual ("&amp;TEXT(AD15,"0.00%")&amp;")"</f>
        <v>QE: 0 (0.00%), 0 actual (0.00%)</v>
      </c>
    </row>
    <row r="32" spans="12:34" x14ac:dyDescent="0.25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2:26" x14ac:dyDescent="0.25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t="s">
        <v>46</v>
      </c>
    </row>
    <row r="34" spans="12:26" x14ac:dyDescent="0.25"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t="str">
        <f>Z7&amp;": "&amp;AG7&amp;" ("&amp;TEXT(AH7,"0.00%")&amp;"), "&amp;AG14&amp;" actual ("&amp;TEXT(AH14,"0.00%")&amp;")"</f>
        <v>RC: 0 (0.00%), 0 actual (0.00%)</v>
      </c>
    </row>
    <row r="35" spans="12:26" x14ac:dyDescent="0.25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t="str">
        <f>Z8&amp;": "&amp;AG8&amp;" ("&amp;TEXT(AH8,"0.00%")&amp;"), "&amp;AG15&amp;" actual ("&amp;TEXT(AH15,"0.00%")&amp;")"</f>
        <v>QE: 0 (0.00%), 0 actual (0.00%)</v>
      </c>
    </row>
    <row r="36" spans="12:26" x14ac:dyDescent="0.25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2:26" x14ac:dyDescent="0.25"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2:26" x14ac:dyDescent="0.25"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2:26" x14ac:dyDescent="0.25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2:26" x14ac:dyDescent="0.25"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2:26" x14ac:dyDescent="0.25"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2:26" x14ac:dyDescent="0.25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2:26" x14ac:dyDescent="0.25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2:26" x14ac:dyDescent="0.25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2:26" x14ac:dyDescent="0.25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2:26" x14ac:dyDescent="0.25"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2:26" x14ac:dyDescent="0.25"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2:26" x14ac:dyDescent="0.25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2:25" x14ac:dyDescent="0.25"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2:25" x14ac:dyDescent="0.25"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2:25" x14ac:dyDescent="0.25"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2:25" x14ac:dyDescent="0.25"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2:25" x14ac:dyDescent="0.25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2:25" x14ac:dyDescent="0.25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2:25" x14ac:dyDescent="0.25"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2:25" x14ac:dyDescent="0.25"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2:25" x14ac:dyDescent="0.25"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2:25" x14ac:dyDescent="0.25"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2:25" x14ac:dyDescent="0.25"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2:25" x14ac:dyDescent="0.25"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2:25" x14ac:dyDescent="0.25"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2:25" x14ac:dyDescent="0.25"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2:25" x14ac:dyDescent="0.25"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2:25" x14ac:dyDescent="0.25"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2:25" x14ac:dyDescent="0.25"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2:25" x14ac:dyDescent="0.25"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2:25" x14ac:dyDescent="0.25"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2:25" x14ac:dyDescent="0.25"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70" spans="12:25" x14ac:dyDescent="0.25">
      <c r="N70" s="5"/>
    </row>
  </sheetData>
  <autoFilter ref="A1:K68" xr:uid="{68567C89-2050-46DB-ABA2-146424013801}"/>
  <mergeCells count="12"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  <mergeCell ref="AL6:AM6"/>
  </mergeCells>
  <conditionalFormatting sqref="A1:K68">
    <cfRule type="containsText" dxfId="84" priority="5" operator="containsText" text="ERROR">
      <formula>NOT(ISERROR(SEARCH("ERROR",A1)))</formula>
    </cfRule>
    <cfRule type="containsText" dxfId="83" priority="11" operator="containsText" text="TIME OUT">
      <formula>NOT(ISERROR(SEARCH("TIME OUT",A1)))</formula>
    </cfRule>
  </conditionalFormatting>
  <conditionalFormatting sqref="L2:L69 L71:L1048576">
    <cfRule type="cellIs" dxfId="82" priority="7" operator="equal">
      <formula>TRUE</formula>
    </cfRule>
  </conditionalFormatting>
  <conditionalFormatting sqref="L1:S1 X1">
    <cfRule type="containsText" dxfId="81" priority="6" operator="containsText" text="TIME OUT">
      <formula>NOT(ISERROR(SEARCH("TIME OUT",L1)))</formula>
    </cfRule>
  </conditionalFormatting>
  <conditionalFormatting sqref="Y1 L2:Y69 N70 L71:Y1048576">
    <cfRule type="cellIs" dxfId="80" priority="8" operator="equal">
      <formula>"QE"</formula>
    </cfRule>
    <cfRule type="cellIs" dxfId="79" priority="9" operator="equal">
      <formula>"RC"</formula>
    </cfRule>
  </conditionalFormatting>
  <conditionalFormatting sqref="Y1:AG1">
    <cfRule type="containsText" dxfId="78" priority="10" operator="containsText" text="TIME OUT">
      <formula>NOT(ISERROR(SEARCH("TIME OUT",Y1)))</formula>
    </cfRule>
  </conditionalFormatting>
  <conditionalFormatting sqref="Z7:Z11">
    <cfRule type="cellIs" dxfId="77" priority="3" operator="equal">
      <formula>"QE"</formula>
    </cfRule>
    <cfRule type="cellIs" dxfId="76" priority="4" operator="equal">
      <formula>"RC"</formula>
    </cfRule>
  </conditionalFormatting>
  <conditionalFormatting sqref="Z14:Z18">
    <cfRule type="cellIs" dxfId="75" priority="1" operator="equal">
      <formula>"QE"</formula>
    </cfRule>
    <cfRule type="cellIs" dxfId="74" priority="2" operator="equal">
      <formula>"RC"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1ACF-93AD-4887-8376-B0C95F58FB9E}">
  <dimension ref="A1:AQ70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3"/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 x14ac:dyDescent="0.25"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0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TIE</v>
      </c>
      <c r="O2" s="5" t="e">
        <f>IF(M2="--","--",TEXT(MIN(C2,H2)/MAX(C2,H2),"0.000%"))</f>
        <v>#DIV/0!</v>
      </c>
      <c r="P2" s="5">
        <f>IF(OR(ISNUMBER(SEARCH("ERROR", D2)), ISNUMBER(SEARCH("ERROR", I2)), ISNUMBER(SEARCH("TIME OUT", D2)), ISNUMBER(SEARCH("TIME OUT", I2))),"--",D2-I2)</f>
        <v>0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TIE</v>
      </c>
      <c r="R2" s="5" t="e">
        <f>IF(P2="--","--",TEXT(MIN(D2,I2)/MAX(D2,I2),"0.000%"))</f>
        <v>#DIV/0!</v>
      </c>
      <c r="S2" s="5">
        <f>IF(OR(ISNUMBER(SEARCH("ERROR", E2)), ISNUMBER(SEARCH("ERROR", J2)), ISNUMBER(SEARCH("TIME OUT", E2)), ISNUMBER(SEARCH("TIME OUT", J2))),"--",E2-J2)</f>
        <v>0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TIE</v>
      </c>
      <c r="U2" s="5" t="e">
        <f>IF(S2="--","--",TEXT(MIN(E2,J2)/MAX(E2,J2),"0.000%"))</f>
        <v>#DIV/0!</v>
      </c>
      <c r="V2" s="5">
        <f>IF(OR(ISNUMBER(SEARCH("ERROR", F2)), ISNUMBER(SEARCH("ERROR", K2)), ISNUMBER(SEARCH("TIME OUT", F2)), ISNUMBER(SEARCH("TIME OUT", K2))),"--",F2-K2)</f>
        <v>0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TIE</v>
      </c>
      <c r="X2" s="5" t="e">
        <f>IF(V2="--","--",TEXT(MIN(F2,K2)/MAX(F2,K2),"0.000%"))</f>
        <v>#DIV/0!</v>
      </c>
      <c r="Y2" s="5"/>
      <c r="Z2" t="e">
        <f>AVERAGE(C:C)</f>
        <v>#DIV/0!</v>
      </c>
      <c r="AA2" t="e">
        <f>AVERAGE(D:D)</f>
        <v>#DIV/0!</v>
      </c>
      <c r="AB2" t="e">
        <f>AVERAGE(E:E)</f>
        <v>#DIV/0!</v>
      </c>
      <c r="AC2" t="e">
        <f>AVERAGE(F:F)</f>
        <v>#DIV/0!</v>
      </c>
      <c r="AD2" t="e">
        <f>AVERAGE(H:H)</f>
        <v>#DIV/0!</v>
      </c>
      <c r="AE2" t="e">
        <f t="shared" ref="AE2:AG2" si="0">AVERAGE(I:I)</f>
        <v>#DIV/0!</v>
      </c>
      <c r="AF2" t="e">
        <f t="shared" si="0"/>
        <v>#DIV/0!</v>
      </c>
      <c r="AG2" t="e">
        <f t="shared" si="0"/>
        <v>#DIV/0!</v>
      </c>
      <c r="AH2">
        <f>AVERAGE(M2)</f>
        <v>0</v>
      </c>
      <c r="AI2">
        <f>AVERAGE(P2)</f>
        <v>0</v>
      </c>
      <c r="AJ2">
        <f>AVERAGE(S2)</f>
        <v>0</v>
      </c>
      <c r="AK2">
        <f>AVERAGE(V2)</f>
        <v>0</v>
      </c>
    </row>
    <row r="3" spans="1:43" x14ac:dyDescent="0.25"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43" x14ac:dyDescent="0.25"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43" x14ac:dyDescent="0.25"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43" x14ac:dyDescent="0.25"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A6" s="9" t="s">
        <v>26</v>
      </c>
      <c r="AB6" s="9"/>
      <c r="AC6" s="9" t="s">
        <v>27</v>
      </c>
      <c r="AD6" s="9"/>
      <c r="AE6" s="9" t="s">
        <v>28</v>
      </c>
      <c r="AF6" s="9"/>
      <c r="AG6" s="9" t="s">
        <v>29</v>
      </c>
      <c r="AH6" s="9"/>
      <c r="AJ6" s="9" t="s">
        <v>40</v>
      </c>
      <c r="AK6" s="9"/>
      <c r="AL6" s="9" t="s">
        <v>41</v>
      </c>
      <c r="AM6" s="9"/>
      <c r="AN6" s="9" t="s">
        <v>42</v>
      </c>
      <c r="AO6" s="9"/>
      <c r="AP6" s="9" t="s">
        <v>43</v>
      </c>
      <c r="AQ6" s="9"/>
    </row>
    <row r="7" spans="1:43" x14ac:dyDescent="0.25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 t="s">
        <v>30</v>
      </c>
      <c r="AA7">
        <f>COUNTIF(N:N,$Z7)</f>
        <v>0</v>
      </c>
      <c r="AB7" s="6">
        <f>AA7/AA$11</f>
        <v>0</v>
      </c>
      <c r="AC7">
        <f>COUNTIF(Q:Q,$Z7)</f>
        <v>0</v>
      </c>
      <c r="AD7" s="6">
        <f>AC7/AC$11</f>
        <v>0</v>
      </c>
      <c r="AE7">
        <f>COUNTIF(T:T,$Z7)</f>
        <v>0</v>
      </c>
      <c r="AF7" s="6">
        <f>AE7/AE$11</f>
        <v>0</v>
      </c>
      <c r="AG7">
        <f>COUNTIF(W:W,$Z7)</f>
        <v>0</v>
      </c>
      <c r="AH7" s="6">
        <f>AG7/AG$11</f>
        <v>0</v>
      </c>
      <c r="AJ7">
        <f>COUNTA(B2:B68)-COUNTIF(B2:B68,"*TIME OUT*")-COUNTIF(B2:B68,"*ERROR*")</f>
        <v>0</v>
      </c>
      <c r="AK7" s="6">
        <f>AJ7/67</f>
        <v>0</v>
      </c>
      <c r="AL7">
        <f>COUNTIF(B2:B68,"*TIME OUT*")</f>
        <v>0</v>
      </c>
      <c r="AM7" s="6">
        <f>AL7/67</f>
        <v>0</v>
      </c>
      <c r="AN7">
        <f>COUNTIF(B2:B68,"*ERROR*")</f>
        <v>0</v>
      </c>
      <c r="AO7" s="6">
        <f>AN7/67</f>
        <v>0</v>
      </c>
      <c r="AP7">
        <f>AJ7+AL7+AN7</f>
        <v>0</v>
      </c>
      <c r="AQ7" s="6">
        <f>AK7+AM7+AO7</f>
        <v>0</v>
      </c>
    </row>
    <row r="8" spans="1:43" x14ac:dyDescent="0.25"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 t="s">
        <v>31</v>
      </c>
      <c r="AA8">
        <f>COUNTIF(N:N,$Z8)</f>
        <v>0</v>
      </c>
      <c r="AB8" s="6">
        <f>AA8/AA$11</f>
        <v>0</v>
      </c>
      <c r="AC8">
        <f>COUNTIF(Q:Q,$Z8)</f>
        <v>0</v>
      </c>
      <c r="AD8" s="6">
        <f>AC8/AC$11</f>
        <v>0</v>
      </c>
      <c r="AE8">
        <f>COUNTIF(T:T,$Z8)</f>
        <v>0</v>
      </c>
      <c r="AF8" s="6">
        <f>AE8/AE$11</f>
        <v>0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0</v>
      </c>
      <c r="AK8" s="6">
        <f>AJ8/67</f>
        <v>0</v>
      </c>
      <c r="AL8">
        <f>COUNTIF(G2:G68,"*TIME OUT*")</f>
        <v>0</v>
      </c>
      <c r="AM8" s="6">
        <f>AL8/67</f>
        <v>0</v>
      </c>
      <c r="AN8">
        <f>COUNTIF(G2:G68,"*ERROR*")</f>
        <v>0</v>
      </c>
      <c r="AO8" s="6">
        <f>AN8/67</f>
        <v>0</v>
      </c>
      <c r="AP8">
        <f>AJ8+AL8+AN8</f>
        <v>0</v>
      </c>
      <c r="AQ8" s="6">
        <f>AK8+AM8+AO8</f>
        <v>0</v>
      </c>
    </row>
    <row r="9" spans="1:43" x14ac:dyDescent="0.25"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 t="s">
        <v>32</v>
      </c>
      <c r="AA9">
        <f>COUNTIF(N:N,$Z9)</f>
        <v>1</v>
      </c>
      <c r="AB9" s="6">
        <f>AA9/AA$11</f>
        <v>1</v>
      </c>
      <c r="AC9">
        <f>COUNTIF(Q:Q,$Z9)</f>
        <v>1</v>
      </c>
      <c r="AD9" s="6">
        <f>AC9/AC$11</f>
        <v>1</v>
      </c>
      <c r="AE9">
        <f>COUNTIF(T:T,$Z9)</f>
        <v>1</v>
      </c>
      <c r="AF9" s="6">
        <f>AE9/AE$11</f>
        <v>1</v>
      </c>
      <c r="AG9">
        <f>COUNTIF(W:W,$Z9)</f>
        <v>1</v>
      </c>
      <c r="AH9" s="6">
        <f>AG9/AG$11</f>
        <v>1</v>
      </c>
    </row>
    <row r="10" spans="1:43" x14ac:dyDescent="0.25"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 t="s">
        <v>34</v>
      </c>
      <c r="AA10">
        <f>COUNTIF(N:N,$Z10)</f>
        <v>0</v>
      </c>
      <c r="AB10" s="6">
        <f>AA10/AA$11</f>
        <v>0</v>
      </c>
      <c r="AC10">
        <f>COUNTIF(Q:Q,$Z10)</f>
        <v>0</v>
      </c>
      <c r="AD10" s="6">
        <f>AC10/AC$11</f>
        <v>0</v>
      </c>
      <c r="AE10">
        <f>COUNTIF(T:T,$Z10)</f>
        <v>0</v>
      </c>
      <c r="AF10" s="6">
        <f>AE10/AE$11</f>
        <v>0</v>
      </c>
      <c r="AG10">
        <f>COUNTIF(W:W,$Z10)</f>
        <v>0</v>
      </c>
      <c r="AH10" s="6">
        <f>AG10/AG$11</f>
        <v>0</v>
      </c>
    </row>
    <row r="11" spans="1:43" x14ac:dyDescent="0.25"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 t="s">
        <v>33</v>
      </c>
      <c r="AA11">
        <f>COUNTA(N:N)-1</f>
        <v>1</v>
      </c>
      <c r="AB11" s="6">
        <f>AA11/AA$11</f>
        <v>1</v>
      </c>
      <c r="AC11">
        <f>COUNTA(O:O)-1</f>
        <v>1</v>
      </c>
      <c r="AD11" s="6">
        <f>AC11/AC$11</f>
        <v>1</v>
      </c>
      <c r="AE11">
        <f>COUNTA(P:P)-1</f>
        <v>1</v>
      </c>
      <c r="AF11" s="6">
        <f>AE11/AE$11</f>
        <v>1</v>
      </c>
      <c r="AG11">
        <f>COUNTA(Q:Q)-1</f>
        <v>1</v>
      </c>
      <c r="AH11" s="6">
        <f>AG11/AG$11</f>
        <v>1</v>
      </c>
    </row>
    <row r="12" spans="1:43" x14ac:dyDescent="0.25"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43" x14ac:dyDescent="0.25"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AA13" s="9" t="s">
        <v>26</v>
      </c>
      <c r="AB13" s="9"/>
      <c r="AC13" s="9" t="s">
        <v>27</v>
      </c>
      <c r="AD13" s="9"/>
      <c r="AE13" s="9" t="s">
        <v>28</v>
      </c>
      <c r="AF13" s="9"/>
      <c r="AG13" s="9" t="s">
        <v>29</v>
      </c>
      <c r="AH13" s="9"/>
    </row>
    <row r="14" spans="1:43" x14ac:dyDescent="0.25"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 t="s">
        <v>30</v>
      </c>
      <c r="AA14">
        <f>COUNTIF(N:N,$Z7)-COUNTIFS(N:N,$Z7,O:O,"--")</f>
        <v>0</v>
      </c>
      <c r="AB14" s="6">
        <f>AA14/AA$11</f>
        <v>0</v>
      </c>
      <c r="AC14">
        <f>COUNTIF(Q:Q,$Z7)-COUNTIFS(Q:Q,$Z7,R:R,"--")</f>
        <v>0</v>
      </c>
      <c r="AD14" s="6">
        <f>AC14/AC$11</f>
        <v>0</v>
      </c>
      <c r="AE14">
        <f>COUNTIF(T:T,$Z7)-COUNTIFS(T:T,$Z7,U:U,"--")</f>
        <v>0</v>
      </c>
      <c r="AF14" s="6">
        <f>AE14/AE$11</f>
        <v>0</v>
      </c>
      <c r="AG14">
        <f>COUNTIF(W:W,$Z7)-COUNTIFS(W:W,$Z7,X:X,"--")</f>
        <v>0</v>
      </c>
      <c r="AH14" s="6">
        <f>AG14/AG$11</f>
        <v>0</v>
      </c>
    </row>
    <row r="15" spans="1:43" x14ac:dyDescent="0.25"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 t="s">
        <v>31</v>
      </c>
      <c r="AA15">
        <f>COUNTIF(N:N,$Z8)-COUNTIFS(N:N,$Z8,O:O,"--")</f>
        <v>0</v>
      </c>
      <c r="AB15" s="6">
        <f>AA15/AA$11</f>
        <v>0</v>
      </c>
      <c r="AC15">
        <f t="shared" ref="AC15:AC16" si="1">COUNTIF(Q:Q,$Z8)-COUNTIFS(Q:Q,$Z8,R:R,"--")</f>
        <v>0</v>
      </c>
      <c r="AD15" s="6">
        <f>AC15/AC$11</f>
        <v>0</v>
      </c>
      <c r="AE15">
        <f t="shared" ref="AE15:AE16" si="2">COUNTIF(T:T,$Z8)-COUNTIFS(T:T,$Z8,U:U,"--")</f>
        <v>0</v>
      </c>
      <c r="AF15" s="6">
        <f>AE15/AE$11</f>
        <v>0</v>
      </c>
      <c r="AG15">
        <f t="shared" ref="AG15:AG16" si="3">COUNTIF(W:W,$Z8)-COUNTIFS(W:W,$Z8,X:X,"--")</f>
        <v>0</v>
      </c>
      <c r="AH15" s="6">
        <f>AG15/AG$11</f>
        <v>0</v>
      </c>
    </row>
    <row r="16" spans="1:43" x14ac:dyDescent="0.25"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 t="s">
        <v>32</v>
      </c>
      <c r="AA16">
        <f t="shared" ref="AA16" si="4">COUNTIF(N:N,$Z9)-COUNTIFS(N:N,$Z9,O:O,"--")</f>
        <v>1</v>
      </c>
      <c r="AB16" s="6">
        <f>AA16/AA$11</f>
        <v>1</v>
      </c>
      <c r="AC16">
        <f t="shared" si="1"/>
        <v>1</v>
      </c>
      <c r="AD16" s="6">
        <f>AC16/AC$11</f>
        <v>1</v>
      </c>
      <c r="AE16">
        <f t="shared" si="2"/>
        <v>1</v>
      </c>
      <c r="AF16" s="6">
        <f>AE16/AE$11</f>
        <v>1</v>
      </c>
      <c r="AG16">
        <f t="shared" si="3"/>
        <v>1</v>
      </c>
      <c r="AH16" s="6">
        <f>AG16/AG$11</f>
        <v>1</v>
      </c>
    </row>
    <row r="17" spans="12:34" x14ac:dyDescent="0.25"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 t="s">
        <v>34</v>
      </c>
      <c r="AA17">
        <f>COUNTIF(O:O,"--")</f>
        <v>0</v>
      </c>
      <c r="AB17" s="6">
        <f>AA17/AA$11</f>
        <v>0</v>
      </c>
      <c r="AC17">
        <f>COUNTIF(R:R,"--")</f>
        <v>0</v>
      </c>
      <c r="AD17" s="6">
        <f>AC17/AC$11</f>
        <v>0</v>
      </c>
      <c r="AE17">
        <f>COUNTIF(U:U,"--")</f>
        <v>0</v>
      </c>
      <c r="AF17" s="6">
        <f>AE17/AE$11</f>
        <v>0</v>
      </c>
      <c r="AG17">
        <f>COUNTIF(X:X,"--")</f>
        <v>0</v>
      </c>
      <c r="AH17" s="6">
        <f>AG17/AG$11</f>
        <v>0</v>
      </c>
    </row>
    <row r="18" spans="12:34" x14ac:dyDescent="0.25"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 t="s">
        <v>33</v>
      </c>
      <c r="AA18">
        <f>COUNTA(N:N)-1</f>
        <v>1</v>
      </c>
      <c r="AB18" s="6">
        <f>AA18/AA$11</f>
        <v>1</v>
      </c>
      <c r="AC18">
        <f>COUNTA(O:O)-1</f>
        <v>1</v>
      </c>
      <c r="AD18" s="6">
        <f>AC18/AC$11</f>
        <v>1</v>
      </c>
      <c r="AE18">
        <f>COUNTA(P:P)-1</f>
        <v>1</v>
      </c>
      <c r="AF18" s="6">
        <f>AE18/AE$11</f>
        <v>1</v>
      </c>
      <c r="AG18">
        <f>COUNTA(Q:Q)-1</f>
        <v>1</v>
      </c>
      <c r="AH18" s="6">
        <f>AG18/AG$11</f>
        <v>1</v>
      </c>
    </row>
    <row r="19" spans="12:34" x14ac:dyDescent="0.25"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AD19">
        <f>COUNTIF(W:W,$Z8)-COUNTIFS(W:W,$Z8,V:V,"--")</f>
        <v>0</v>
      </c>
    </row>
    <row r="20" spans="12:34" x14ac:dyDescent="0.25"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2:34" x14ac:dyDescent="0.25"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2:34" x14ac:dyDescent="0.25"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2:34" x14ac:dyDescent="0.25"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2:34" x14ac:dyDescent="0.25"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2:34" x14ac:dyDescent="0.25"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t="s">
        <v>44</v>
      </c>
    </row>
    <row r="26" spans="12:34" x14ac:dyDescent="0.25"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t="str">
        <f>Z7&amp;": "&amp;AJ7&amp;" "&amp;AJ6&amp;" ("&amp;TEXT(AK7,"0.00%")&amp;"), "&amp;AL7&amp;" "&amp;AL6&amp;" ("&amp;TEXT(AM7,"0.00%")&amp;"), "&amp;AN7&amp;" "&amp;AN6&amp;" ("&amp;TEXT(AO7,"0.00%")&amp;")."</f>
        <v>RC: 0 Successes (0.00%), 0 Timeouts (0.00%), 0 Errors (0.00%).</v>
      </c>
    </row>
    <row r="27" spans="12:34" x14ac:dyDescent="0.25"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t="str">
        <f>Z8&amp;": "&amp;AJ8&amp;" "&amp;AJ6&amp;" ("&amp;TEXT(AK8,"0.00%")&amp;"), "&amp;AL8&amp;" "&amp;AL6&amp;" ("&amp;TEXT(AM8,"0.00%")&amp;"), "&amp;AN8&amp;" "&amp;AN6&amp;" ("&amp;TEXT(AO8,"0.00%")&amp;")."</f>
        <v>QE: 0 Successes (0.00%), 0 Timeouts (0.00%), 0 Errors (0.00%).</v>
      </c>
    </row>
    <row r="28" spans="12:34" x14ac:dyDescent="0.25"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2:34" x14ac:dyDescent="0.25"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t="s">
        <v>45</v>
      </c>
    </row>
    <row r="30" spans="12:34" x14ac:dyDescent="0.25"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t="str">
        <f>Z7&amp;": "&amp;AC7&amp;" ("&amp;TEXT(AD7,"0.00%")&amp;"), "&amp;AC14&amp;" actual ("&amp;TEXT(AD14,"0.00%")&amp;")"</f>
        <v>RC: 0 (0.00%), 0 actual (0.00%)</v>
      </c>
    </row>
    <row r="31" spans="12:34" x14ac:dyDescent="0.25"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t="str">
        <f>Z8&amp;": "&amp;AC8&amp;" ("&amp;TEXT(AD8,"0.00%")&amp;"), "&amp;AC15&amp;" actual ("&amp;TEXT(AD15,"0.00%")&amp;")"</f>
        <v>QE: 0 (0.00%), 0 actual (0.00%)</v>
      </c>
    </row>
    <row r="32" spans="12:34" x14ac:dyDescent="0.25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2:26" x14ac:dyDescent="0.25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t="s">
        <v>46</v>
      </c>
    </row>
    <row r="34" spans="12:26" x14ac:dyDescent="0.25"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t="str">
        <f>Z7&amp;": "&amp;AG7&amp;" ("&amp;TEXT(AH7,"0.00%")&amp;"), "&amp;AG14&amp;" actual ("&amp;TEXT(AH14,"0.00%")&amp;")"</f>
        <v>RC: 0 (0.00%), 0 actual (0.00%)</v>
      </c>
    </row>
    <row r="35" spans="12:26" x14ac:dyDescent="0.25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t="str">
        <f>Z8&amp;": "&amp;AG8&amp;" ("&amp;TEXT(AH8,"0.00%")&amp;"), "&amp;AG15&amp;" actual ("&amp;TEXT(AH15,"0.00%")&amp;")"</f>
        <v>QE: 0 (0.00%), 0 actual (0.00%)</v>
      </c>
    </row>
    <row r="36" spans="12:26" x14ac:dyDescent="0.25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2:26" x14ac:dyDescent="0.25"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2:26" x14ac:dyDescent="0.25"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2:26" x14ac:dyDescent="0.25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2:26" x14ac:dyDescent="0.25"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2:26" x14ac:dyDescent="0.25"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2:26" x14ac:dyDescent="0.25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2:26" x14ac:dyDescent="0.25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2:26" x14ac:dyDescent="0.25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2:26" x14ac:dyDescent="0.25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2:26" x14ac:dyDescent="0.25"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2:26" x14ac:dyDescent="0.25"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2:26" x14ac:dyDescent="0.25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2:25" x14ac:dyDescent="0.25"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2:25" x14ac:dyDescent="0.25"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2:25" x14ac:dyDescent="0.25"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2:25" x14ac:dyDescent="0.25"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2:25" x14ac:dyDescent="0.25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2:25" x14ac:dyDescent="0.25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2:25" x14ac:dyDescent="0.25"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2:25" x14ac:dyDescent="0.25"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2:25" x14ac:dyDescent="0.25"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2:25" x14ac:dyDescent="0.25"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2:25" x14ac:dyDescent="0.25"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2:25" x14ac:dyDescent="0.25"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2:25" x14ac:dyDescent="0.25"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2:25" x14ac:dyDescent="0.25"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2:25" x14ac:dyDescent="0.25"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2:25" x14ac:dyDescent="0.25"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2:25" x14ac:dyDescent="0.25"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2:25" x14ac:dyDescent="0.25"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2:25" x14ac:dyDescent="0.25"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2:25" x14ac:dyDescent="0.25"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70" spans="12:25" x14ac:dyDescent="0.25">
      <c r="N70" s="5"/>
    </row>
  </sheetData>
  <autoFilter ref="A1:K68" xr:uid="{68567C89-2050-46DB-ABA2-146424013801}"/>
  <mergeCells count="12"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  <mergeCell ref="AL6:AM6"/>
  </mergeCells>
  <conditionalFormatting sqref="A1:K68">
    <cfRule type="containsText" dxfId="73" priority="5" operator="containsText" text="ERROR">
      <formula>NOT(ISERROR(SEARCH("ERROR",A1)))</formula>
    </cfRule>
    <cfRule type="containsText" dxfId="72" priority="11" operator="containsText" text="TIME OUT">
      <formula>NOT(ISERROR(SEARCH("TIME OUT",A1)))</formula>
    </cfRule>
  </conditionalFormatting>
  <conditionalFormatting sqref="L2:L69 L71:L1048576">
    <cfRule type="cellIs" dxfId="71" priority="7" operator="equal">
      <formula>TRUE</formula>
    </cfRule>
  </conditionalFormatting>
  <conditionalFormatting sqref="L1:S1 X1">
    <cfRule type="containsText" dxfId="70" priority="6" operator="containsText" text="TIME OUT">
      <formula>NOT(ISERROR(SEARCH("TIME OUT",L1)))</formula>
    </cfRule>
  </conditionalFormatting>
  <conditionalFormatting sqref="Y1 L2:Y69 N70 L71:Y1048576">
    <cfRule type="cellIs" dxfId="69" priority="8" operator="equal">
      <formula>"QE"</formula>
    </cfRule>
    <cfRule type="cellIs" dxfId="68" priority="9" operator="equal">
      <formula>"RC"</formula>
    </cfRule>
  </conditionalFormatting>
  <conditionalFormatting sqref="Y1:AG1">
    <cfRule type="containsText" dxfId="67" priority="10" operator="containsText" text="TIME OUT">
      <formula>NOT(ISERROR(SEARCH("TIME OUT",Y1)))</formula>
    </cfRule>
  </conditionalFormatting>
  <conditionalFormatting sqref="Z7:Z11">
    <cfRule type="cellIs" dxfId="66" priority="3" operator="equal">
      <formula>"QE"</formula>
    </cfRule>
    <cfRule type="cellIs" dxfId="65" priority="4" operator="equal">
      <formula>"RC"</formula>
    </cfRule>
  </conditionalFormatting>
  <conditionalFormatting sqref="Z14:Z18">
    <cfRule type="cellIs" dxfId="64" priority="1" operator="equal">
      <formula>"QE"</formula>
    </cfRule>
    <cfRule type="cellIs" dxfId="63" priority="2" operator="equal">
      <formula>"RC"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7B1A-E9F7-447C-B375-5B13F86E01CF}">
  <dimension ref="A1:AQ70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3"/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 x14ac:dyDescent="0.25"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0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TIE</v>
      </c>
      <c r="O2" s="5" t="e">
        <f>IF(M2="--","--",TEXT(MIN(C2,H2)/MAX(C2,H2),"0.000%"))</f>
        <v>#DIV/0!</v>
      </c>
      <c r="P2" s="5">
        <f>IF(OR(ISNUMBER(SEARCH("ERROR", D2)), ISNUMBER(SEARCH("ERROR", I2)), ISNUMBER(SEARCH("TIME OUT", D2)), ISNUMBER(SEARCH("TIME OUT", I2))),"--",D2-I2)</f>
        <v>0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TIE</v>
      </c>
      <c r="R2" s="5" t="e">
        <f>IF(P2="--","--",TEXT(MIN(D2,I2)/MAX(D2,I2),"0.000%"))</f>
        <v>#DIV/0!</v>
      </c>
      <c r="S2" s="5">
        <f>IF(OR(ISNUMBER(SEARCH("ERROR", E2)), ISNUMBER(SEARCH("ERROR", J2)), ISNUMBER(SEARCH("TIME OUT", E2)), ISNUMBER(SEARCH("TIME OUT", J2))),"--",E2-J2)</f>
        <v>0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TIE</v>
      </c>
      <c r="U2" s="5" t="e">
        <f>IF(S2="--","--",TEXT(MIN(E2,J2)/MAX(E2,J2),"0.000%"))</f>
        <v>#DIV/0!</v>
      </c>
      <c r="V2" s="5">
        <f>IF(OR(ISNUMBER(SEARCH("ERROR", F2)), ISNUMBER(SEARCH("ERROR", K2)), ISNUMBER(SEARCH("TIME OUT", F2)), ISNUMBER(SEARCH("TIME OUT", K2))),"--",F2-K2)</f>
        <v>0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TIE</v>
      </c>
      <c r="X2" s="5" t="e">
        <f>IF(V2="--","--",TEXT(MIN(F2,K2)/MAX(F2,K2),"0.000%"))</f>
        <v>#DIV/0!</v>
      </c>
      <c r="Y2" s="5"/>
      <c r="Z2" t="e">
        <f>AVERAGE(C:C)</f>
        <v>#DIV/0!</v>
      </c>
      <c r="AA2" t="e">
        <f>AVERAGE(D:D)</f>
        <v>#DIV/0!</v>
      </c>
      <c r="AB2" t="e">
        <f>AVERAGE(E:E)</f>
        <v>#DIV/0!</v>
      </c>
      <c r="AC2" t="e">
        <f>AVERAGE(F:F)</f>
        <v>#DIV/0!</v>
      </c>
      <c r="AD2" t="e">
        <f>AVERAGE(H:H)</f>
        <v>#DIV/0!</v>
      </c>
      <c r="AE2" t="e">
        <f t="shared" ref="AE2:AG2" si="0">AVERAGE(I:I)</f>
        <v>#DIV/0!</v>
      </c>
      <c r="AF2" t="e">
        <f t="shared" si="0"/>
        <v>#DIV/0!</v>
      </c>
      <c r="AG2" t="e">
        <f t="shared" si="0"/>
        <v>#DIV/0!</v>
      </c>
      <c r="AH2">
        <f>AVERAGE(M2)</f>
        <v>0</v>
      </c>
      <c r="AI2">
        <f>AVERAGE(P2)</f>
        <v>0</v>
      </c>
      <c r="AJ2">
        <f>AVERAGE(S2)</f>
        <v>0</v>
      </c>
      <c r="AK2">
        <f>AVERAGE(V2)</f>
        <v>0</v>
      </c>
    </row>
    <row r="3" spans="1:43" x14ac:dyDescent="0.25"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43" x14ac:dyDescent="0.25"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43" x14ac:dyDescent="0.25"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43" x14ac:dyDescent="0.25"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A6" s="9" t="s">
        <v>26</v>
      </c>
      <c r="AB6" s="9"/>
      <c r="AC6" s="9" t="s">
        <v>27</v>
      </c>
      <c r="AD6" s="9"/>
      <c r="AE6" s="9" t="s">
        <v>28</v>
      </c>
      <c r="AF6" s="9"/>
      <c r="AG6" s="9" t="s">
        <v>29</v>
      </c>
      <c r="AH6" s="9"/>
      <c r="AJ6" s="9" t="s">
        <v>40</v>
      </c>
      <c r="AK6" s="9"/>
      <c r="AL6" s="9" t="s">
        <v>41</v>
      </c>
      <c r="AM6" s="9"/>
      <c r="AN6" s="9" t="s">
        <v>42</v>
      </c>
      <c r="AO6" s="9"/>
      <c r="AP6" s="9" t="s">
        <v>43</v>
      </c>
      <c r="AQ6" s="9"/>
    </row>
    <row r="7" spans="1:43" x14ac:dyDescent="0.25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 t="s">
        <v>30</v>
      </c>
      <c r="AA7">
        <f>COUNTIF(N:N,$Z7)</f>
        <v>0</v>
      </c>
      <c r="AB7" s="6">
        <f>AA7/AA$11</f>
        <v>0</v>
      </c>
      <c r="AC7">
        <f>COUNTIF(Q:Q,$Z7)</f>
        <v>0</v>
      </c>
      <c r="AD7" s="6">
        <f>AC7/AC$11</f>
        <v>0</v>
      </c>
      <c r="AE7">
        <f>COUNTIF(T:T,$Z7)</f>
        <v>0</v>
      </c>
      <c r="AF7" s="6">
        <f>AE7/AE$11</f>
        <v>0</v>
      </c>
      <c r="AG7">
        <f>COUNTIF(W:W,$Z7)</f>
        <v>0</v>
      </c>
      <c r="AH7" s="6">
        <f>AG7/AG$11</f>
        <v>0</v>
      </c>
      <c r="AJ7">
        <f>COUNTA(B2:B68)-COUNTIF(B2:B68,"*TIME OUT*")-COUNTIF(B2:B68,"*ERROR*")</f>
        <v>0</v>
      </c>
      <c r="AK7" s="6">
        <f>AJ7/67</f>
        <v>0</v>
      </c>
      <c r="AL7">
        <f>COUNTIF(B2:B68,"*TIME OUT*")</f>
        <v>0</v>
      </c>
      <c r="AM7" s="6">
        <f>AL7/67</f>
        <v>0</v>
      </c>
      <c r="AN7">
        <f>COUNTIF(B2:B68,"*ERROR*")</f>
        <v>0</v>
      </c>
      <c r="AO7" s="6">
        <f>AN7/67</f>
        <v>0</v>
      </c>
      <c r="AP7">
        <f>AJ7+AL7+AN7</f>
        <v>0</v>
      </c>
      <c r="AQ7" s="6">
        <f>AK7+AM7+AO7</f>
        <v>0</v>
      </c>
    </row>
    <row r="8" spans="1:43" x14ac:dyDescent="0.25"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 t="s">
        <v>31</v>
      </c>
      <c r="AA8">
        <f>COUNTIF(N:N,$Z8)</f>
        <v>0</v>
      </c>
      <c r="AB8" s="6">
        <f>AA8/AA$11</f>
        <v>0</v>
      </c>
      <c r="AC8">
        <f>COUNTIF(Q:Q,$Z8)</f>
        <v>0</v>
      </c>
      <c r="AD8" s="6">
        <f>AC8/AC$11</f>
        <v>0</v>
      </c>
      <c r="AE8">
        <f>COUNTIF(T:T,$Z8)</f>
        <v>0</v>
      </c>
      <c r="AF8" s="6">
        <f>AE8/AE$11</f>
        <v>0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0</v>
      </c>
      <c r="AK8" s="6">
        <f>AJ8/67</f>
        <v>0</v>
      </c>
      <c r="AL8">
        <f>COUNTIF(G2:G68,"*TIME OUT*")</f>
        <v>0</v>
      </c>
      <c r="AM8" s="6">
        <f>AL8/67</f>
        <v>0</v>
      </c>
      <c r="AN8">
        <f>COUNTIF(G2:G68,"*ERROR*")</f>
        <v>0</v>
      </c>
      <c r="AO8" s="6">
        <f>AN8/67</f>
        <v>0</v>
      </c>
      <c r="AP8">
        <f>AJ8+AL8+AN8</f>
        <v>0</v>
      </c>
      <c r="AQ8" s="6">
        <f>AK8+AM8+AO8</f>
        <v>0</v>
      </c>
    </row>
    <row r="9" spans="1:43" x14ac:dyDescent="0.25"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 t="s">
        <v>32</v>
      </c>
      <c r="AA9">
        <f>COUNTIF(N:N,$Z9)</f>
        <v>1</v>
      </c>
      <c r="AB9" s="6">
        <f>AA9/AA$11</f>
        <v>1</v>
      </c>
      <c r="AC9">
        <f>COUNTIF(Q:Q,$Z9)</f>
        <v>1</v>
      </c>
      <c r="AD9" s="6">
        <f>AC9/AC$11</f>
        <v>1</v>
      </c>
      <c r="AE9">
        <f>COUNTIF(T:T,$Z9)</f>
        <v>1</v>
      </c>
      <c r="AF9" s="6">
        <f>AE9/AE$11</f>
        <v>1</v>
      </c>
      <c r="AG9">
        <f>COUNTIF(W:W,$Z9)</f>
        <v>1</v>
      </c>
      <c r="AH9" s="6">
        <f>AG9/AG$11</f>
        <v>1</v>
      </c>
    </row>
    <row r="10" spans="1:43" x14ac:dyDescent="0.25"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 t="s">
        <v>34</v>
      </c>
      <c r="AA10">
        <f>COUNTIF(N:N,$Z10)</f>
        <v>0</v>
      </c>
      <c r="AB10" s="6">
        <f>AA10/AA$11</f>
        <v>0</v>
      </c>
      <c r="AC10">
        <f>COUNTIF(Q:Q,$Z10)</f>
        <v>0</v>
      </c>
      <c r="AD10" s="6">
        <f>AC10/AC$11</f>
        <v>0</v>
      </c>
      <c r="AE10">
        <f>COUNTIF(T:T,$Z10)</f>
        <v>0</v>
      </c>
      <c r="AF10" s="6">
        <f>AE10/AE$11</f>
        <v>0</v>
      </c>
      <c r="AG10">
        <f>COUNTIF(W:W,$Z10)</f>
        <v>0</v>
      </c>
      <c r="AH10" s="6">
        <f>AG10/AG$11</f>
        <v>0</v>
      </c>
    </row>
    <row r="11" spans="1:43" x14ac:dyDescent="0.25"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 t="s">
        <v>33</v>
      </c>
      <c r="AA11">
        <f>COUNTA(N:N)-1</f>
        <v>1</v>
      </c>
      <c r="AB11" s="6">
        <f>AA11/AA$11</f>
        <v>1</v>
      </c>
      <c r="AC11">
        <f>COUNTA(O:O)-1</f>
        <v>1</v>
      </c>
      <c r="AD11" s="6">
        <f>AC11/AC$11</f>
        <v>1</v>
      </c>
      <c r="AE11">
        <f>COUNTA(P:P)-1</f>
        <v>1</v>
      </c>
      <c r="AF11" s="6">
        <f>AE11/AE$11</f>
        <v>1</v>
      </c>
      <c r="AG11">
        <f>COUNTA(Q:Q)-1</f>
        <v>1</v>
      </c>
      <c r="AH11" s="6">
        <f>AG11/AG$11</f>
        <v>1</v>
      </c>
    </row>
    <row r="12" spans="1:43" x14ac:dyDescent="0.25"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43" x14ac:dyDescent="0.25"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AA13" s="9" t="s">
        <v>26</v>
      </c>
      <c r="AB13" s="9"/>
      <c r="AC13" s="9" t="s">
        <v>27</v>
      </c>
      <c r="AD13" s="9"/>
      <c r="AE13" s="9" t="s">
        <v>28</v>
      </c>
      <c r="AF13" s="9"/>
      <c r="AG13" s="9" t="s">
        <v>29</v>
      </c>
      <c r="AH13" s="9"/>
    </row>
    <row r="14" spans="1:43" x14ac:dyDescent="0.25"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 t="s">
        <v>30</v>
      </c>
      <c r="AA14">
        <f>COUNTIF(N:N,$Z7)-COUNTIFS(N:N,$Z7,O:O,"--")</f>
        <v>0</v>
      </c>
      <c r="AB14" s="6">
        <f>AA14/AA$11</f>
        <v>0</v>
      </c>
      <c r="AC14">
        <f>COUNTIF(Q:Q,$Z7)-COUNTIFS(Q:Q,$Z7,R:R,"--")</f>
        <v>0</v>
      </c>
      <c r="AD14" s="6">
        <f>AC14/AC$11</f>
        <v>0</v>
      </c>
      <c r="AE14">
        <f>COUNTIF(T:T,$Z7)-COUNTIFS(T:T,$Z7,U:U,"--")</f>
        <v>0</v>
      </c>
      <c r="AF14" s="6">
        <f>AE14/AE$11</f>
        <v>0</v>
      </c>
      <c r="AG14">
        <f>COUNTIF(W:W,$Z7)-COUNTIFS(W:W,$Z7,X:X,"--")</f>
        <v>0</v>
      </c>
      <c r="AH14" s="6">
        <f>AG14/AG$11</f>
        <v>0</v>
      </c>
    </row>
    <row r="15" spans="1:43" x14ac:dyDescent="0.25"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 t="s">
        <v>31</v>
      </c>
      <c r="AA15">
        <f>COUNTIF(N:N,$Z8)-COUNTIFS(N:N,$Z8,O:O,"--")</f>
        <v>0</v>
      </c>
      <c r="AB15" s="6">
        <f>AA15/AA$11</f>
        <v>0</v>
      </c>
      <c r="AC15">
        <f t="shared" ref="AC15:AC16" si="1">COUNTIF(Q:Q,$Z8)-COUNTIFS(Q:Q,$Z8,R:R,"--")</f>
        <v>0</v>
      </c>
      <c r="AD15" s="6">
        <f>AC15/AC$11</f>
        <v>0</v>
      </c>
      <c r="AE15">
        <f t="shared" ref="AE15:AE16" si="2">COUNTIF(T:T,$Z8)-COUNTIFS(T:T,$Z8,U:U,"--")</f>
        <v>0</v>
      </c>
      <c r="AF15" s="6">
        <f>AE15/AE$11</f>
        <v>0</v>
      </c>
      <c r="AG15">
        <f t="shared" ref="AG15:AG16" si="3">COUNTIF(W:W,$Z8)-COUNTIFS(W:W,$Z8,X:X,"--")</f>
        <v>0</v>
      </c>
      <c r="AH15" s="6">
        <f>AG15/AG$11</f>
        <v>0</v>
      </c>
    </row>
    <row r="16" spans="1:43" x14ac:dyDescent="0.25"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 t="s">
        <v>32</v>
      </c>
      <c r="AA16">
        <f t="shared" ref="AA16" si="4">COUNTIF(N:N,$Z9)-COUNTIFS(N:N,$Z9,O:O,"--")</f>
        <v>1</v>
      </c>
      <c r="AB16" s="6">
        <f>AA16/AA$11</f>
        <v>1</v>
      </c>
      <c r="AC16">
        <f t="shared" si="1"/>
        <v>1</v>
      </c>
      <c r="AD16" s="6">
        <f>AC16/AC$11</f>
        <v>1</v>
      </c>
      <c r="AE16">
        <f t="shared" si="2"/>
        <v>1</v>
      </c>
      <c r="AF16" s="6">
        <f>AE16/AE$11</f>
        <v>1</v>
      </c>
      <c r="AG16">
        <f t="shared" si="3"/>
        <v>1</v>
      </c>
      <c r="AH16" s="6">
        <f>AG16/AG$11</f>
        <v>1</v>
      </c>
    </row>
    <row r="17" spans="12:34" x14ac:dyDescent="0.25"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 t="s">
        <v>34</v>
      </c>
      <c r="AA17">
        <f>COUNTIF(O:O,"--")</f>
        <v>0</v>
      </c>
      <c r="AB17" s="6">
        <f>AA17/AA$11</f>
        <v>0</v>
      </c>
      <c r="AC17">
        <f>COUNTIF(R:R,"--")</f>
        <v>0</v>
      </c>
      <c r="AD17" s="6">
        <f>AC17/AC$11</f>
        <v>0</v>
      </c>
      <c r="AE17">
        <f>COUNTIF(U:U,"--")</f>
        <v>0</v>
      </c>
      <c r="AF17" s="6">
        <f>AE17/AE$11</f>
        <v>0</v>
      </c>
      <c r="AG17">
        <f>COUNTIF(X:X,"--")</f>
        <v>0</v>
      </c>
      <c r="AH17" s="6">
        <f>AG17/AG$11</f>
        <v>0</v>
      </c>
    </row>
    <row r="18" spans="12:34" x14ac:dyDescent="0.25"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 t="s">
        <v>33</v>
      </c>
      <c r="AA18">
        <f>COUNTA(N:N)-1</f>
        <v>1</v>
      </c>
      <c r="AB18" s="6">
        <f>AA18/AA$11</f>
        <v>1</v>
      </c>
      <c r="AC18">
        <f>COUNTA(O:O)-1</f>
        <v>1</v>
      </c>
      <c r="AD18" s="6">
        <f>AC18/AC$11</f>
        <v>1</v>
      </c>
      <c r="AE18">
        <f>COUNTA(P:P)-1</f>
        <v>1</v>
      </c>
      <c r="AF18" s="6">
        <f>AE18/AE$11</f>
        <v>1</v>
      </c>
      <c r="AG18">
        <f>COUNTA(Q:Q)-1</f>
        <v>1</v>
      </c>
      <c r="AH18" s="6">
        <f>AG18/AG$11</f>
        <v>1</v>
      </c>
    </row>
    <row r="19" spans="12:34" x14ac:dyDescent="0.25"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AD19">
        <f>COUNTIF(W:W,$Z8)-COUNTIFS(W:W,$Z8,V:V,"--")</f>
        <v>0</v>
      </c>
    </row>
    <row r="20" spans="12:34" x14ac:dyDescent="0.25"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2:34" x14ac:dyDescent="0.25"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2:34" x14ac:dyDescent="0.25"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2:34" x14ac:dyDescent="0.25"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2:34" x14ac:dyDescent="0.25"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2:34" x14ac:dyDescent="0.25"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t="s">
        <v>44</v>
      </c>
    </row>
    <row r="26" spans="12:34" x14ac:dyDescent="0.25"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t="str">
        <f>Z7&amp;": "&amp;AJ7&amp;" "&amp;AJ6&amp;" ("&amp;TEXT(AK7,"0.00%")&amp;"), "&amp;AL7&amp;" "&amp;AL6&amp;" ("&amp;TEXT(AM7,"0.00%")&amp;"), "&amp;AN7&amp;" "&amp;AN6&amp;" ("&amp;TEXT(AO7,"0.00%")&amp;")."</f>
        <v>RC: 0 Successes (0.00%), 0 Timeouts (0.00%), 0 Errors (0.00%).</v>
      </c>
    </row>
    <row r="27" spans="12:34" x14ac:dyDescent="0.25"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t="str">
        <f>Z8&amp;": "&amp;AJ8&amp;" "&amp;AJ6&amp;" ("&amp;TEXT(AK8,"0.00%")&amp;"), "&amp;AL8&amp;" "&amp;AL6&amp;" ("&amp;TEXT(AM8,"0.00%")&amp;"), "&amp;AN8&amp;" "&amp;AN6&amp;" ("&amp;TEXT(AO8,"0.00%")&amp;")."</f>
        <v>QE: 0 Successes (0.00%), 0 Timeouts (0.00%), 0 Errors (0.00%).</v>
      </c>
    </row>
    <row r="28" spans="12:34" x14ac:dyDescent="0.25"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2:34" x14ac:dyDescent="0.25"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t="s">
        <v>45</v>
      </c>
    </row>
    <row r="30" spans="12:34" x14ac:dyDescent="0.25"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t="str">
        <f>Z7&amp;": "&amp;AC7&amp;" ("&amp;TEXT(AD7,"0.00%")&amp;"), "&amp;AC14&amp;" actual ("&amp;TEXT(AD14,"0.00%")&amp;")"</f>
        <v>RC: 0 (0.00%), 0 actual (0.00%)</v>
      </c>
    </row>
    <row r="31" spans="12:34" x14ac:dyDescent="0.25"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t="str">
        <f>Z8&amp;": "&amp;AC8&amp;" ("&amp;TEXT(AD8,"0.00%")&amp;"), "&amp;AC15&amp;" actual ("&amp;TEXT(AD15,"0.00%")&amp;")"</f>
        <v>QE: 0 (0.00%), 0 actual (0.00%)</v>
      </c>
    </row>
    <row r="32" spans="12:34" x14ac:dyDescent="0.25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2:26" x14ac:dyDescent="0.25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t="s">
        <v>46</v>
      </c>
    </row>
    <row r="34" spans="12:26" x14ac:dyDescent="0.25"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t="str">
        <f>Z7&amp;": "&amp;AG7&amp;" ("&amp;TEXT(AH7,"0.00%")&amp;"), "&amp;AG14&amp;" actual ("&amp;TEXT(AH14,"0.00%")&amp;")"</f>
        <v>RC: 0 (0.00%), 0 actual (0.00%)</v>
      </c>
    </row>
    <row r="35" spans="12:26" x14ac:dyDescent="0.25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t="str">
        <f>Z8&amp;": "&amp;AG8&amp;" ("&amp;TEXT(AH8,"0.00%")&amp;"), "&amp;AG15&amp;" actual ("&amp;TEXT(AH15,"0.00%")&amp;")"</f>
        <v>QE: 0 (0.00%), 0 actual (0.00%)</v>
      </c>
    </row>
    <row r="36" spans="12:26" x14ac:dyDescent="0.25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2:26" x14ac:dyDescent="0.25"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2:26" x14ac:dyDescent="0.25"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2:26" x14ac:dyDescent="0.25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2:26" x14ac:dyDescent="0.25"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2:26" x14ac:dyDescent="0.25"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2:26" x14ac:dyDescent="0.25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2:26" x14ac:dyDescent="0.25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2:26" x14ac:dyDescent="0.25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2:26" x14ac:dyDescent="0.25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2:26" x14ac:dyDescent="0.25"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2:26" x14ac:dyDescent="0.25"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2:26" x14ac:dyDescent="0.25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2:25" x14ac:dyDescent="0.25"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2:25" x14ac:dyDescent="0.25"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2:25" x14ac:dyDescent="0.25"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2:25" x14ac:dyDescent="0.25"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2:25" x14ac:dyDescent="0.25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2:25" x14ac:dyDescent="0.25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2:25" x14ac:dyDescent="0.25"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2:25" x14ac:dyDescent="0.25"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2:25" x14ac:dyDescent="0.25"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2:25" x14ac:dyDescent="0.25"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2:25" x14ac:dyDescent="0.25"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2:25" x14ac:dyDescent="0.25"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2:25" x14ac:dyDescent="0.25"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2:25" x14ac:dyDescent="0.25"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2:25" x14ac:dyDescent="0.25"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2:25" x14ac:dyDescent="0.25"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2:25" x14ac:dyDescent="0.25"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2:25" x14ac:dyDescent="0.25"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2:25" x14ac:dyDescent="0.25"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2:25" x14ac:dyDescent="0.25"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70" spans="12:25" x14ac:dyDescent="0.25">
      <c r="N70" s="5"/>
    </row>
  </sheetData>
  <autoFilter ref="A1:K68" xr:uid="{68567C89-2050-46DB-ABA2-146424013801}"/>
  <mergeCells count="12"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  <mergeCell ref="AL6:AM6"/>
  </mergeCells>
  <conditionalFormatting sqref="A1:K68">
    <cfRule type="containsText" dxfId="62" priority="5" operator="containsText" text="ERROR">
      <formula>NOT(ISERROR(SEARCH("ERROR",A1)))</formula>
    </cfRule>
    <cfRule type="containsText" dxfId="61" priority="11" operator="containsText" text="TIME OUT">
      <formula>NOT(ISERROR(SEARCH("TIME OUT",A1)))</formula>
    </cfRule>
  </conditionalFormatting>
  <conditionalFormatting sqref="L2:L69 L71:L1048576">
    <cfRule type="cellIs" dxfId="60" priority="7" operator="equal">
      <formula>TRUE</formula>
    </cfRule>
  </conditionalFormatting>
  <conditionalFormatting sqref="L1:S1 X1">
    <cfRule type="containsText" dxfId="59" priority="6" operator="containsText" text="TIME OUT">
      <formula>NOT(ISERROR(SEARCH("TIME OUT",L1)))</formula>
    </cfRule>
  </conditionalFormatting>
  <conditionalFormatting sqref="Y1 L2:Y69 N70 L71:Y1048576">
    <cfRule type="cellIs" dxfId="58" priority="8" operator="equal">
      <formula>"QE"</formula>
    </cfRule>
    <cfRule type="cellIs" dxfId="57" priority="9" operator="equal">
      <formula>"RC"</formula>
    </cfRule>
  </conditionalFormatting>
  <conditionalFormatting sqref="Y1:AG1">
    <cfRule type="containsText" dxfId="56" priority="10" operator="containsText" text="TIME OUT">
      <formula>NOT(ISERROR(SEARCH("TIME OUT",Y1)))</formula>
    </cfRule>
  </conditionalFormatting>
  <conditionalFormatting sqref="Z7:Z11">
    <cfRule type="cellIs" dxfId="55" priority="3" operator="equal">
      <formula>"QE"</formula>
    </cfRule>
    <cfRule type="cellIs" dxfId="54" priority="4" operator="equal">
      <formula>"RC"</formula>
    </cfRule>
  </conditionalFormatting>
  <conditionalFormatting sqref="Z14:Z18">
    <cfRule type="cellIs" dxfId="53" priority="1" operator="equal">
      <formula>"QE"</formula>
    </cfRule>
    <cfRule type="cellIs" dxfId="52" priority="2" operator="equal">
      <formula>"RC"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5E14-A1CB-47FE-8B0A-F716ACFE1305}">
  <dimension ref="A1:AQ70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3"/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 x14ac:dyDescent="0.25"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0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TIE</v>
      </c>
      <c r="O2" s="5" t="e">
        <f>IF(M2="--","--",TEXT(MIN(C2,H2)/MAX(C2,H2),"0.000%"))</f>
        <v>#DIV/0!</v>
      </c>
      <c r="P2" s="5">
        <f>IF(OR(ISNUMBER(SEARCH("ERROR", D2)), ISNUMBER(SEARCH("ERROR", I2)), ISNUMBER(SEARCH("TIME OUT", D2)), ISNUMBER(SEARCH("TIME OUT", I2))),"--",D2-I2)</f>
        <v>0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TIE</v>
      </c>
      <c r="R2" s="5" t="e">
        <f>IF(P2="--","--",TEXT(MIN(D2,I2)/MAX(D2,I2),"0.000%"))</f>
        <v>#DIV/0!</v>
      </c>
      <c r="S2" s="5">
        <f>IF(OR(ISNUMBER(SEARCH("ERROR", E2)), ISNUMBER(SEARCH("ERROR", J2)), ISNUMBER(SEARCH("TIME OUT", E2)), ISNUMBER(SEARCH("TIME OUT", J2))),"--",E2-J2)</f>
        <v>0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TIE</v>
      </c>
      <c r="U2" s="5" t="e">
        <f>IF(S2="--","--",TEXT(MIN(E2,J2)/MAX(E2,J2),"0.000%"))</f>
        <v>#DIV/0!</v>
      </c>
      <c r="V2" s="5">
        <f>IF(OR(ISNUMBER(SEARCH("ERROR", F2)), ISNUMBER(SEARCH("ERROR", K2)), ISNUMBER(SEARCH("TIME OUT", F2)), ISNUMBER(SEARCH("TIME OUT", K2))),"--",F2-K2)</f>
        <v>0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TIE</v>
      </c>
      <c r="X2" s="5" t="e">
        <f>IF(V2="--","--",TEXT(MIN(F2,K2)/MAX(F2,K2),"0.000%"))</f>
        <v>#DIV/0!</v>
      </c>
      <c r="Y2" s="5"/>
      <c r="Z2" t="e">
        <f>AVERAGE(C:C)</f>
        <v>#DIV/0!</v>
      </c>
      <c r="AA2" t="e">
        <f>AVERAGE(D:D)</f>
        <v>#DIV/0!</v>
      </c>
      <c r="AB2" t="e">
        <f>AVERAGE(E:E)</f>
        <v>#DIV/0!</v>
      </c>
      <c r="AC2" t="e">
        <f>AVERAGE(F:F)</f>
        <v>#DIV/0!</v>
      </c>
      <c r="AD2" t="e">
        <f>AVERAGE(H:H)</f>
        <v>#DIV/0!</v>
      </c>
      <c r="AE2" t="e">
        <f t="shared" ref="AE2:AG2" si="0">AVERAGE(I:I)</f>
        <v>#DIV/0!</v>
      </c>
      <c r="AF2" t="e">
        <f t="shared" si="0"/>
        <v>#DIV/0!</v>
      </c>
      <c r="AG2" t="e">
        <f t="shared" si="0"/>
        <v>#DIV/0!</v>
      </c>
      <c r="AH2">
        <f>AVERAGE(M2)</f>
        <v>0</v>
      </c>
      <c r="AI2">
        <f>AVERAGE(P2)</f>
        <v>0</v>
      </c>
      <c r="AJ2">
        <f>AVERAGE(S2)</f>
        <v>0</v>
      </c>
      <c r="AK2">
        <f>AVERAGE(V2)</f>
        <v>0</v>
      </c>
    </row>
    <row r="3" spans="1:43" x14ac:dyDescent="0.25"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43" x14ac:dyDescent="0.25"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43" x14ac:dyDescent="0.25"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43" x14ac:dyDescent="0.25"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A6" s="9" t="s">
        <v>26</v>
      </c>
      <c r="AB6" s="9"/>
      <c r="AC6" s="9" t="s">
        <v>27</v>
      </c>
      <c r="AD6" s="9"/>
      <c r="AE6" s="9" t="s">
        <v>28</v>
      </c>
      <c r="AF6" s="9"/>
      <c r="AG6" s="9" t="s">
        <v>29</v>
      </c>
      <c r="AH6" s="9"/>
      <c r="AJ6" s="9" t="s">
        <v>40</v>
      </c>
      <c r="AK6" s="9"/>
      <c r="AL6" s="9" t="s">
        <v>41</v>
      </c>
      <c r="AM6" s="9"/>
      <c r="AN6" s="9" t="s">
        <v>42</v>
      </c>
      <c r="AO6" s="9"/>
      <c r="AP6" s="9" t="s">
        <v>43</v>
      </c>
      <c r="AQ6" s="9"/>
    </row>
    <row r="7" spans="1:43" x14ac:dyDescent="0.25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 t="s">
        <v>30</v>
      </c>
      <c r="AA7">
        <f>COUNTIF(N:N,$Z7)</f>
        <v>0</v>
      </c>
      <c r="AB7" s="6">
        <f>AA7/AA$11</f>
        <v>0</v>
      </c>
      <c r="AC7">
        <f>COUNTIF(Q:Q,$Z7)</f>
        <v>0</v>
      </c>
      <c r="AD7" s="6">
        <f>AC7/AC$11</f>
        <v>0</v>
      </c>
      <c r="AE7">
        <f>COUNTIF(T:T,$Z7)</f>
        <v>0</v>
      </c>
      <c r="AF7" s="6">
        <f>AE7/AE$11</f>
        <v>0</v>
      </c>
      <c r="AG7">
        <f>COUNTIF(W:W,$Z7)</f>
        <v>0</v>
      </c>
      <c r="AH7" s="6">
        <f>AG7/AG$11</f>
        <v>0</v>
      </c>
      <c r="AJ7">
        <f>COUNTA(B2:B68)-COUNTIF(B2:B68,"*TIME OUT*")-COUNTIF(B2:B68,"*ERROR*")</f>
        <v>0</v>
      </c>
      <c r="AK7" s="6">
        <f>AJ7/67</f>
        <v>0</v>
      </c>
      <c r="AL7">
        <f>COUNTIF(B2:B68,"*TIME OUT*")</f>
        <v>0</v>
      </c>
      <c r="AM7" s="6">
        <f>AL7/67</f>
        <v>0</v>
      </c>
      <c r="AN7">
        <f>COUNTIF(B2:B68,"*ERROR*")</f>
        <v>0</v>
      </c>
      <c r="AO7" s="6">
        <f>AN7/67</f>
        <v>0</v>
      </c>
      <c r="AP7">
        <f>AJ7+AL7+AN7</f>
        <v>0</v>
      </c>
      <c r="AQ7" s="6">
        <f>AK7+AM7+AO7</f>
        <v>0</v>
      </c>
    </row>
    <row r="8" spans="1:43" x14ac:dyDescent="0.25"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 t="s">
        <v>31</v>
      </c>
      <c r="AA8">
        <f>COUNTIF(N:N,$Z8)</f>
        <v>0</v>
      </c>
      <c r="AB8" s="6">
        <f>AA8/AA$11</f>
        <v>0</v>
      </c>
      <c r="AC8">
        <f>COUNTIF(Q:Q,$Z8)</f>
        <v>0</v>
      </c>
      <c r="AD8" s="6">
        <f>AC8/AC$11</f>
        <v>0</v>
      </c>
      <c r="AE8">
        <f>COUNTIF(T:T,$Z8)</f>
        <v>0</v>
      </c>
      <c r="AF8" s="6">
        <f>AE8/AE$11</f>
        <v>0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0</v>
      </c>
      <c r="AK8" s="6">
        <f>AJ8/67</f>
        <v>0</v>
      </c>
      <c r="AL8">
        <f>COUNTIF(G2:G68,"*TIME OUT*")</f>
        <v>0</v>
      </c>
      <c r="AM8" s="6">
        <f>AL8/67</f>
        <v>0</v>
      </c>
      <c r="AN8">
        <f>COUNTIF(G2:G68,"*ERROR*")</f>
        <v>0</v>
      </c>
      <c r="AO8" s="6">
        <f>AN8/67</f>
        <v>0</v>
      </c>
      <c r="AP8">
        <f>AJ8+AL8+AN8</f>
        <v>0</v>
      </c>
      <c r="AQ8" s="6">
        <f>AK8+AM8+AO8</f>
        <v>0</v>
      </c>
    </row>
    <row r="9" spans="1:43" x14ac:dyDescent="0.25"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 t="s">
        <v>32</v>
      </c>
      <c r="AA9">
        <f>COUNTIF(N:N,$Z9)</f>
        <v>1</v>
      </c>
      <c r="AB9" s="6">
        <f>AA9/AA$11</f>
        <v>1</v>
      </c>
      <c r="AC9">
        <f>COUNTIF(Q:Q,$Z9)</f>
        <v>1</v>
      </c>
      <c r="AD9" s="6">
        <f>AC9/AC$11</f>
        <v>1</v>
      </c>
      <c r="AE9">
        <f>COUNTIF(T:T,$Z9)</f>
        <v>1</v>
      </c>
      <c r="AF9" s="6">
        <f>AE9/AE$11</f>
        <v>1</v>
      </c>
      <c r="AG9">
        <f>COUNTIF(W:W,$Z9)</f>
        <v>1</v>
      </c>
      <c r="AH9" s="6">
        <f>AG9/AG$11</f>
        <v>1</v>
      </c>
    </row>
    <row r="10" spans="1:43" x14ac:dyDescent="0.25"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 t="s">
        <v>34</v>
      </c>
      <c r="AA10">
        <f>COUNTIF(N:N,$Z10)</f>
        <v>0</v>
      </c>
      <c r="AB10" s="6">
        <f>AA10/AA$11</f>
        <v>0</v>
      </c>
      <c r="AC10">
        <f>COUNTIF(Q:Q,$Z10)</f>
        <v>0</v>
      </c>
      <c r="AD10" s="6">
        <f>AC10/AC$11</f>
        <v>0</v>
      </c>
      <c r="AE10">
        <f>COUNTIF(T:T,$Z10)</f>
        <v>0</v>
      </c>
      <c r="AF10" s="6">
        <f>AE10/AE$11</f>
        <v>0</v>
      </c>
      <c r="AG10">
        <f>COUNTIF(W:W,$Z10)</f>
        <v>0</v>
      </c>
      <c r="AH10" s="6">
        <f>AG10/AG$11</f>
        <v>0</v>
      </c>
    </row>
    <row r="11" spans="1:43" x14ac:dyDescent="0.25"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 t="s">
        <v>33</v>
      </c>
      <c r="AA11">
        <f>COUNTA(N:N)-1</f>
        <v>1</v>
      </c>
      <c r="AB11" s="6">
        <f>AA11/AA$11</f>
        <v>1</v>
      </c>
      <c r="AC11">
        <f>COUNTA(O:O)-1</f>
        <v>1</v>
      </c>
      <c r="AD11" s="6">
        <f>AC11/AC$11</f>
        <v>1</v>
      </c>
      <c r="AE11">
        <f>COUNTA(P:P)-1</f>
        <v>1</v>
      </c>
      <c r="AF11" s="6">
        <f>AE11/AE$11</f>
        <v>1</v>
      </c>
      <c r="AG11">
        <f>COUNTA(Q:Q)-1</f>
        <v>1</v>
      </c>
      <c r="AH11" s="6">
        <f>AG11/AG$11</f>
        <v>1</v>
      </c>
    </row>
    <row r="12" spans="1:43" x14ac:dyDescent="0.25"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43" x14ac:dyDescent="0.25"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AA13" s="9" t="s">
        <v>26</v>
      </c>
      <c r="AB13" s="9"/>
      <c r="AC13" s="9" t="s">
        <v>27</v>
      </c>
      <c r="AD13" s="9"/>
      <c r="AE13" s="9" t="s">
        <v>28</v>
      </c>
      <c r="AF13" s="9"/>
      <c r="AG13" s="9" t="s">
        <v>29</v>
      </c>
      <c r="AH13" s="9"/>
    </row>
    <row r="14" spans="1:43" x14ac:dyDescent="0.25"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 t="s">
        <v>30</v>
      </c>
      <c r="AA14">
        <f>COUNTIF(N:N,$Z7)-COUNTIFS(N:N,$Z7,O:O,"--")</f>
        <v>0</v>
      </c>
      <c r="AB14" s="6">
        <f>AA14/AA$11</f>
        <v>0</v>
      </c>
      <c r="AC14">
        <f>COUNTIF(Q:Q,$Z7)-COUNTIFS(Q:Q,$Z7,R:R,"--")</f>
        <v>0</v>
      </c>
      <c r="AD14" s="6">
        <f>AC14/AC$11</f>
        <v>0</v>
      </c>
      <c r="AE14">
        <f>COUNTIF(T:T,$Z7)-COUNTIFS(T:T,$Z7,U:U,"--")</f>
        <v>0</v>
      </c>
      <c r="AF14" s="6">
        <f>AE14/AE$11</f>
        <v>0</v>
      </c>
      <c r="AG14">
        <f>COUNTIF(W:W,$Z7)-COUNTIFS(W:W,$Z7,X:X,"--")</f>
        <v>0</v>
      </c>
      <c r="AH14" s="6">
        <f>AG14/AG$11</f>
        <v>0</v>
      </c>
    </row>
    <row r="15" spans="1:43" x14ac:dyDescent="0.25"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 t="s">
        <v>31</v>
      </c>
      <c r="AA15">
        <f>COUNTIF(N:N,$Z8)-COUNTIFS(N:N,$Z8,O:O,"--")</f>
        <v>0</v>
      </c>
      <c r="AB15" s="6">
        <f>AA15/AA$11</f>
        <v>0</v>
      </c>
      <c r="AC15">
        <f t="shared" ref="AC15:AC16" si="1">COUNTIF(Q:Q,$Z8)-COUNTIFS(Q:Q,$Z8,R:R,"--")</f>
        <v>0</v>
      </c>
      <c r="AD15" s="6">
        <f>AC15/AC$11</f>
        <v>0</v>
      </c>
      <c r="AE15">
        <f t="shared" ref="AE15:AE16" si="2">COUNTIF(T:T,$Z8)-COUNTIFS(T:T,$Z8,U:U,"--")</f>
        <v>0</v>
      </c>
      <c r="AF15" s="6">
        <f>AE15/AE$11</f>
        <v>0</v>
      </c>
      <c r="AG15">
        <f t="shared" ref="AG15:AG16" si="3">COUNTIF(W:W,$Z8)-COUNTIFS(W:W,$Z8,X:X,"--")</f>
        <v>0</v>
      </c>
      <c r="AH15" s="6">
        <f>AG15/AG$11</f>
        <v>0</v>
      </c>
    </row>
    <row r="16" spans="1:43" x14ac:dyDescent="0.25"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 t="s">
        <v>32</v>
      </c>
      <c r="AA16">
        <f t="shared" ref="AA16" si="4">COUNTIF(N:N,$Z9)-COUNTIFS(N:N,$Z9,O:O,"--")</f>
        <v>1</v>
      </c>
      <c r="AB16" s="6">
        <f>AA16/AA$11</f>
        <v>1</v>
      </c>
      <c r="AC16">
        <f t="shared" si="1"/>
        <v>1</v>
      </c>
      <c r="AD16" s="6">
        <f>AC16/AC$11</f>
        <v>1</v>
      </c>
      <c r="AE16">
        <f t="shared" si="2"/>
        <v>1</v>
      </c>
      <c r="AF16" s="6">
        <f>AE16/AE$11</f>
        <v>1</v>
      </c>
      <c r="AG16">
        <f t="shared" si="3"/>
        <v>1</v>
      </c>
      <c r="AH16" s="6">
        <f>AG16/AG$11</f>
        <v>1</v>
      </c>
    </row>
    <row r="17" spans="12:34" x14ac:dyDescent="0.25"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 t="s">
        <v>34</v>
      </c>
      <c r="AA17">
        <f>COUNTIF(O:O,"--")</f>
        <v>0</v>
      </c>
      <c r="AB17" s="6">
        <f>AA17/AA$11</f>
        <v>0</v>
      </c>
      <c r="AC17">
        <f>COUNTIF(R:R,"--")</f>
        <v>0</v>
      </c>
      <c r="AD17" s="6">
        <f>AC17/AC$11</f>
        <v>0</v>
      </c>
      <c r="AE17">
        <f>COUNTIF(U:U,"--")</f>
        <v>0</v>
      </c>
      <c r="AF17" s="6">
        <f>AE17/AE$11</f>
        <v>0</v>
      </c>
      <c r="AG17">
        <f>COUNTIF(X:X,"--")</f>
        <v>0</v>
      </c>
      <c r="AH17" s="6">
        <f>AG17/AG$11</f>
        <v>0</v>
      </c>
    </row>
    <row r="18" spans="12:34" x14ac:dyDescent="0.25"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 t="s">
        <v>33</v>
      </c>
      <c r="AA18">
        <f>COUNTA(N:N)-1</f>
        <v>1</v>
      </c>
      <c r="AB18" s="6">
        <f>AA18/AA$11</f>
        <v>1</v>
      </c>
      <c r="AC18">
        <f>COUNTA(O:O)-1</f>
        <v>1</v>
      </c>
      <c r="AD18" s="6">
        <f>AC18/AC$11</f>
        <v>1</v>
      </c>
      <c r="AE18">
        <f>COUNTA(P:P)-1</f>
        <v>1</v>
      </c>
      <c r="AF18" s="6">
        <f>AE18/AE$11</f>
        <v>1</v>
      </c>
      <c r="AG18">
        <f>COUNTA(Q:Q)-1</f>
        <v>1</v>
      </c>
      <c r="AH18" s="6">
        <f>AG18/AG$11</f>
        <v>1</v>
      </c>
    </row>
    <row r="19" spans="12:34" x14ac:dyDescent="0.25"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AD19">
        <f>COUNTIF(W:W,$Z8)-COUNTIFS(W:W,$Z8,V:V,"--")</f>
        <v>0</v>
      </c>
    </row>
    <row r="20" spans="12:34" x14ac:dyDescent="0.25"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2:34" x14ac:dyDescent="0.25"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2:34" x14ac:dyDescent="0.25"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2:34" x14ac:dyDescent="0.25"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2:34" x14ac:dyDescent="0.25"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2:34" x14ac:dyDescent="0.25"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t="s">
        <v>44</v>
      </c>
    </row>
    <row r="26" spans="12:34" x14ac:dyDescent="0.25"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t="str">
        <f>Z7&amp;": "&amp;AJ7&amp;" "&amp;AJ6&amp;" ("&amp;TEXT(AK7,"0.00%")&amp;"), "&amp;AL7&amp;" "&amp;AL6&amp;" ("&amp;TEXT(AM7,"0.00%")&amp;"), "&amp;AN7&amp;" "&amp;AN6&amp;" ("&amp;TEXT(AO7,"0.00%")&amp;")."</f>
        <v>RC: 0 Successes (0.00%), 0 Timeouts (0.00%), 0 Errors (0.00%).</v>
      </c>
    </row>
    <row r="27" spans="12:34" x14ac:dyDescent="0.25"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t="str">
        <f>Z8&amp;": "&amp;AJ8&amp;" "&amp;AJ6&amp;" ("&amp;TEXT(AK8,"0.00%")&amp;"), "&amp;AL8&amp;" "&amp;AL6&amp;" ("&amp;TEXT(AM8,"0.00%")&amp;"), "&amp;AN8&amp;" "&amp;AN6&amp;" ("&amp;TEXT(AO8,"0.00%")&amp;")."</f>
        <v>QE: 0 Successes (0.00%), 0 Timeouts (0.00%), 0 Errors (0.00%).</v>
      </c>
    </row>
    <row r="28" spans="12:34" x14ac:dyDescent="0.25"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2:34" x14ac:dyDescent="0.25"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t="s">
        <v>45</v>
      </c>
    </row>
    <row r="30" spans="12:34" x14ac:dyDescent="0.25"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t="str">
        <f>Z7&amp;": "&amp;AC7&amp;" ("&amp;TEXT(AD7,"0.00%")&amp;"), "&amp;AC14&amp;" actual ("&amp;TEXT(AD14,"0.00%")&amp;")"</f>
        <v>RC: 0 (0.00%), 0 actual (0.00%)</v>
      </c>
    </row>
    <row r="31" spans="12:34" x14ac:dyDescent="0.25"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t="str">
        <f>Z8&amp;": "&amp;AC8&amp;" ("&amp;TEXT(AD8,"0.00%")&amp;"), "&amp;AC15&amp;" actual ("&amp;TEXT(AD15,"0.00%")&amp;")"</f>
        <v>QE: 0 (0.00%), 0 actual (0.00%)</v>
      </c>
    </row>
    <row r="32" spans="12:34" x14ac:dyDescent="0.25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2:26" x14ac:dyDescent="0.25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t="s">
        <v>46</v>
      </c>
    </row>
    <row r="34" spans="12:26" x14ac:dyDescent="0.25"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t="str">
        <f>Z7&amp;": "&amp;AG7&amp;" ("&amp;TEXT(AH7,"0.00%")&amp;"), "&amp;AG14&amp;" actual ("&amp;TEXT(AH14,"0.00%")&amp;")"</f>
        <v>RC: 0 (0.00%), 0 actual (0.00%)</v>
      </c>
    </row>
    <row r="35" spans="12:26" x14ac:dyDescent="0.25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t="str">
        <f>Z8&amp;": "&amp;AG8&amp;" ("&amp;TEXT(AH8,"0.00%")&amp;"), "&amp;AG15&amp;" actual ("&amp;TEXT(AH15,"0.00%")&amp;")"</f>
        <v>QE: 0 (0.00%), 0 actual (0.00%)</v>
      </c>
    </row>
    <row r="36" spans="12:26" x14ac:dyDescent="0.25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2:26" x14ac:dyDescent="0.25"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2:26" x14ac:dyDescent="0.25"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2:26" x14ac:dyDescent="0.25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2:26" x14ac:dyDescent="0.25"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2:26" x14ac:dyDescent="0.25"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2:26" x14ac:dyDescent="0.25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2:26" x14ac:dyDescent="0.25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2:26" x14ac:dyDescent="0.25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2:26" x14ac:dyDescent="0.25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2:26" x14ac:dyDescent="0.25"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2:26" x14ac:dyDescent="0.25"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2:26" x14ac:dyDescent="0.25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2:25" x14ac:dyDescent="0.25"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2:25" x14ac:dyDescent="0.25"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2:25" x14ac:dyDescent="0.25"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2:25" x14ac:dyDescent="0.25"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2:25" x14ac:dyDescent="0.25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2:25" x14ac:dyDescent="0.25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2:25" x14ac:dyDescent="0.25"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2:25" x14ac:dyDescent="0.25"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2:25" x14ac:dyDescent="0.25"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2:25" x14ac:dyDescent="0.25"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2:25" x14ac:dyDescent="0.25"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2:25" x14ac:dyDescent="0.25"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2:25" x14ac:dyDescent="0.25"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2:25" x14ac:dyDescent="0.25"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2:25" x14ac:dyDescent="0.25"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2:25" x14ac:dyDescent="0.25"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2:25" x14ac:dyDescent="0.25"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2:25" x14ac:dyDescent="0.25"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2:25" x14ac:dyDescent="0.25"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2:25" x14ac:dyDescent="0.25"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70" spans="12:25" x14ac:dyDescent="0.25">
      <c r="N70" s="5"/>
    </row>
  </sheetData>
  <autoFilter ref="A1:K68" xr:uid="{68567C89-2050-46DB-ABA2-146424013801}"/>
  <mergeCells count="12"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  <mergeCell ref="AL6:AM6"/>
  </mergeCells>
  <conditionalFormatting sqref="A1:K68">
    <cfRule type="containsText" dxfId="51" priority="5" operator="containsText" text="ERROR">
      <formula>NOT(ISERROR(SEARCH("ERROR",A1)))</formula>
    </cfRule>
    <cfRule type="containsText" dxfId="50" priority="11" operator="containsText" text="TIME OUT">
      <formula>NOT(ISERROR(SEARCH("TIME OUT",A1)))</formula>
    </cfRule>
  </conditionalFormatting>
  <conditionalFormatting sqref="L2:L69 L71:L1048576">
    <cfRule type="cellIs" dxfId="49" priority="7" operator="equal">
      <formula>TRUE</formula>
    </cfRule>
  </conditionalFormatting>
  <conditionalFormatting sqref="L1:S1 X1">
    <cfRule type="containsText" dxfId="48" priority="6" operator="containsText" text="TIME OUT">
      <formula>NOT(ISERROR(SEARCH("TIME OUT",L1)))</formula>
    </cfRule>
  </conditionalFormatting>
  <conditionalFormatting sqref="Y1 L2:Y69 N70 L71:Y1048576">
    <cfRule type="cellIs" dxfId="47" priority="8" operator="equal">
      <formula>"QE"</formula>
    </cfRule>
    <cfRule type="cellIs" dxfId="46" priority="9" operator="equal">
      <formula>"RC"</formula>
    </cfRule>
  </conditionalFormatting>
  <conditionalFormatting sqref="Y1:AG1">
    <cfRule type="containsText" dxfId="45" priority="10" operator="containsText" text="TIME OUT">
      <formula>NOT(ISERROR(SEARCH("TIME OUT",Y1)))</formula>
    </cfRule>
  </conditionalFormatting>
  <conditionalFormatting sqref="Z7:Z11">
    <cfRule type="cellIs" dxfId="44" priority="3" operator="equal">
      <formula>"QE"</formula>
    </cfRule>
    <cfRule type="cellIs" dxfId="43" priority="4" operator="equal">
      <formula>"RC"</formula>
    </cfRule>
  </conditionalFormatting>
  <conditionalFormatting sqref="Z14:Z18">
    <cfRule type="cellIs" dxfId="42" priority="1" operator="equal">
      <formula>"QE"</formula>
    </cfRule>
    <cfRule type="cellIs" dxfId="41" priority="2" operator="equal">
      <formula>"RC"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0BE5-CF3B-4A07-A181-FAE6F4256769}">
  <dimension ref="A1:AQ70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3"/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 x14ac:dyDescent="0.25"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0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TIE</v>
      </c>
      <c r="O2" s="5" t="e">
        <f>IF(M2="--","--",TEXT(MIN(C2,H2)/MAX(C2,H2),"0.000%"))</f>
        <v>#DIV/0!</v>
      </c>
      <c r="P2" s="5">
        <f>IF(OR(ISNUMBER(SEARCH("ERROR", D2)), ISNUMBER(SEARCH("ERROR", I2)), ISNUMBER(SEARCH("TIME OUT", D2)), ISNUMBER(SEARCH("TIME OUT", I2))),"--",D2-I2)</f>
        <v>0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TIE</v>
      </c>
      <c r="R2" s="5" t="e">
        <f>IF(P2="--","--",TEXT(MIN(D2,I2)/MAX(D2,I2),"0.000%"))</f>
        <v>#DIV/0!</v>
      </c>
      <c r="S2" s="5">
        <f>IF(OR(ISNUMBER(SEARCH("ERROR", E2)), ISNUMBER(SEARCH("ERROR", J2)), ISNUMBER(SEARCH("TIME OUT", E2)), ISNUMBER(SEARCH("TIME OUT", J2))),"--",E2-J2)</f>
        <v>0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TIE</v>
      </c>
      <c r="U2" s="5" t="e">
        <f>IF(S2="--","--",TEXT(MIN(E2,J2)/MAX(E2,J2),"0.000%"))</f>
        <v>#DIV/0!</v>
      </c>
      <c r="V2" s="5">
        <f>IF(OR(ISNUMBER(SEARCH("ERROR", F2)), ISNUMBER(SEARCH("ERROR", K2)), ISNUMBER(SEARCH("TIME OUT", F2)), ISNUMBER(SEARCH("TIME OUT", K2))),"--",F2-K2)</f>
        <v>0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TIE</v>
      </c>
      <c r="X2" s="5" t="e">
        <f>IF(V2="--","--",TEXT(MIN(F2,K2)/MAX(F2,K2),"0.000%"))</f>
        <v>#DIV/0!</v>
      </c>
      <c r="Y2" s="5"/>
      <c r="Z2" t="e">
        <f>AVERAGE(C:C)</f>
        <v>#DIV/0!</v>
      </c>
      <c r="AA2" t="e">
        <f>AVERAGE(D:D)</f>
        <v>#DIV/0!</v>
      </c>
      <c r="AB2" t="e">
        <f>AVERAGE(E:E)</f>
        <v>#DIV/0!</v>
      </c>
      <c r="AC2" t="e">
        <f>AVERAGE(F:F)</f>
        <v>#DIV/0!</v>
      </c>
      <c r="AD2" t="e">
        <f>AVERAGE(H:H)</f>
        <v>#DIV/0!</v>
      </c>
      <c r="AE2" t="e">
        <f t="shared" ref="AE2:AG2" si="0">AVERAGE(I:I)</f>
        <v>#DIV/0!</v>
      </c>
      <c r="AF2" t="e">
        <f t="shared" si="0"/>
        <v>#DIV/0!</v>
      </c>
      <c r="AG2" t="e">
        <f t="shared" si="0"/>
        <v>#DIV/0!</v>
      </c>
      <c r="AH2">
        <f>AVERAGE(M2)</f>
        <v>0</v>
      </c>
      <c r="AI2">
        <f>AVERAGE(P2)</f>
        <v>0</v>
      </c>
      <c r="AJ2">
        <f>AVERAGE(S2)</f>
        <v>0</v>
      </c>
      <c r="AK2">
        <f>AVERAGE(V2)</f>
        <v>0</v>
      </c>
    </row>
    <row r="3" spans="1:43" x14ac:dyDescent="0.25"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43" x14ac:dyDescent="0.25"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43" x14ac:dyDescent="0.25"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43" x14ac:dyDescent="0.25"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A6" s="9" t="s">
        <v>26</v>
      </c>
      <c r="AB6" s="9"/>
      <c r="AC6" s="9" t="s">
        <v>27</v>
      </c>
      <c r="AD6" s="9"/>
      <c r="AE6" s="9" t="s">
        <v>28</v>
      </c>
      <c r="AF6" s="9"/>
      <c r="AG6" s="9" t="s">
        <v>29</v>
      </c>
      <c r="AH6" s="9"/>
      <c r="AJ6" s="9" t="s">
        <v>40</v>
      </c>
      <c r="AK6" s="9"/>
      <c r="AL6" s="9" t="s">
        <v>41</v>
      </c>
      <c r="AM6" s="9"/>
      <c r="AN6" s="9" t="s">
        <v>42</v>
      </c>
      <c r="AO6" s="9"/>
      <c r="AP6" s="9" t="s">
        <v>43</v>
      </c>
      <c r="AQ6" s="9"/>
    </row>
    <row r="7" spans="1:43" x14ac:dyDescent="0.25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 t="s">
        <v>30</v>
      </c>
      <c r="AA7">
        <f>COUNTIF(N:N,$Z7)</f>
        <v>0</v>
      </c>
      <c r="AB7" s="6">
        <f>AA7/AA$11</f>
        <v>0</v>
      </c>
      <c r="AC7">
        <f>COUNTIF(Q:Q,$Z7)</f>
        <v>0</v>
      </c>
      <c r="AD7" s="6">
        <f>AC7/AC$11</f>
        <v>0</v>
      </c>
      <c r="AE7">
        <f>COUNTIF(T:T,$Z7)</f>
        <v>0</v>
      </c>
      <c r="AF7" s="6">
        <f>AE7/AE$11</f>
        <v>0</v>
      </c>
      <c r="AG7">
        <f>COUNTIF(W:W,$Z7)</f>
        <v>0</v>
      </c>
      <c r="AH7" s="6">
        <f>AG7/AG$11</f>
        <v>0</v>
      </c>
      <c r="AJ7">
        <f>COUNTA(B2:B68)-COUNTIF(B2:B68,"*TIME OUT*")-COUNTIF(B2:B68,"*ERROR*")</f>
        <v>0</v>
      </c>
      <c r="AK7" s="6">
        <f>AJ7/67</f>
        <v>0</v>
      </c>
      <c r="AL7">
        <f>COUNTIF(B2:B68,"*TIME OUT*")</f>
        <v>0</v>
      </c>
      <c r="AM7" s="6">
        <f>AL7/67</f>
        <v>0</v>
      </c>
      <c r="AN7">
        <f>COUNTIF(B2:B68,"*ERROR*")</f>
        <v>0</v>
      </c>
      <c r="AO7" s="6">
        <f>AN7/67</f>
        <v>0</v>
      </c>
      <c r="AP7">
        <f>AJ7+AL7+AN7</f>
        <v>0</v>
      </c>
      <c r="AQ7" s="6">
        <f>AK7+AM7+AO7</f>
        <v>0</v>
      </c>
    </row>
    <row r="8" spans="1:43" x14ac:dyDescent="0.25"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 t="s">
        <v>31</v>
      </c>
      <c r="AA8">
        <f>COUNTIF(N:N,$Z8)</f>
        <v>0</v>
      </c>
      <c r="AB8" s="6">
        <f>AA8/AA$11</f>
        <v>0</v>
      </c>
      <c r="AC8">
        <f>COUNTIF(Q:Q,$Z8)</f>
        <v>0</v>
      </c>
      <c r="AD8" s="6">
        <f>AC8/AC$11</f>
        <v>0</v>
      </c>
      <c r="AE8">
        <f>COUNTIF(T:T,$Z8)</f>
        <v>0</v>
      </c>
      <c r="AF8" s="6">
        <f>AE8/AE$11</f>
        <v>0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0</v>
      </c>
      <c r="AK8" s="6">
        <f>AJ8/67</f>
        <v>0</v>
      </c>
      <c r="AL8">
        <f>COUNTIF(G2:G68,"*TIME OUT*")</f>
        <v>0</v>
      </c>
      <c r="AM8" s="6">
        <f>AL8/67</f>
        <v>0</v>
      </c>
      <c r="AN8">
        <f>COUNTIF(G2:G68,"*ERROR*")</f>
        <v>0</v>
      </c>
      <c r="AO8" s="6">
        <f>AN8/67</f>
        <v>0</v>
      </c>
      <c r="AP8">
        <f>AJ8+AL8+AN8</f>
        <v>0</v>
      </c>
      <c r="AQ8" s="6">
        <f>AK8+AM8+AO8</f>
        <v>0</v>
      </c>
    </row>
    <row r="9" spans="1:43" x14ac:dyDescent="0.25"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 t="s">
        <v>32</v>
      </c>
      <c r="AA9">
        <f>COUNTIF(N:N,$Z9)</f>
        <v>1</v>
      </c>
      <c r="AB9" s="6">
        <f>AA9/AA$11</f>
        <v>1</v>
      </c>
      <c r="AC9">
        <f>COUNTIF(Q:Q,$Z9)</f>
        <v>1</v>
      </c>
      <c r="AD9" s="6">
        <f>AC9/AC$11</f>
        <v>1</v>
      </c>
      <c r="AE9">
        <f>COUNTIF(T:T,$Z9)</f>
        <v>1</v>
      </c>
      <c r="AF9" s="6">
        <f>AE9/AE$11</f>
        <v>1</v>
      </c>
      <c r="AG9">
        <f>COUNTIF(W:W,$Z9)</f>
        <v>1</v>
      </c>
      <c r="AH9" s="6">
        <f>AG9/AG$11</f>
        <v>1</v>
      </c>
    </row>
    <row r="10" spans="1:43" x14ac:dyDescent="0.25"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 t="s">
        <v>34</v>
      </c>
      <c r="AA10">
        <f>COUNTIF(N:N,$Z10)</f>
        <v>0</v>
      </c>
      <c r="AB10" s="6">
        <f>AA10/AA$11</f>
        <v>0</v>
      </c>
      <c r="AC10">
        <f>COUNTIF(Q:Q,$Z10)</f>
        <v>0</v>
      </c>
      <c r="AD10" s="6">
        <f>AC10/AC$11</f>
        <v>0</v>
      </c>
      <c r="AE10">
        <f>COUNTIF(T:T,$Z10)</f>
        <v>0</v>
      </c>
      <c r="AF10" s="6">
        <f>AE10/AE$11</f>
        <v>0</v>
      </c>
      <c r="AG10">
        <f>COUNTIF(W:W,$Z10)</f>
        <v>0</v>
      </c>
      <c r="AH10" s="6">
        <f>AG10/AG$11</f>
        <v>0</v>
      </c>
    </row>
    <row r="11" spans="1:43" x14ac:dyDescent="0.25"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 t="s">
        <v>33</v>
      </c>
      <c r="AA11">
        <f>COUNTA(N:N)-1</f>
        <v>1</v>
      </c>
      <c r="AB11" s="6">
        <f>AA11/AA$11</f>
        <v>1</v>
      </c>
      <c r="AC11">
        <f>COUNTA(O:O)-1</f>
        <v>1</v>
      </c>
      <c r="AD11" s="6">
        <f>AC11/AC$11</f>
        <v>1</v>
      </c>
      <c r="AE11">
        <f>COUNTA(P:P)-1</f>
        <v>1</v>
      </c>
      <c r="AF11" s="6">
        <f>AE11/AE$11</f>
        <v>1</v>
      </c>
      <c r="AG11">
        <f>COUNTA(Q:Q)-1</f>
        <v>1</v>
      </c>
      <c r="AH11" s="6">
        <f>AG11/AG$11</f>
        <v>1</v>
      </c>
    </row>
    <row r="12" spans="1:43" x14ac:dyDescent="0.25"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43" x14ac:dyDescent="0.25"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AA13" s="9" t="s">
        <v>26</v>
      </c>
      <c r="AB13" s="9"/>
      <c r="AC13" s="9" t="s">
        <v>27</v>
      </c>
      <c r="AD13" s="9"/>
      <c r="AE13" s="9" t="s">
        <v>28</v>
      </c>
      <c r="AF13" s="9"/>
      <c r="AG13" s="9" t="s">
        <v>29</v>
      </c>
      <c r="AH13" s="9"/>
    </row>
    <row r="14" spans="1:43" x14ac:dyDescent="0.25"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 t="s">
        <v>30</v>
      </c>
      <c r="AA14">
        <f>COUNTIF(N:N,$Z7)-COUNTIFS(N:N,$Z7,O:O,"--")</f>
        <v>0</v>
      </c>
      <c r="AB14" s="6">
        <f>AA14/AA$11</f>
        <v>0</v>
      </c>
      <c r="AC14">
        <f>COUNTIF(Q:Q,$Z7)-COUNTIFS(Q:Q,$Z7,R:R,"--")</f>
        <v>0</v>
      </c>
      <c r="AD14" s="6">
        <f>AC14/AC$11</f>
        <v>0</v>
      </c>
      <c r="AE14">
        <f>COUNTIF(T:T,$Z7)-COUNTIFS(T:T,$Z7,U:U,"--")</f>
        <v>0</v>
      </c>
      <c r="AF14" s="6">
        <f>AE14/AE$11</f>
        <v>0</v>
      </c>
      <c r="AG14">
        <f>COUNTIF(W:W,$Z7)-COUNTIFS(W:W,$Z7,X:X,"--")</f>
        <v>0</v>
      </c>
      <c r="AH14" s="6">
        <f>AG14/AG$11</f>
        <v>0</v>
      </c>
    </row>
    <row r="15" spans="1:43" x14ac:dyDescent="0.25"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 t="s">
        <v>31</v>
      </c>
      <c r="AA15">
        <f>COUNTIF(N:N,$Z8)-COUNTIFS(N:N,$Z8,O:O,"--")</f>
        <v>0</v>
      </c>
      <c r="AB15" s="6">
        <f>AA15/AA$11</f>
        <v>0</v>
      </c>
      <c r="AC15">
        <f t="shared" ref="AC15:AC16" si="1">COUNTIF(Q:Q,$Z8)-COUNTIFS(Q:Q,$Z8,R:R,"--")</f>
        <v>0</v>
      </c>
      <c r="AD15" s="6">
        <f>AC15/AC$11</f>
        <v>0</v>
      </c>
      <c r="AE15">
        <f t="shared" ref="AE15:AE16" si="2">COUNTIF(T:T,$Z8)-COUNTIFS(T:T,$Z8,U:U,"--")</f>
        <v>0</v>
      </c>
      <c r="AF15" s="6">
        <f>AE15/AE$11</f>
        <v>0</v>
      </c>
      <c r="AG15">
        <f t="shared" ref="AG15:AG16" si="3">COUNTIF(W:W,$Z8)-COUNTIFS(W:W,$Z8,X:X,"--")</f>
        <v>0</v>
      </c>
      <c r="AH15" s="6">
        <f>AG15/AG$11</f>
        <v>0</v>
      </c>
    </row>
    <row r="16" spans="1:43" x14ac:dyDescent="0.25"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 t="s">
        <v>32</v>
      </c>
      <c r="AA16">
        <f t="shared" ref="AA16" si="4">COUNTIF(N:N,$Z9)-COUNTIFS(N:N,$Z9,O:O,"--")</f>
        <v>1</v>
      </c>
      <c r="AB16" s="6">
        <f>AA16/AA$11</f>
        <v>1</v>
      </c>
      <c r="AC16">
        <f t="shared" si="1"/>
        <v>1</v>
      </c>
      <c r="AD16" s="6">
        <f>AC16/AC$11</f>
        <v>1</v>
      </c>
      <c r="AE16">
        <f t="shared" si="2"/>
        <v>1</v>
      </c>
      <c r="AF16" s="6">
        <f>AE16/AE$11</f>
        <v>1</v>
      </c>
      <c r="AG16">
        <f t="shared" si="3"/>
        <v>1</v>
      </c>
      <c r="AH16" s="6">
        <f>AG16/AG$11</f>
        <v>1</v>
      </c>
    </row>
    <row r="17" spans="12:34" x14ac:dyDescent="0.25"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 t="s">
        <v>34</v>
      </c>
      <c r="AA17">
        <f>COUNTIF(O:O,"--")</f>
        <v>0</v>
      </c>
      <c r="AB17" s="6">
        <f>AA17/AA$11</f>
        <v>0</v>
      </c>
      <c r="AC17">
        <f>COUNTIF(R:R,"--")</f>
        <v>0</v>
      </c>
      <c r="AD17" s="6">
        <f>AC17/AC$11</f>
        <v>0</v>
      </c>
      <c r="AE17">
        <f>COUNTIF(U:U,"--")</f>
        <v>0</v>
      </c>
      <c r="AF17" s="6">
        <f>AE17/AE$11</f>
        <v>0</v>
      </c>
      <c r="AG17">
        <f>COUNTIF(X:X,"--")</f>
        <v>0</v>
      </c>
      <c r="AH17" s="6">
        <f>AG17/AG$11</f>
        <v>0</v>
      </c>
    </row>
    <row r="18" spans="12:34" x14ac:dyDescent="0.25"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 t="s">
        <v>33</v>
      </c>
      <c r="AA18">
        <f>COUNTA(N:N)-1</f>
        <v>1</v>
      </c>
      <c r="AB18" s="6">
        <f>AA18/AA$11</f>
        <v>1</v>
      </c>
      <c r="AC18">
        <f>COUNTA(O:O)-1</f>
        <v>1</v>
      </c>
      <c r="AD18" s="6">
        <f>AC18/AC$11</f>
        <v>1</v>
      </c>
      <c r="AE18">
        <f>COUNTA(P:P)-1</f>
        <v>1</v>
      </c>
      <c r="AF18" s="6">
        <f>AE18/AE$11</f>
        <v>1</v>
      </c>
      <c r="AG18">
        <f>COUNTA(Q:Q)-1</f>
        <v>1</v>
      </c>
      <c r="AH18" s="6">
        <f>AG18/AG$11</f>
        <v>1</v>
      </c>
    </row>
    <row r="19" spans="12:34" x14ac:dyDescent="0.25"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AD19">
        <f>COUNTIF(W:W,$Z8)-COUNTIFS(W:W,$Z8,V:V,"--")</f>
        <v>0</v>
      </c>
    </row>
    <row r="20" spans="12:34" x14ac:dyDescent="0.25"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2:34" x14ac:dyDescent="0.25"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2:34" x14ac:dyDescent="0.25"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2:34" x14ac:dyDescent="0.25"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2:34" x14ac:dyDescent="0.25"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2:34" x14ac:dyDescent="0.25"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t="s">
        <v>44</v>
      </c>
    </row>
    <row r="26" spans="12:34" x14ac:dyDescent="0.25"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t="str">
        <f>Z7&amp;": "&amp;AJ7&amp;" "&amp;AJ6&amp;" ("&amp;TEXT(AK7,"0.00%")&amp;"), "&amp;AL7&amp;" "&amp;AL6&amp;" ("&amp;TEXT(AM7,"0.00%")&amp;"), "&amp;AN7&amp;" "&amp;AN6&amp;" ("&amp;TEXT(AO7,"0.00%")&amp;")."</f>
        <v>RC: 0 Successes (0.00%), 0 Timeouts (0.00%), 0 Errors (0.00%).</v>
      </c>
    </row>
    <row r="27" spans="12:34" x14ac:dyDescent="0.25"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t="str">
        <f>Z8&amp;": "&amp;AJ8&amp;" "&amp;AJ6&amp;" ("&amp;TEXT(AK8,"0.00%")&amp;"), "&amp;AL8&amp;" "&amp;AL6&amp;" ("&amp;TEXT(AM8,"0.00%")&amp;"), "&amp;AN8&amp;" "&amp;AN6&amp;" ("&amp;TEXT(AO8,"0.00%")&amp;")."</f>
        <v>QE: 0 Successes (0.00%), 0 Timeouts (0.00%), 0 Errors (0.00%).</v>
      </c>
    </row>
    <row r="28" spans="12:34" x14ac:dyDescent="0.25"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2:34" x14ac:dyDescent="0.25"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t="s">
        <v>45</v>
      </c>
    </row>
    <row r="30" spans="12:34" x14ac:dyDescent="0.25"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t="str">
        <f>Z7&amp;": "&amp;AC7&amp;" ("&amp;TEXT(AD7,"0.00%")&amp;"), "&amp;AC14&amp;" actual ("&amp;TEXT(AD14,"0.00%")&amp;")"</f>
        <v>RC: 0 (0.00%), 0 actual (0.00%)</v>
      </c>
    </row>
    <row r="31" spans="12:34" x14ac:dyDescent="0.25"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t="str">
        <f>Z8&amp;": "&amp;AC8&amp;" ("&amp;TEXT(AD8,"0.00%")&amp;"), "&amp;AC15&amp;" actual ("&amp;TEXT(AD15,"0.00%")&amp;")"</f>
        <v>QE: 0 (0.00%), 0 actual (0.00%)</v>
      </c>
    </row>
    <row r="32" spans="12:34" x14ac:dyDescent="0.25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2:26" x14ac:dyDescent="0.25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t="s">
        <v>46</v>
      </c>
    </row>
    <row r="34" spans="12:26" x14ac:dyDescent="0.25"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t="str">
        <f>Z7&amp;": "&amp;AG7&amp;" ("&amp;TEXT(AH7,"0.00%")&amp;"), "&amp;AG14&amp;" actual ("&amp;TEXT(AH14,"0.00%")&amp;")"</f>
        <v>RC: 0 (0.00%), 0 actual (0.00%)</v>
      </c>
    </row>
    <row r="35" spans="12:26" x14ac:dyDescent="0.25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t="str">
        <f>Z8&amp;": "&amp;AG8&amp;" ("&amp;TEXT(AH8,"0.00%")&amp;"), "&amp;AG15&amp;" actual ("&amp;TEXT(AH15,"0.00%")&amp;")"</f>
        <v>QE: 0 (0.00%), 0 actual (0.00%)</v>
      </c>
    </row>
    <row r="36" spans="12:26" x14ac:dyDescent="0.25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2:26" x14ac:dyDescent="0.25"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2:26" x14ac:dyDescent="0.25"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2:26" x14ac:dyDescent="0.25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2:26" x14ac:dyDescent="0.25"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2:26" x14ac:dyDescent="0.25"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2:26" x14ac:dyDescent="0.25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2:26" x14ac:dyDescent="0.25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2:26" x14ac:dyDescent="0.25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2:26" x14ac:dyDescent="0.25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2:26" x14ac:dyDescent="0.25"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2:26" x14ac:dyDescent="0.25"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2:26" x14ac:dyDescent="0.25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2:25" x14ac:dyDescent="0.25"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2:25" x14ac:dyDescent="0.25"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2:25" x14ac:dyDescent="0.25"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2:25" x14ac:dyDescent="0.25"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2:25" x14ac:dyDescent="0.25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2:25" x14ac:dyDescent="0.25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2:25" x14ac:dyDescent="0.25"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2:25" x14ac:dyDescent="0.25"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2:25" x14ac:dyDescent="0.25"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2:25" x14ac:dyDescent="0.25"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2:25" x14ac:dyDescent="0.25"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2:25" x14ac:dyDescent="0.25"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2:25" x14ac:dyDescent="0.25"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2:25" x14ac:dyDescent="0.25"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2:25" x14ac:dyDescent="0.25"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2:25" x14ac:dyDescent="0.25"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2:25" x14ac:dyDescent="0.25"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2:25" x14ac:dyDescent="0.25"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2:25" x14ac:dyDescent="0.25"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2:25" x14ac:dyDescent="0.25"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70" spans="12:25" x14ac:dyDescent="0.25">
      <c r="N70" s="5"/>
    </row>
  </sheetData>
  <autoFilter ref="A1:K68" xr:uid="{68567C89-2050-46DB-ABA2-146424013801}"/>
  <mergeCells count="12"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  <mergeCell ref="AL6:AM6"/>
  </mergeCells>
  <conditionalFormatting sqref="A1:K68">
    <cfRule type="containsText" dxfId="40" priority="5" operator="containsText" text="ERROR">
      <formula>NOT(ISERROR(SEARCH("ERROR",A1)))</formula>
    </cfRule>
    <cfRule type="containsText" dxfId="39" priority="11" operator="containsText" text="TIME OUT">
      <formula>NOT(ISERROR(SEARCH("TIME OUT",A1)))</formula>
    </cfRule>
  </conditionalFormatting>
  <conditionalFormatting sqref="L2:L69 L71:L1048576">
    <cfRule type="cellIs" dxfId="38" priority="7" operator="equal">
      <formula>TRUE</formula>
    </cfRule>
  </conditionalFormatting>
  <conditionalFormatting sqref="L1:S1 X1">
    <cfRule type="containsText" dxfId="37" priority="6" operator="containsText" text="TIME OUT">
      <formula>NOT(ISERROR(SEARCH("TIME OUT",L1)))</formula>
    </cfRule>
  </conditionalFormatting>
  <conditionalFormatting sqref="Y1 L2:Y69 N70 L71:Y1048576">
    <cfRule type="cellIs" dxfId="36" priority="8" operator="equal">
      <formula>"QE"</formula>
    </cfRule>
    <cfRule type="cellIs" dxfId="35" priority="9" operator="equal">
      <formula>"RC"</formula>
    </cfRule>
  </conditionalFormatting>
  <conditionalFormatting sqref="Y1:AG1">
    <cfRule type="containsText" dxfId="34" priority="10" operator="containsText" text="TIME OUT">
      <formula>NOT(ISERROR(SEARCH("TIME OUT",Y1)))</formula>
    </cfRule>
  </conditionalFormatting>
  <conditionalFormatting sqref="Z7:Z11">
    <cfRule type="cellIs" dxfId="33" priority="3" operator="equal">
      <formula>"QE"</formula>
    </cfRule>
    <cfRule type="cellIs" dxfId="32" priority="4" operator="equal">
      <formula>"RC"</formula>
    </cfRule>
  </conditionalFormatting>
  <conditionalFormatting sqref="Z14:Z18">
    <cfRule type="cellIs" dxfId="31" priority="1" operator="equal">
      <formula>"QE"</formula>
    </cfRule>
    <cfRule type="cellIs" dxfId="30" priority="2" operator="equal">
      <formula>"RC"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85CA-D87F-4980-BF1E-6D3E1B06F0E1}">
  <dimension ref="A1:AQ70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7.85546875" bestFit="1" customWidth="1"/>
    <col min="2" max="2" width="25.28515625" bestFit="1" customWidth="1"/>
    <col min="3" max="3" width="14.42578125" bestFit="1" customWidth="1"/>
    <col min="4" max="4" width="14.5703125" bestFit="1" customWidth="1"/>
    <col min="5" max="5" width="15.140625" bestFit="1" customWidth="1"/>
    <col min="6" max="6" width="11.42578125" bestFit="1" customWidth="1"/>
    <col min="7" max="7" width="25.28515625" bestFit="1" customWidth="1"/>
    <col min="8" max="8" width="15.28515625" bestFit="1" customWidth="1"/>
    <col min="9" max="9" width="15.5703125" bestFit="1" customWidth="1"/>
    <col min="10" max="10" width="16" bestFit="1" customWidth="1"/>
    <col min="11" max="11" width="12.28515625" bestFit="1" customWidth="1"/>
    <col min="12" max="12" width="15.140625" bestFit="1" customWidth="1"/>
    <col min="13" max="13" width="12.28515625" bestFit="1" customWidth="1"/>
    <col min="14" max="14" width="6" bestFit="1" customWidth="1"/>
    <col min="15" max="15" width="10.28515625" bestFit="1" customWidth="1"/>
    <col min="16" max="16" width="12" bestFit="1" customWidth="1"/>
    <col min="17" max="17" width="4.42578125" bestFit="1" customWidth="1"/>
    <col min="18" max="18" width="10.28515625" bestFit="1" customWidth="1"/>
    <col min="19" max="19" width="12.28515625" bestFit="1" customWidth="1"/>
    <col min="20" max="20" width="4.42578125" bestFit="1" customWidth="1"/>
    <col min="21" max="21" width="10.28515625" bestFit="1" customWidth="1"/>
    <col min="22" max="22" width="8.7109375" bestFit="1" customWidth="1"/>
    <col min="23" max="23" width="4.42578125" bestFit="1" customWidth="1"/>
    <col min="24" max="24" width="10.28515625" bestFit="1" customWidth="1"/>
    <col min="25" max="25" width="10.28515625" customWidth="1"/>
    <col min="26" max="37" width="13.28515625" customWidth="1"/>
  </cols>
  <sheetData>
    <row r="1" spans="1:43" s="4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</v>
      </c>
      <c r="R1" s="2" t="s">
        <v>14</v>
      </c>
      <c r="S1" s="2" t="s">
        <v>16</v>
      </c>
      <c r="T1" s="2" t="s">
        <v>13</v>
      </c>
      <c r="U1" s="2" t="s">
        <v>14</v>
      </c>
      <c r="V1" s="2" t="s">
        <v>17</v>
      </c>
      <c r="W1" s="2" t="s">
        <v>13</v>
      </c>
      <c r="X1" s="2" t="s">
        <v>14</v>
      </c>
      <c r="Y1" s="3"/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tr">
        <f>M1&amp;"_avg"</f>
        <v>memory diff_avg</v>
      </c>
      <c r="AI1" s="2" t="str">
        <f>P1&amp;"_avg"</f>
        <v>cputime diff_avg</v>
      </c>
      <c r="AJ1" s="2" t="str">
        <f>S1&amp;"_avg"</f>
        <v>realtime diff_avg</v>
      </c>
      <c r="AK1" s="2" t="str">
        <f>V1&amp;"_avg"</f>
        <v>cells diff_avg</v>
      </c>
    </row>
    <row r="2" spans="1:43" x14ac:dyDescent="0.25">
      <c r="L2" s="5" t="b">
        <f>IF(OR(ISNUMBER(SEARCH("ERROR", B2)), ISNUMBER(SEARCH("ERROR", G2)), ISNUMBER(SEARCH("TIME OUT", B2)), ISNUMBER(SEARCH("TIME OUT", G2))), "--", B2=G2)</f>
        <v>1</v>
      </c>
      <c r="M2" s="5">
        <f>IF(OR(ISNUMBER(SEARCH("ERROR", C2)), ISNUMBER(SEARCH("ERROR", H2)), ISNUMBER(SEARCH("TIME OUT", C2)), ISNUMBER(SEARCH("TIME OUT", H2))),"--",C2-H2)</f>
        <v>0</v>
      </c>
      <c r="N2" s="5" t="str">
        <f>IF(AND(OR(ISNUMBER(SEARCH("TIME OUT", C2)), ISNUMBER(SEARCH("ERROR", C2))), OR(ISNUMBER(SEARCH("TIME OUT", H2)), ISNUMBER(SEARCH("ERROR", H2)))), "--", IF(OR(ISNUMBER(SEARCH("TIME OUT", C2)), ISNUMBER(SEARCH("ERROR", C2))), "QE", IF(OR(ISNUMBER(SEARCH("TIME OUT", H2)), ISNUMBER(SEARCH("ERROR", H2))), "RC", IF(M2=0, "TIE", IF(M2&gt;0, "QE", "RC")))))</f>
        <v>TIE</v>
      </c>
      <c r="O2" s="5" t="e">
        <f>IF(M2="--","--",TEXT(MIN(C2,H2)/MAX(C2,H2),"0.000%"))</f>
        <v>#DIV/0!</v>
      </c>
      <c r="P2" s="5">
        <f>IF(OR(ISNUMBER(SEARCH("ERROR", D2)), ISNUMBER(SEARCH("ERROR", I2)), ISNUMBER(SEARCH("TIME OUT", D2)), ISNUMBER(SEARCH("TIME OUT", I2))),"--",D2-I2)</f>
        <v>0</v>
      </c>
      <c r="Q2" s="5" t="str">
        <f>IF(AND(OR(ISNUMBER(SEARCH("TIME OUT", D2)), ISNUMBER(SEARCH("ERROR", D2))), OR(ISNUMBER(SEARCH("TIME OUT", I2)), ISNUMBER(SEARCH("ERROR", I2)))), "--", IF(OR(ISNUMBER(SEARCH("TIME OUT", D2)), ISNUMBER(SEARCH("ERROR", D2))), "QE", IF(OR(ISNUMBER(SEARCH("TIME OUT", I2)), ISNUMBER(SEARCH("ERROR", I2))), "RC", IF(P2=0, "TIE", IF(P2&gt;0, "QE", "RC")))))</f>
        <v>TIE</v>
      </c>
      <c r="R2" s="5" t="e">
        <f>IF(P2="--","--",TEXT(MIN(D2,I2)/MAX(D2,I2),"0.000%"))</f>
        <v>#DIV/0!</v>
      </c>
      <c r="S2" s="5">
        <f>IF(OR(ISNUMBER(SEARCH("ERROR", E2)), ISNUMBER(SEARCH("ERROR", J2)), ISNUMBER(SEARCH("TIME OUT", E2)), ISNUMBER(SEARCH("TIME OUT", J2))),"--",E2-J2)</f>
        <v>0</v>
      </c>
      <c r="T2" s="5" t="str">
        <f>IF(AND(OR(ISNUMBER(SEARCH("TIME OUT", E2)), ISNUMBER(SEARCH("ERROR", E2))), OR(ISNUMBER(SEARCH("TIME OUT", J2)), ISNUMBER(SEARCH("ERROR", J2)))), "--", IF(OR(ISNUMBER(SEARCH("TIME OUT", E2)), ISNUMBER(SEARCH("ERROR", E2))), "QE", IF(OR(ISNUMBER(SEARCH("TIME OUT", J2)), ISNUMBER(SEARCH("ERROR", J2))), "RC", IF(S2=0, "TIE", IF(S2&gt;0, "QE", "RC")))))</f>
        <v>TIE</v>
      </c>
      <c r="U2" s="5" t="e">
        <f>IF(S2="--","--",TEXT(MIN(E2,J2)/MAX(E2,J2),"0.000%"))</f>
        <v>#DIV/0!</v>
      </c>
      <c r="V2" s="5">
        <f>IF(OR(ISNUMBER(SEARCH("ERROR", F2)), ISNUMBER(SEARCH("ERROR", K2)), ISNUMBER(SEARCH("TIME OUT", F2)), ISNUMBER(SEARCH("TIME OUT", K2))),"--",F2-K2)</f>
        <v>0</v>
      </c>
      <c r="W2" s="5" t="str">
        <f>IF(AND(OR(ISNUMBER(SEARCH("TIME OUT", F2)), ISNUMBER(SEARCH("ERROR", F2))), OR(ISNUMBER(SEARCH("TIME OUT", K2)), ISNUMBER(SEARCH("ERROR", K2)))), "--", IF(OR(ISNUMBER(SEARCH("TIME OUT", F2)), ISNUMBER(SEARCH("ERROR", F2))), "QE", IF(OR(ISNUMBER(SEARCH("TIME OUT", K2)), ISNUMBER(SEARCH("ERROR", K2))), "RC", IF(V2=0, "TIE", IF(V2&gt;0, "QE", "RC")))))</f>
        <v>TIE</v>
      </c>
      <c r="X2" s="5" t="e">
        <f>IF(V2="--","--",TEXT(MIN(F2,K2)/MAX(F2,K2),"0.000%"))</f>
        <v>#DIV/0!</v>
      </c>
      <c r="Y2" s="5"/>
      <c r="Z2" t="e">
        <f>AVERAGE(C:C)</f>
        <v>#DIV/0!</v>
      </c>
      <c r="AA2" t="e">
        <f>AVERAGE(D:D)</f>
        <v>#DIV/0!</v>
      </c>
      <c r="AB2" t="e">
        <f>AVERAGE(E:E)</f>
        <v>#DIV/0!</v>
      </c>
      <c r="AC2" t="e">
        <f>AVERAGE(F:F)</f>
        <v>#DIV/0!</v>
      </c>
      <c r="AD2" t="e">
        <f>AVERAGE(H:H)</f>
        <v>#DIV/0!</v>
      </c>
      <c r="AE2" t="e">
        <f t="shared" ref="AE2:AG2" si="0">AVERAGE(I:I)</f>
        <v>#DIV/0!</v>
      </c>
      <c r="AF2" t="e">
        <f t="shared" si="0"/>
        <v>#DIV/0!</v>
      </c>
      <c r="AG2" t="e">
        <f t="shared" si="0"/>
        <v>#DIV/0!</v>
      </c>
      <c r="AH2">
        <f>AVERAGE(M2)</f>
        <v>0</v>
      </c>
      <c r="AI2">
        <f>AVERAGE(P2)</f>
        <v>0</v>
      </c>
      <c r="AJ2">
        <f>AVERAGE(S2)</f>
        <v>0</v>
      </c>
      <c r="AK2">
        <f>AVERAGE(V2)</f>
        <v>0</v>
      </c>
    </row>
    <row r="3" spans="1:43" x14ac:dyDescent="0.25"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43" x14ac:dyDescent="0.25"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43" x14ac:dyDescent="0.25"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43" x14ac:dyDescent="0.25"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A6" s="9" t="s">
        <v>26</v>
      </c>
      <c r="AB6" s="9"/>
      <c r="AC6" s="9" t="s">
        <v>27</v>
      </c>
      <c r="AD6" s="9"/>
      <c r="AE6" s="9" t="s">
        <v>28</v>
      </c>
      <c r="AF6" s="9"/>
      <c r="AG6" s="9" t="s">
        <v>29</v>
      </c>
      <c r="AH6" s="9"/>
      <c r="AJ6" s="9" t="s">
        <v>40</v>
      </c>
      <c r="AK6" s="9"/>
      <c r="AL6" s="9" t="s">
        <v>41</v>
      </c>
      <c r="AM6" s="9"/>
      <c r="AN6" s="9" t="s">
        <v>42</v>
      </c>
      <c r="AO6" s="9"/>
      <c r="AP6" s="9" t="s">
        <v>43</v>
      </c>
      <c r="AQ6" s="9"/>
    </row>
    <row r="7" spans="1:43" x14ac:dyDescent="0.25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 t="s">
        <v>30</v>
      </c>
      <c r="AA7">
        <f>COUNTIF(N:N,$Z7)</f>
        <v>0</v>
      </c>
      <c r="AB7" s="6">
        <f>AA7/AA$11</f>
        <v>0</v>
      </c>
      <c r="AC7">
        <f>COUNTIF(Q:Q,$Z7)</f>
        <v>0</v>
      </c>
      <c r="AD7" s="6">
        <f>AC7/AC$11</f>
        <v>0</v>
      </c>
      <c r="AE7">
        <f>COUNTIF(T:T,$Z7)</f>
        <v>0</v>
      </c>
      <c r="AF7" s="6">
        <f>AE7/AE$11</f>
        <v>0</v>
      </c>
      <c r="AG7">
        <f>COUNTIF(W:W,$Z7)</f>
        <v>0</v>
      </c>
      <c r="AH7" s="6">
        <f>AG7/AG$11</f>
        <v>0</v>
      </c>
      <c r="AJ7">
        <f>COUNTA(B2:B68)-COUNTIF(B2:B68,"*TIME OUT*")-COUNTIF(B2:B68,"*ERROR*")</f>
        <v>0</v>
      </c>
      <c r="AK7" s="6">
        <f>AJ7/67</f>
        <v>0</v>
      </c>
      <c r="AL7">
        <f>COUNTIF(B2:B68,"*TIME OUT*")</f>
        <v>0</v>
      </c>
      <c r="AM7" s="6">
        <f>AL7/67</f>
        <v>0</v>
      </c>
      <c r="AN7">
        <f>COUNTIF(B2:B68,"*ERROR*")</f>
        <v>0</v>
      </c>
      <c r="AO7" s="6">
        <f>AN7/67</f>
        <v>0</v>
      </c>
      <c r="AP7">
        <f>AJ7+AL7+AN7</f>
        <v>0</v>
      </c>
      <c r="AQ7" s="6">
        <f>AK7+AM7+AO7</f>
        <v>0</v>
      </c>
    </row>
    <row r="8" spans="1:43" x14ac:dyDescent="0.25"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 t="s">
        <v>31</v>
      </c>
      <c r="AA8">
        <f>COUNTIF(N:N,$Z8)</f>
        <v>0</v>
      </c>
      <c r="AB8" s="6">
        <f>AA8/AA$11</f>
        <v>0</v>
      </c>
      <c r="AC8">
        <f>COUNTIF(Q:Q,$Z8)</f>
        <v>0</v>
      </c>
      <c r="AD8" s="6">
        <f>AC8/AC$11</f>
        <v>0</v>
      </c>
      <c r="AE8">
        <f>COUNTIF(T:T,$Z8)</f>
        <v>0</v>
      </c>
      <c r="AF8" s="6">
        <f>AE8/AE$11</f>
        <v>0</v>
      </c>
      <c r="AG8">
        <f>COUNTIF(W:W,$Z8)</f>
        <v>0</v>
      </c>
      <c r="AH8" s="6">
        <f>AG8/AG$11</f>
        <v>0</v>
      </c>
      <c r="AJ8">
        <f>COUNTA(G2:G68)-COUNTIF(G2:G68,"*TIME OUT*")-COUNTIF(G2:G68,"*ERROR*")</f>
        <v>0</v>
      </c>
      <c r="AK8" s="6">
        <f>AJ8/67</f>
        <v>0</v>
      </c>
      <c r="AL8">
        <f>COUNTIF(G2:G68,"*TIME OUT*")</f>
        <v>0</v>
      </c>
      <c r="AM8" s="6">
        <f>AL8/67</f>
        <v>0</v>
      </c>
      <c r="AN8">
        <f>COUNTIF(G2:G68,"*ERROR*")</f>
        <v>0</v>
      </c>
      <c r="AO8" s="6">
        <f>AN8/67</f>
        <v>0</v>
      </c>
      <c r="AP8">
        <f>AJ8+AL8+AN8</f>
        <v>0</v>
      </c>
      <c r="AQ8" s="6">
        <f>AK8+AM8+AO8</f>
        <v>0</v>
      </c>
    </row>
    <row r="9" spans="1:43" x14ac:dyDescent="0.25"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 t="s">
        <v>32</v>
      </c>
      <c r="AA9">
        <f>COUNTIF(N:N,$Z9)</f>
        <v>1</v>
      </c>
      <c r="AB9" s="6">
        <f>AA9/AA$11</f>
        <v>1</v>
      </c>
      <c r="AC9">
        <f>COUNTIF(Q:Q,$Z9)</f>
        <v>1</v>
      </c>
      <c r="AD9" s="6">
        <f>AC9/AC$11</f>
        <v>1</v>
      </c>
      <c r="AE9">
        <f>COUNTIF(T:T,$Z9)</f>
        <v>1</v>
      </c>
      <c r="AF9" s="6">
        <f>AE9/AE$11</f>
        <v>1</v>
      </c>
      <c r="AG9">
        <f>COUNTIF(W:W,$Z9)</f>
        <v>1</v>
      </c>
      <c r="AH9" s="6">
        <f>AG9/AG$11</f>
        <v>1</v>
      </c>
    </row>
    <row r="10" spans="1:43" x14ac:dyDescent="0.25"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 t="s">
        <v>34</v>
      </c>
      <c r="AA10">
        <f>COUNTIF(N:N,$Z10)</f>
        <v>0</v>
      </c>
      <c r="AB10" s="6">
        <f>AA10/AA$11</f>
        <v>0</v>
      </c>
      <c r="AC10">
        <f>COUNTIF(Q:Q,$Z10)</f>
        <v>0</v>
      </c>
      <c r="AD10" s="6">
        <f>AC10/AC$11</f>
        <v>0</v>
      </c>
      <c r="AE10">
        <f>COUNTIF(T:T,$Z10)</f>
        <v>0</v>
      </c>
      <c r="AF10" s="6">
        <f>AE10/AE$11</f>
        <v>0</v>
      </c>
      <c r="AG10">
        <f>COUNTIF(W:W,$Z10)</f>
        <v>0</v>
      </c>
      <c r="AH10" s="6">
        <f>AG10/AG$11</f>
        <v>0</v>
      </c>
    </row>
    <row r="11" spans="1:43" x14ac:dyDescent="0.25"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 t="s">
        <v>33</v>
      </c>
      <c r="AA11">
        <f>COUNTA(N:N)-1</f>
        <v>1</v>
      </c>
      <c r="AB11" s="6">
        <f>AA11/AA$11</f>
        <v>1</v>
      </c>
      <c r="AC11">
        <f>COUNTA(O:O)-1</f>
        <v>1</v>
      </c>
      <c r="AD11" s="6">
        <f>AC11/AC$11</f>
        <v>1</v>
      </c>
      <c r="AE11">
        <f>COUNTA(P:P)-1</f>
        <v>1</v>
      </c>
      <c r="AF11" s="6">
        <f>AE11/AE$11</f>
        <v>1</v>
      </c>
      <c r="AG11">
        <f>COUNTA(Q:Q)-1</f>
        <v>1</v>
      </c>
      <c r="AH11" s="6">
        <f>AG11/AG$11</f>
        <v>1</v>
      </c>
    </row>
    <row r="12" spans="1:43" x14ac:dyDescent="0.25"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43" x14ac:dyDescent="0.25"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AA13" s="9" t="s">
        <v>26</v>
      </c>
      <c r="AB13" s="9"/>
      <c r="AC13" s="9" t="s">
        <v>27</v>
      </c>
      <c r="AD13" s="9"/>
      <c r="AE13" s="9" t="s">
        <v>28</v>
      </c>
      <c r="AF13" s="9"/>
      <c r="AG13" s="9" t="s">
        <v>29</v>
      </c>
      <c r="AH13" s="9"/>
    </row>
    <row r="14" spans="1:43" x14ac:dyDescent="0.25"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 t="s">
        <v>30</v>
      </c>
      <c r="AA14">
        <f>COUNTIF(N:N,$Z7)-COUNTIFS(N:N,$Z7,O:O,"--")</f>
        <v>0</v>
      </c>
      <c r="AB14" s="6">
        <f>AA14/AA$11</f>
        <v>0</v>
      </c>
      <c r="AC14">
        <f>COUNTIF(Q:Q,$Z7)-COUNTIFS(Q:Q,$Z7,R:R,"--")</f>
        <v>0</v>
      </c>
      <c r="AD14" s="6">
        <f>AC14/AC$11</f>
        <v>0</v>
      </c>
      <c r="AE14">
        <f>COUNTIF(T:T,$Z7)-COUNTIFS(T:T,$Z7,U:U,"--")</f>
        <v>0</v>
      </c>
      <c r="AF14" s="6">
        <f>AE14/AE$11</f>
        <v>0</v>
      </c>
      <c r="AG14">
        <f>COUNTIF(W:W,$Z7)-COUNTIFS(W:W,$Z7,X:X,"--")</f>
        <v>0</v>
      </c>
      <c r="AH14" s="6">
        <f>AG14/AG$11</f>
        <v>0</v>
      </c>
    </row>
    <row r="15" spans="1:43" x14ac:dyDescent="0.25"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 t="s">
        <v>31</v>
      </c>
      <c r="AA15">
        <f>COUNTIF(N:N,$Z8)-COUNTIFS(N:N,$Z8,O:O,"--")</f>
        <v>0</v>
      </c>
      <c r="AB15" s="6">
        <f>AA15/AA$11</f>
        <v>0</v>
      </c>
      <c r="AC15">
        <f t="shared" ref="AC15:AC16" si="1">COUNTIF(Q:Q,$Z8)-COUNTIFS(Q:Q,$Z8,R:R,"--")</f>
        <v>0</v>
      </c>
      <c r="AD15" s="6">
        <f>AC15/AC$11</f>
        <v>0</v>
      </c>
      <c r="AE15">
        <f t="shared" ref="AE15:AE16" si="2">COUNTIF(T:T,$Z8)-COUNTIFS(T:T,$Z8,U:U,"--")</f>
        <v>0</v>
      </c>
      <c r="AF15" s="6">
        <f>AE15/AE$11</f>
        <v>0</v>
      </c>
      <c r="AG15">
        <f t="shared" ref="AG15:AG16" si="3">COUNTIF(W:W,$Z8)-COUNTIFS(W:W,$Z8,X:X,"--")</f>
        <v>0</v>
      </c>
      <c r="AH15" s="6">
        <f>AG15/AG$11</f>
        <v>0</v>
      </c>
    </row>
    <row r="16" spans="1:43" x14ac:dyDescent="0.25"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 t="s">
        <v>32</v>
      </c>
      <c r="AA16">
        <f t="shared" ref="AA16" si="4">COUNTIF(N:N,$Z9)-COUNTIFS(N:N,$Z9,O:O,"--")</f>
        <v>1</v>
      </c>
      <c r="AB16" s="6">
        <f>AA16/AA$11</f>
        <v>1</v>
      </c>
      <c r="AC16">
        <f t="shared" si="1"/>
        <v>1</v>
      </c>
      <c r="AD16" s="6">
        <f>AC16/AC$11</f>
        <v>1</v>
      </c>
      <c r="AE16">
        <f t="shared" si="2"/>
        <v>1</v>
      </c>
      <c r="AF16" s="6">
        <f>AE16/AE$11</f>
        <v>1</v>
      </c>
      <c r="AG16">
        <f t="shared" si="3"/>
        <v>1</v>
      </c>
      <c r="AH16" s="6">
        <f>AG16/AG$11</f>
        <v>1</v>
      </c>
    </row>
    <row r="17" spans="12:34" x14ac:dyDescent="0.25"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 t="s">
        <v>34</v>
      </c>
      <c r="AA17">
        <f>COUNTIF(O:O,"--")</f>
        <v>0</v>
      </c>
      <c r="AB17" s="6">
        <f>AA17/AA$11</f>
        <v>0</v>
      </c>
      <c r="AC17">
        <f>COUNTIF(R:R,"--")</f>
        <v>0</v>
      </c>
      <c r="AD17" s="6">
        <f>AC17/AC$11</f>
        <v>0</v>
      </c>
      <c r="AE17">
        <f>COUNTIF(U:U,"--")</f>
        <v>0</v>
      </c>
      <c r="AF17" s="6">
        <f>AE17/AE$11</f>
        <v>0</v>
      </c>
      <c r="AG17">
        <f>COUNTIF(X:X,"--")</f>
        <v>0</v>
      </c>
      <c r="AH17" s="6">
        <f>AG17/AG$11</f>
        <v>0</v>
      </c>
    </row>
    <row r="18" spans="12:34" x14ac:dyDescent="0.25"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 t="s">
        <v>33</v>
      </c>
      <c r="AA18">
        <f>COUNTA(N:N)-1</f>
        <v>1</v>
      </c>
      <c r="AB18" s="6">
        <f>AA18/AA$11</f>
        <v>1</v>
      </c>
      <c r="AC18">
        <f>COUNTA(O:O)-1</f>
        <v>1</v>
      </c>
      <c r="AD18" s="6">
        <f>AC18/AC$11</f>
        <v>1</v>
      </c>
      <c r="AE18">
        <f>COUNTA(P:P)-1</f>
        <v>1</v>
      </c>
      <c r="AF18" s="6">
        <f>AE18/AE$11</f>
        <v>1</v>
      </c>
      <c r="AG18">
        <f>COUNTA(Q:Q)-1</f>
        <v>1</v>
      </c>
      <c r="AH18" s="6">
        <f>AG18/AG$11</f>
        <v>1</v>
      </c>
    </row>
    <row r="19" spans="12:34" x14ac:dyDescent="0.25"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AD19">
        <f>COUNTIF(W:W,$Z8)-COUNTIFS(W:W,$Z8,V:V,"--")</f>
        <v>0</v>
      </c>
    </row>
    <row r="20" spans="12:34" x14ac:dyDescent="0.25"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2:34" x14ac:dyDescent="0.25"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2:34" x14ac:dyDescent="0.25"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2:34" x14ac:dyDescent="0.25"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2:34" x14ac:dyDescent="0.25"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2:34" x14ac:dyDescent="0.25"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t="s">
        <v>44</v>
      </c>
    </row>
    <row r="26" spans="12:34" x14ac:dyDescent="0.25"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t="str">
        <f>Z7&amp;": "&amp;AJ7&amp;" "&amp;AJ6&amp;" ("&amp;TEXT(AK7,"0.00%")&amp;"), "&amp;AL7&amp;" "&amp;AL6&amp;" ("&amp;TEXT(AM7,"0.00%")&amp;"), "&amp;AN7&amp;" "&amp;AN6&amp;" ("&amp;TEXT(AO7,"0.00%")&amp;")."</f>
        <v>RC: 0 Successes (0.00%), 0 Timeouts (0.00%), 0 Errors (0.00%).</v>
      </c>
    </row>
    <row r="27" spans="12:34" x14ac:dyDescent="0.25"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t="str">
        <f>Z8&amp;": "&amp;AJ8&amp;" "&amp;AJ6&amp;" ("&amp;TEXT(AK8,"0.00%")&amp;"), "&amp;AL8&amp;" "&amp;AL6&amp;" ("&amp;TEXT(AM8,"0.00%")&amp;"), "&amp;AN8&amp;" "&amp;AN6&amp;" ("&amp;TEXT(AO8,"0.00%")&amp;")."</f>
        <v>QE: 0 Successes (0.00%), 0 Timeouts (0.00%), 0 Errors (0.00%).</v>
      </c>
    </row>
    <row r="28" spans="12:34" x14ac:dyDescent="0.25"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2:34" x14ac:dyDescent="0.25"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t="s">
        <v>45</v>
      </c>
    </row>
    <row r="30" spans="12:34" x14ac:dyDescent="0.25"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t="str">
        <f>Z7&amp;": "&amp;AC7&amp;" ("&amp;TEXT(AD7,"0.00%")&amp;"), "&amp;AC14&amp;" actual ("&amp;TEXT(AD14,"0.00%")&amp;")"</f>
        <v>RC: 0 (0.00%), 0 actual (0.00%)</v>
      </c>
    </row>
    <row r="31" spans="12:34" x14ac:dyDescent="0.25"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t="str">
        <f>Z8&amp;": "&amp;AC8&amp;" ("&amp;TEXT(AD8,"0.00%")&amp;"), "&amp;AC15&amp;" actual ("&amp;TEXT(AD15,"0.00%")&amp;")"</f>
        <v>QE: 0 (0.00%), 0 actual (0.00%)</v>
      </c>
    </row>
    <row r="32" spans="12:34" x14ac:dyDescent="0.25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2:26" x14ac:dyDescent="0.25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t="s">
        <v>46</v>
      </c>
    </row>
    <row r="34" spans="12:26" x14ac:dyDescent="0.25"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t="str">
        <f>Z7&amp;": "&amp;AG7&amp;" ("&amp;TEXT(AH7,"0.00%")&amp;"), "&amp;AG14&amp;" actual ("&amp;TEXT(AH14,"0.00%")&amp;")"</f>
        <v>RC: 0 (0.00%), 0 actual (0.00%)</v>
      </c>
    </row>
    <row r="35" spans="12:26" x14ac:dyDescent="0.25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t="str">
        <f>Z8&amp;": "&amp;AG8&amp;" ("&amp;TEXT(AH8,"0.00%")&amp;"), "&amp;AG15&amp;" actual ("&amp;TEXT(AH15,"0.00%")&amp;")"</f>
        <v>QE: 0 (0.00%), 0 actual (0.00%)</v>
      </c>
    </row>
    <row r="36" spans="12:26" x14ac:dyDescent="0.25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2:26" x14ac:dyDescent="0.25"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2:26" x14ac:dyDescent="0.25"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2:26" x14ac:dyDescent="0.25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2:26" x14ac:dyDescent="0.25"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2:26" x14ac:dyDescent="0.25"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2:26" x14ac:dyDescent="0.25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2:26" x14ac:dyDescent="0.25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2:26" x14ac:dyDescent="0.25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2:26" x14ac:dyDescent="0.25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2:26" x14ac:dyDescent="0.25"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2:26" x14ac:dyDescent="0.25"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2:26" x14ac:dyDescent="0.25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2:25" x14ac:dyDescent="0.25"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2:25" x14ac:dyDescent="0.25"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2:25" x14ac:dyDescent="0.25"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2:25" x14ac:dyDescent="0.25"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2:25" x14ac:dyDescent="0.25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2:25" x14ac:dyDescent="0.25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2:25" x14ac:dyDescent="0.25"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2:25" x14ac:dyDescent="0.25"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2:25" x14ac:dyDescent="0.25"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2:25" x14ac:dyDescent="0.25"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2:25" x14ac:dyDescent="0.25"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2:25" x14ac:dyDescent="0.25"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2:25" x14ac:dyDescent="0.25"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2:25" x14ac:dyDescent="0.25"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2:25" x14ac:dyDescent="0.25"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2:25" x14ac:dyDescent="0.25"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2:25" x14ac:dyDescent="0.25"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2:25" x14ac:dyDescent="0.25"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2:25" x14ac:dyDescent="0.25"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2:25" x14ac:dyDescent="0.25"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70" spans="12:25" x14ac:dyDescent="0.25">
      <c r="N70" s="5"/>
    </row>
  </sheetData>
  <autoFilter ref="A1:K68" xr:uid="{68567C89-2050-46DB-ABA2-146424013801}"/>
  <mergeCells count="12">
    <mergeCell ref="AN6:AO6"/>
    <mergeCell ref="AP6:AQ6"/>
    <mergeCell ref="AA13:AB13"/>
    <mergeCell ref="AC13:AD13"/>
    <mergeCell ref="AE13:AF13"/>
    <mergeCell ref="AG13:AH13"/>
    <mergeCell ref="AA6:AB6"/>
    <mergeCell ref="AC6:AD6"/>
    <mergeCell ref="AE6:AF6"/>
    <mergeCell ref="AG6:AH6"/>
    <mergeCell ref="AJ6:AK6"/>
    <mergeCell ref="AL6:AM6"/>
  </mergeCells>
  <conditionalFormatting sqref="A1:K68">
    <cfRule type="containsText" dxfId="29" priority="5" operator="containsText" text="ERROR">
      <formula>NOT(ISERROR(SEARCH("ERROR",A1)))</formula>
    </cfRule>
    <cfRule type="containsText" dxfId="28" priority="11" operator="containsText" text="TIME OUT">
      <formula>NOT(ISERROR(SEARCH("TIME OUT",A1)))</formula>
    </cfRule>
  </conditionalFormatting>
  <conditionalFormatting sqref="L2:L69 L71:L1048576">
    <cfRule type="cellIs" dxfId="27" priority="7" operator="equal">
      <formula>TRUE</formula>
    </cfRule>
  </conditionalFormatting>
  <conditionalFormatting sqref="L1:S1 X1">
    <cfRule type="containsText" dxfId="26" priority="6" operator="containsText" text="TIME OUT">
      <formula>NOT(ISERROR(SEARCH("TIME OUT",L1)))</formula>
    </cfRule>
  </conditionalFormatting>
  <conditionalFormatting sqref="Y1 L2:Y69 N70 L71:Y1048576">
    <cfRule type="cellIs" dxfId="25" priority="8" operator="equal">
      <formula>"QE"</formula>
    </cfRule>
    <cfRule type="cellIs" dxfId="24" priority="9" operator="equal">
      <formula>"RC"</formula>
    </cfRule>
  </conditionalFormatting>
  <conditionalFormatting sqref="Y1:AG1">
    <cfRule type="containsText" dxfId="23" priority="10" operator="containsText" text="TIME OUT">
      <formula>NOT(ISERROR(SEARCH("TIME OUT",Y1)))</formula>
    </cfRule>
  </conditionalFormatting>
  <conditionalFormatting sqref="Z7:Z11">
    <cfRule type="cellIs" dxfId="22" priority="3" operator="equal">
      <formula>"QE"</formula>
    </cfRule>
    <cfRule type="cellIs" dxfId="21" priority="4" operator="equal">
      <formula>"RC"</formula>
    </cfRule>
  </conditionalFormatting>
  <conditionalFormatting sqref="Z14:Z18">
    <cfRule type="cellIs" dxfId="20" priority="1" operator="equal">
      <formula>"QE"</formula>
    </cfRule>
    <cfRule type="cellIs" dxfId="19" priority="2" operator="equal">
      <formula>"RC"</formula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132C-7D7D-4A12-A744-CAE4034ADC7E}">
  <dimension ref="A1:AF70"/>
  <sheetViews>
    <sheetView zoomScale="80" zoomScaleNormal="80" workbookViewId="0">
      <pane ySplit="2" topLeftCell="A3" activePane="bottomLeft" state="frozen"/>
      <selection pane="bottomLeft" activeCell="B2" sqref="B2:M2"/>
    </sheetView>
  </sheetViews>
  <sheetFormatPr defaultRowHeight="15" x14ac:dyDescent="0.25"/>
  <cols>
    <col min="1" max="1" width="10.140625" bestFit="1" customWidth="1"/>
    <col min="13" max="13" width="9.140625" customWidth="1"/>
    <col min="14" max="14" width="5.42578125" customWidth="1"/>
    <col min="15" max="15" width="4" customWidth="1"/>
    <col min="16" max="16" width="35.140625" customWidth="1"/>
    <col min="17" max="17" width="134.85546875" bestFit="1" customWidth="1"/>
    <col min="18" max="18" width="2.7109375" customWidth="1"/>
    <col min="19" max="19" width="40.28515625" customWidth="1"/>
  </cols>
  <sheetData>
    <row r="1" spans="1:32" x14ac:dyDescent="0.25">
      <c r="A1" s="1" t="s">
        <v>0</v>
      </c>
      <c r="B1" s="11" t="s">
        <v>47</v>
      </c>
      <c r="C1" s="11"/>
      <c r="D1" s="11"/>
      <c r="E1" s="11"/>
      <c r="F1" s="11"/>
      <c r="G1" s="12"/>
      <c r="H1" s="11" t="s">
        <v>48</v>
      </c>
      <c r="I1" s="11"/>
      <c r="J1" s="11"/>
      <c r="K1" s="11"/>
      <c r="L1" s="11"/>
      <c r="M1" s="11"/>
    </row>
    <row r="2" spans="1:32" x14ac:dyDescent="0.25">
      <c r="A2" s="1" t="s">
        <v>0</v>
      </c>
      <c r="B2" s="13" t="s">
        <v>72</v>
      </c>
      <c r="C2" s="13" t="s">
        <v>73</v>
      </c>
      <c r="D2" s="13" t="s">
        <v>74</v>
      </c>
      <c r="E2" s="13" t="s">
        <v>75</v>
      </c>
      <c r="F2" s="13" t="s">
        <v>76</v>
      </c>
      <c r="G2" s="13" t="s">
        <v>77</v>
      </c>
      <c r="H2" s="13" t="s">
        <v>78</v>
      </c>
      <c r="I2" s="13" t="s">
        <v>79</v>
      </c>
      <c r="J2" s="13" t="s">
        <v>80</v>
      </c>
      <c r="K2" s="13" t="s">
        <v>81</v>
      </c>
      <c r="L2" s="13" t="s">
        <v>82</v>
      </c>
      <c r="M2" s="13" t="s">
        <v>83</v>
      </c>
      <c r="P2" s="13" t="s">
        <v>49</v>
      </c>
      <c r="Q2" s="13" t="s">
        <v>50</v>
      </c>
      <c r="R2" s="13"/>
    </row>
    <row r="3" spans="1:32" x14ac:dyDescent="0.25">
      <c r="A3">
        <v>17</v>
      </c>
      <c r="B3" s="14" t="e">
        <f>VLOOKUP($A3,'1'!$A:$D,4,0)</f>
        <v>#N/A</v>
      </c>
      <c r="C3" s="14" t="e">
        <f>VLOOKUP($A3,'2'!$A:$E,5,0)</f>
        <v>#N/A</v>
      </c>
      <c r="D3" s="14" t="e">
        <f>VLOOKUP($A3,'3'!$A:$E,5,0)</f>
        <v>#N/A</v>
      </c>
      <c r="E3" s="14" t="e">
        <f>VLOOKUP($A3,'4'!$A:$E,5,0)</f>
        <v>#N/A</v>
      </c>
      <c r="F3" s="14" t="e">
        <f>VLOOKUP($A3,'5'!$A:$E,5,0)</f>
        <v>#N/A</v>
      </c>
      <c r="G3" s="15" t="e">
        <f>VLOOKUP($A3,'6'!$A:$E,5,0)</f>
        <v>#N/A</v>
      </c>
      <c r="H3" s="14" t="e">
        <f>VLOOKUP($A3,'1'!$A:$J,10,0)</f>
        <v>#N/A</v>
      </c>
      <c r="I3" s="14" t="e">
        <f>VLOOKUP($A3,'2'!$A:$J,10,0)</f>
        <v>#N/A</v>
      </c>
      <c r="J3" s="14" t="e">
        <f>VLOOKUP($A3,'3'!$A:$J,10,0)</f>
        <v>#N/A</v>
      </c>
      <c r="K3" s="14" t="e">
        <f>VLOOKUP($A3,'4'!$A:$J,10,0)</f>
        <v>#N/A</v>
      </c>
      <c r="L3" s="14" t="e">
        <f>VLOOKUP($A3,'5'!$A:$J,10,0)</f>
        <v>#N/A</v>
      </c>
      <c r="M3" s="14" t="e">
        <f>VLOOKUP($A3,'6'!$A:$J,10,0)</f>
        <v>#N/A</v>
      </c>
      <c r="N3" s="5" t="e">
        <f>IF(MATCH(MIN($B3:$M3),$B3:$M3,0)&gt;6,"QE","RC")</f>
        <v>#N/A</v>
      </c>
      <c r="O3" s="5" t="e">
        <f>MATCH(MIN($B3:$M3),$B3:$M3,0)</f>
        <v>#N/A</v>
      </c>
      <c r="P3" s="16" t="e">
        <f>IF(LEFT(B3,5)="ERROR","1: "&amp;VLOOKUP(B3,$S$31:$T$34,2,0)&amp;". ","")&amp;IF(LEFT(C3,5)="ERROR","2: "&amp;VLOOKUP(C3,$S$31:$T$34,2,0)&amp;". ","")&amp;IF(LEFT(D3,5)="ERROR","3: "&amp;VLOOKUP(D3,$S$31:$T$34,2,0)&amp;". ","")&amp;IF(LEFT(E3,5)="ERROR","4: "&amp;VLOOKUP(E3,$S$31:$T$34,2,0)&amp;". ","")&amp;IF(LEFT(F3,5)="ERROR","5: "&amp;VLOOKUP(F3,$S$31:$T$34,2,0)&amp;". ","")&amp;IF(LEFT(G3,5)="ERROR","6: "&amp;G3,"")</f>
        <v>#N/A</v>
      </c>
      <c r="Q3" s="16" t="e">
        <f>IF(LEFT(H3,5)="ERROR","1: "&amp;VLOOKUP(H3,$S$31:$T$34,2,0)&amp;". ","")&amp;IF(LEFT(I3,5)="ERROR","2: "&amp;VLOOKUP(I3,$S$31:$T$34,2,0)&amp;". ","")&amp;IF(LEFT(J3,5)="ERROR","3: "&amp;VLOOKUP(J3,$S$31:$T$34,2,0)&amp;". ","")&amp;IF(LEFT(K3,5)="ERROR","4: "&amp;VLOOKUP(K3,$S$31:$T$34,2,0)&amp;". ","")&amp;IF(LEFT(L3,5)="ERROR","5: "&amp;VLOOKUP(L3,$S$31:$T$34,2,0)&amp;". ","")&amp;IF(LEFT(M3,5)="ERROR","6: "&amp;M3,"")</f>
        <v>#N/A</v>
      </c>
      <c r="R3" s="17" t="s">
        <v>51</v>
      </c>
      <c r="S3" s="5"/>
      <c r="T3" s="11" t="s">
        <v>52</v>
      </c>
      <c r="U3" s="11"/>
    </row>
    <row r="4" spans="1:32" x14ac:dyDescent="0.25">
      <c r="A4">
        <v>19</v>
      </c>
      <c r="B4" s="14" t="e">
        <f>VLOOKUP($A4,'1'!$A:$D,4,0)</f>
        <v>#N/A</v>
      </c>
      <c r="C4" s="14" t="e">
        <f>VLOOKUP($A4,'2'!$A:$D,4,0)</f>
        <v>#N/A</v>
      </c>
      <c r="D4" s="14" t="e">
        <f>VLOOKUP($A4,'3'!$A:$D,4,0)</f>
        <v>#N/A</v>
      </c>
      <c r="E4" s="14" t="e">
        <f>VLOOKUP($A4,'4'!$A:$D,4,0)</f>
        <v>#N/A</v>
      </c>
      <c r="F4" s="14" t="e">
        <f>VLOOKUP($A4,'5'!$A:$D,4,0)</f>
        <v>#N/A</v>
      </c>
      <c r="G4" s="15" t="e">
        <f>VLOOKUP($A4,'6'!$A:$D,4,0)</f>
        <v>#N/A</v>
      </c>
      <c r="H4" s="14" t="e">
        <f>VLOOKUP($A4,'1'!$A:$J,10,0)</f>
        <v>#N/A</v>
      </c>
      <c r="I4" s="14" t="e">
        <f>VLOOKUP($A4,'2'!$A:$J,10,0)</f>
        <v>#N/A</v>
      </c>
      <c r="J4" s="14" t="e">
        <f>VLOOKUP($A4,'3'!$A:$J,10,0)</f>
        <v>#N/A</v>
      </c>
      <c r="K4" s="14" t="e">
        <f>VLOOKUP($A4,'4'!$A:$J,10,0)</f>
        <v>#N/A</v>
      </c>
      <c r="L4" s="14" t="e">
        <f>VLOOKUP($A4,'5'!$A:$J,10,0)</f>
        <v>#N/A</v>
      </c>
      <c r="M4" s="14" t="e">
        <f>VLOOKUP($A4,'6'!$A:$J,10,0)</f>
        <v>#N/A</v>
      </c>
      <c r="N4" s="5" t="e">
        <f t="shared" ref="N4:N67" si="0">IF(MATCH(MIN($B4:$M4),$B4:$M4,0)&gt;6,"QE","RC")</f>
        <v>#N/A</v>
      </c>
      <c r="O4" s="5" t="e">
        <f t="shared" ref="O4:O67" si="1">MATCH(MIN($B4:$M4),$B4:$M4,0)</f>
        <v>#N/A</v>
      </c>
      <c r="P4" s="16" t="e">
        <f t="shared" ref="P4:P67" si="2">IF(LEFT(B4,5)="ERROR","1: "&amp;VLOOKUP(B4,$S$31:$T$34,2,0)&amp;". ","")&amp;IF(LEFT(C4,5)="ERROR","2: "&amp;VLOOKUP(C4,$S$31:$T$34,2,0)&amp;". ","")&amp;IF(LEFT(D4,5)="ERROR","3: "&amp;VLOOKUP(D4,$S$31:$T$34,2,0)&amp;". ","")&amp;IF(LEFT(E4,5)="ERROR","4: "&amp;VLOOKUP(E4,$S$31:$T$34,2,0)&amp;". ","")&amp;IF(LEFT(F4,5)="ERROR","5: "&amp;VLOOKUP(F4,$S$31:$T$34,2,0)&amp;". ","")&amp;IF(LEFT(G4,5)="ERROR","6: "&amp;G4,"")</f>
        <v>#N/A</v>
      </c>
      <c r="Q4" s="16" t="e">
        <f t="shared" ref="Q4:Q67" si="3">IF(LEFT(H4,5)="ERROR","1: "&amp;VLOOKUP(H4,$S$31:$T$34,2,0)&amp;". ","")&amp;IF(LEFT(I4,5)="ERROR","2: "&amp;VLOOKUP(I4,$S$31:$T$34,2,0)&amp;". ","")&amp;IF(LEFT(J4,5)="ERROR","3: "&amp;VLOOKUP(J4,$S$31:$T$34,2,0)&amp;". ","")&amp;IF(LEFT(K4,5)="ERROR","4: "&amp;VLOOKUP(K4,$S$31:$T$34,2,0)&amp;". ","")&amp;IF(LEFT(L4,5)="ERROR","5: "&amp;VLOOKUP(L4,$S$31:$T$34,2,0)&amp;". ","")&amp;IF(LEFT(M4,5)="ERROR","6: "&amp;M4,"")</f>
        <v>#N/A</v>
      </c>
      <c r="R4" s="17" t="s">
        <v>51</v>
      </c>
      <c r="S4" s="5"/>
      <c r="T4" s="5" t="s">
        <v>30</v>
      </c>
      <c r="U4" s="5" t="s">
        <v>31</v>
      </c>
      <c r="W4" t="s">
        <v>53</v>
      </c>
      <c r="X4" t="s">
        <v>54</v>
      </c>
    </row>
    <row r="5" spans="1:32" x14ac:dyDescent="0.25">
      <c r="A5">
        <v>20</v>
      </c>
      <c r="B5" s="14" t="e">
        <f>VLOOKUP($A5,'1'!$A:$D,4,0)</f>
        <v>#N/A</v>
      </c>
      <c r="C5" s="14" t="e">
        <f>VLOOKUP($A5,'2'!$A:$D,4,0)</f>
        <v>#N/A</v>
      </c>
      <c r="D5" s="14" t="e">
        <f>VLOOKUP($A5,'3'!$A:$D,4,0)</f>
        <v>#N/A</v>
      </c>
      <c r="E5" s="14" t="e">
        <f>VLOOKUP($A5,'4'!$A:$D,4,0)</f>
        <v>#N/A</v>
      </c>
      <c r="F5" s="14" t="e">
        <f>VLOOKUP($A5,'5'!$A:$D,4,0)</f>
        <v>#N/A</v>
      </c>
      <c r="G5" s="15" t="e">
        <f>VLOOKUP($A5,'6'!$A:$D,4,0)</f>
        <v>#N/A</v>
      </c>
      <c r="H5" s="14" t="e">
        <f>VLOOKUP($A5,'1'!$A:$J,10,0)</f>
        <v>#N/A</v>
      </c>
      <c r="I5" s="14" t="e">
        <f>VLOOKUP($A5,'2'!$A:$J,10,0)</f>
        <v>#N/A</v>
      </c>
      <c r="J5" s="14" t="e">
        <f>VLOOKUP($A5,'3'!$A:$J,10,0)</f>
        <v>#N/A</v>
      </c>
      <c r="K5" s="14" t="e">
        <f>VLOOKUP($A5,'4'!$A:$J,10,0)</f>
        <v>#N/A</v>
      </c>
      <c r="L5" s="14" t="e">
        <f>VLOOKUP($A5,'5'!$A:$J,10,0)</f>
        <v>#N/A</v>
      </c>
      <c r="M5" s="14" t="e">
        <f>VLOOKUP($A5,'6'!$A:$J,10,0)</f>
        <v>#N/A</v>
      </c>
      <c r="N5" s="5" t="e">
        <f t="shared" si="0"/>
        <v>#N/A</v>
      </c>
      <c r="O5" s="5" t="e">
        <f t="shared" si="1"/>
        <v>#N/A</v>
      </c>
      <c r="P5" s="16" t="e">
        <f t="shared" si="2"/>
        <v>#N/A</v>
      </c>
      <c r="Q5" s="16" t="e">
        <f t="shared" si="3"/>
        <v>#N/A</v>
      </c>
      <c r="R5" s="17" t="s">
        <v>51</v>
      </c>
      <c r="S5" s="5"/>
      <c r="T5">
        <f>COUNTIF($N:$N,T4)</f>
        <v>0</v>
      </c>
      <c r="U5">
        <f>COUNTIF($N:$N,U4)</f>
        <v>0</v>
      </c>
    </row>
    <row r="6" spans="1:32" x14ac:dyDescent="0.25">
      <c r="A6">
        <v>22</v>
      </c>
      <c r="B6" s="14" t="e">
        <f>VLOOKUP($A6,'1'!$A:$D,4,0)</f>
        <v>#N/A</v>
      </c>
      <c r="C6" s="14" t="e">
        <f>VLOOKUP($A6,'2'!$A:$D,4,0)</f>
        <v>#N/A</v>
      </c>
      <c r="D6" s="14" t="e">
        <f>VLOOKUP($A6,'3'!$A:$D,4,0)</f>
        <v>#N/A</v>
      </c>
      <c r="E6" s="14" t="e">
        <f>VLOOKUP($A6,'4'!$A:$D,4,0)</f>
        <v>#N/A</v>
      </c>
      <c r="F6" s="14" t="e">
        <f>VLOOKUP($A6,'5'!$A:$D,4,0)</f>
        <v>#N/A</v>
      </c>
      <c r="G6" s="15" t="e">
        <f>VLOOKUP($A6,'6'!$A:$D,4,0)</f>
        <v>#N/A</v>
      </c>
      <c r="H6" s="14" t="e">
        <f>VLOOKUP($A6,'1'!$A:$J,10,0)</f>
        <v>#N/A</v>
      </c>
      <c r="I6" s="14" t="e">
        <f>VLOOKUP($A6,'2'!$A:$J,10,0)</f>
        <v>#N/A</v>
      </c>
      <c r="J6" s="14" t="e">
        <f>VLOOKUP($A6,'3'!$A:$J,10,0)</f>
        <v>#N/A</v>
      </c>
      <c r="K6" s="14" t="e">
        <f>VLOOKUP($A6,'4'!$A:$J,10,0)</f>
        <v>#N/A</v>
      </c>
      <c r="L6" s="14" t="e">
        <f>VLOOKUP($A6,'5'!$A:$J,10,0)</f>
        <v>#N/A</v>
      </c>
      <c r="M6" s="14" t="e">
        <f>VLOOKUP($A6,'6'!$A:$J,10,0)</f>
        <v>#N/A</v>
      </c>
      <c r="N6" s="5" t="e">
        <f t="shared" si="0"/>
        <v>#N/A</v>
      </c>
      <c r="O6" s="5" t="e">
        <f t="shared" si="1"/>
        <v>#N/A</v>
      </c>
      <c r="P6" s="16" t="e">
        <f t="shared" si="2"/>
        <v>#N/A</v>
      </c>
      <c r="Q6" s="16" t="e">
        <f t="shared" si="3"/>
        <v>#N/A</v>
      </c>
      <c r="R6" s="17" t="s">
        <v>51</v>
      </c>
      <c r="S6" s="5"/>
      <c r="T6" s="11" t="s">
        <v>52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2" x14ac:dyDescent="0.25">
      <c r="A7">
        <v>23</v>
      </c>
      <c r="B7" s="14" t="e">
        <f>VLOOKUP($A7,'1'!$A:$D,4,0)</f>
        <v>#N/A</v>
      </c>
      <c r="C7" s="14" t="e">
        <f>VLOOKUP($A7,'2'!$A:$D,4,0)</f>
        <v>#N/A</v>
      </c>
      <c r="D7" s="14" t="e">
        <f>VLOOKUP($A7,'3'!$A:$D,4,0)</f>
        <v>#N/A</v>
      </c>
      <c r="E7" s="14" t="e">
        <f>VLOOKUP($A7,'4'!$A:$D,4,0)</f>
        <v>#N/A</v>
      </c>
      <c r="F7" s="14" t="e">
        <f>VLOOKUP($A7,'5'!$A:$D,4,0)</f>
        <v>#N/A</v>
      </c>
      <c r="G7" s="15" t="e">
        <f>VLOOKUP($A7,'6'!$A:$D,4,0)</f>
        <v>#N/A</v>
      </c>
      <c r="H7" s="14" t="e">
        <f>VLOOKUP($A7,'1'!$A:$J,10,0)</f>
        <v>#N/A</v>
      </c>
      <c r="I7" s="14" t="e">
        <f>VLOOKUP($A7,'2'!$A:$J,10,0)</f>
        <v>#N/A</v>
      </c>
      <c r="J7" s="14" t="e">
        <f>VLOOKUP($A7,'3'!$A:$J,10,0)</f>
        <v>#N/A</v>
      </c>
      <c r="K7" s="14" t="e">
        <f>VLOOKUP($A7,'4'!$A:$J,10,0)</f>
        <v>#N/A</v>
      </c>
      <c r="L7" s="14" t="e">
        <f>VLOOKUP($A7,'5'!$A:$J,10,0)</f>
        <v>#N/A</v>
      </c>
      <c r="M7" s="14" t="e">
        <f>VLOOKUP($A7,'6'!$A:$J,10,0)</f>
        <v>#N/A</v>
      </c>
      <c r="N7" s="5" t="e">
        <f t="shared" si="0"/>
        <v>#N/A</v>
      </c>
      <c r="O7" s="5" t="e">
        <f t="shared" si="1"/>
        <v>#N/A</v>
      </c>
      <c r="P7" s="16" t="e">
        <f t="shared" si="2"/>
        <v>#N/A</v>
      </c>
      <c r="Q7" s="16" t="e">
        <f t="shared" si="3"/>
        <v>#N/A</v>
      </c>
      <c r="R7" s="17" t="s">
        <v>51</v>
      </c>
      <c r="S7" s="5"/>
      <c r="T7" s="18" t="s">
        <v>30</v>
      </c>
      <c r="U7" s="18"/>
      <c r="V7" s="18"/>
      <c r="W7" s="18"/>
      <c r="X7" s="18"/>
      <c r="Y7" s="18"/>
      <c r="Z7" s="18" t="s">
        <v>31</v>
      </c>
      <c r="AA7" s="18"/>
      <c r="AB7" s="18"/>
      <c r="AC7" s="18"/>
      <c r="AD7" s="18"/>
      <c r="AE7" s="18"/>
    </row>
    <row r="8" spans="1:32" x14ac:dyDescent="0.25">
      <c r="A8">
        <v>25</v>
      </c>
      <c r="B8" s="14" t="e">
        <f>VLOOKUP($A8,'1'!$A:$D,4,0)</f>
        <v>#N/A</v>
      </c>
      <c r="C8" s="14" t="e">
        <f>VLOOKUP($A8,'2'!$A:$D,4,0)</f>
        <v>#N/A</v>
      </c>
      <c r="D8" s="14" t="e">
        <f>VLOOKUP($A8,'3'!$A:$D,4,0)</f>
        <v>#N/A</v>
      </c>
      <c r="E8" s="14" t="e">
        <f>VLOOKUP($A8,'4'!$A:$D,4,0)</f>
        <v>#N/A</v>
      </c>
      <c r="F8" s="14" t="e">
        <f>VLOOKUP($A8,'5'!$A:$D,4,0)</f>
        <v>#N/A</v>
      </c>
      <c r="G8" s="15" t="e">
        <f>VLOOKUP($A8,'6'!$A:$D,4,0)</f>
        <v>#N/A</v>
      </c>
      <c r="H8" s="14" t="e">
        <f>VLOOKUP($A8,'1'!$A:$J,10,0)</f>
        <v>#N/A</v>
      </c>
      <c r="I8" s="14" t="e">
        <f>VLOOKUP($A8,'2'!$A:$J,10,0)</f>
        <v>#N/A</v>
      </c>
      <c r="J8" s="14" t="e">
        <f>VLOOKUP($A8,'3'!$A:$J,10,0)</f>
        <v>#N/A</v>
      </c>
      <c r="K8" s="14" t="e">
        <f>VLOOKUP($A8,'4'!$A:$J,10,0)</f>
        <v>#N/A</v>
      </c>
      <c r="L8" s="14" t="e">
        <f>VLOOKUP($A8,'5'!$A:$J,10,0)</f>
        <v>#N/A</v>
      </c>
      <c r="M8" s="14" t="e">
        <f>VLOOKUP($A8,'6'!$A:$J,10,0)</f>
        <v>#N/A</v>
      </c>
      <c r="N8" s="5" t="e">
        <f t="shared" si="0"/>
        <v>#N/A</v>
      </c>
      <c r="O8" s="5" t="e">
        <f t="shared" si="1"/>
        <v>#N/A</v>
      </c>
      <c r="P8" s="16" t="e">
        <f t="shared" si="2"/>
        <v>#N/A</v>
      </c>
      <c r="Q8" s="16" t="e">
        <f t="shared" si="3"/>
        <v>#N/A</v>
      </c>
      <c r="R8" s="17" t="s">
        <v>51</v>
      </c>
      <c r="S8" s="5"/>
      <c r="T8" s="13">
        <v>1</v>
      </c>
      <c r="U8" s="13">
        <v>2</v>
      </c>
      <c r="V8" s="13">
        <v>3</v>
      </c>
      <c r="W8" s="13">
        <v>4</v>
      </c>
      <c r="X8" s="13">
        <v>5</v>
      </c>
      <c r="Y8" s="13">
        <v>6</v>
      </c>
      <c r="Z8" s="13">
        <v>1</v>
      </c>
      <c r="AA8" s="13">
        <v>2</v>
      </c>
      <c r="AB8" s="13">
        <v>3</v>
      </c>
      <c r="AC8" s="13">
        <v>4</v>
      </c>
      <c r="AD8" s="13">
        <v>5</v>
      </c>
      <c r="AE8" s="13">
        <v>6</v>
      </c>
    </row>
    <row r="9" spans="1:32" x14ac:dyDescent="0.25">
      <c r="A9">
        <v>26</v>
      </c>
      <c r="B9" s="14" t="e">
        <f>VLOOKUP($A9,'1'!$A:$D,4,0)</f>
        <v>#N/A</v>
      </c>
      <c r="C9" s="14" t="e">
        <f>VLOOKUP($A9,'2'!$A:$D,4,0)</f>
        <v>#N/A</v>
      </c>
      <c r="D9" s="14" t="e">
        <f>VLOOKUP($A9,'3'!$A:$D,4,0)</f>
        <v>#N/A</v>
      </c>
      <c r="E9" s="14" t="e">
        <f>VLOOKUP($A9,'4'!$A:$D,4,0)</f>
        <v>#N/A</v>
      </c>
      <c r="F9" s="14" t="e">
        <f>VLOOKUP($A9,'5'!$A:$D,4,0)</f>
        <v>#N/A</v>
      </c>
      <c r="G9" s="15" t="e">
        <f>VLOOKUP($A9,'6'!$A:$D,4,0)</f>
        <v>#N/A</v>
      </c>
      <c r="H9" s="14" t="e">
        <f>VLOOKUP($A9,'1'!$A:$J,10,0)</f>
        <v>#N/A</v>
      </c>
      <c r="I9" s="14" t="e">
        <f>VLOOKUP($A9,'2'!$A:$J,10,0)</f>
        <v>#N/A</v>
      </c>
      <c r="J9" s="14" t="e">
        <f>VLOOKUP($A9,'3'!$A:$J,10,0)</f>
        <v>#N/A</v>
      </c>
      <c r="K9" s="14" t="e">
        <f>VLOOKUP($A9,'4'!$A:$J,10,0)</f>
        <v>#N/A</v>
      </c>
      <c r="L9" s="14" t="e">
        <f>VLOOKUP($A9,'5'!$A:$J,10,0)</f>
        <v>#N/A</v>
      </c>
      <c r="M9" s="14" t="e">
        <f>VLOOKUP($A9,'6'!$A:$J,10,0)</f>
        <v>#N/A</v>
      </c>
      <c r="N9" s="5" t="e">
        <f t="shared" si="0"/>
        <v>#N/A</v>
      </c>
      <c r="O9" s="5" t="e">
        <f t="shared" si="1"/>
        <v>#N/A</v>
      </c>
      <c r="P9" s="16" t="e">
        <f t="shared" si="2"/>
        <v>#N/A</v>
      </c>
      <c r="Q9" s="16" t="e">
        <f t="shared" si="3"/>
        <v>#N/A</v>
      </c>
      <c r="R9" s="17" t="s">
        <v>51</v>
      </c>
      <c r="S9" s="5"/>
      <c r="T9" s="5">
        <f>COUNTIF($O:$O,T8)</f>
        <v>0</v>
      </c>
      <c r="U9" s="5">
        <f t="shared" ref="U9:Y9" si="4">COUNTIF($O:$O,U8)</f>
        <v>0</v>
      </c>
      <c r="V9" s="5">
        <f t="shared" si="4"/>
        <v>0</v>
      </c>
      <c r="W9" s="5">
        <f t="shared" si="4"/>
        <v>0</v>
      </c>
      <c r="X9" s="5">
        <f t="shared" si="4"/>
        <v>0</v>
      </c>
      <c r="Y9" s="5">
        <f t="shared" si="4"/>
        <v>0</v>
      </c>
      <c r="Z9" s="5">
        <f>COUNTIF($O:$O,Z8+6)</f>
        <v>0</v>
      </c>
      <c r="AA9" s="5">
        <f t="shared" ref="AA9:AE9" si="5">COUNTIF($O:$O,AA8+6)</f>
        <v>0</v>
      </c>
      <c r="AB9" s="5">
        <f t="shared" si="5"/>
        <v>0</v>
      </c>
      <c r="AC9" s="5">
        <f t="shared" si="5"/>
        <v>0</v>
      </c>
      <c r="AD9" s="5">
        <f t="shared" si="5"/>
        <v>0</v>
      </c>
      <c r="AE9" s="5">
        <f t="shared" si="5"/>
        <v>0</v>
      </c>
    </row>
    <row r="10" spans="1:32" x14ac:dyDescent="0.25">
      <c r="A10">
        <v>27</v>
      </c>
      <c r="B10" s="14" t="e">
        <f>VLOOKUP($A10,'1'!$A:$D,4,0)</f>
        <v>#N/A</v>
      </c>
      <c r="C10" s="14" t="e">
        <f>VLOOKUP($A10,'2'!$A:$D,4,0)</f>
        <v>#N/A</v>
      </c>
      <c r="D10" s="14" t="e">
        <f>VLOOKUP($A10,'3'!$A:$D,4,0)</f>
        <v>#N/A</v>
      </c>
      <c r="E10" s="14" t="e">
        <f>VLOOKUP($A10,'4'!$A:$D,4,0)</f>
        <v>#N/A</v>
      </c>
      <c r="F10" s="14" t="e">
        <f>VLOOKUP($A10,'5'!$A:$D,4,0)</f>
        <v>#N/A</v>
      </c>
      <c r="G10" s="15" t="e">
        <f>VLOOKUP($A10,'6'!$A:$D,4,0)</f>
        <v>#N/A</v>
      </c>
      <c r="H10" s="14" t="e">
        <f>VLOOKUP($A10,'1'!$A:$J,10,0)</f>
        <v>#N/A</v>
      </c>
      <c r="I10" s="14" t="e">
        <f>VLOOKUP($A10,'2'!$A:$J,10,0)</f>
        <v>#N/A</v>
      </c>
      <c r="J10" s="14" t="e">
        <f>VLOOKUP($A10,'3'!$A:$J,10,0)</f>
        <v>#N/A</v>
      </c>
      <c r="K10" s="14" t="e">
        <f>VLOOKUP($A10,'4'!$A:$J,10,0)</f>
        <v>#N/A</v>
      </c>
      <c r="L10" s="14" t="e">
        <f>VLOOKUP($A10,'5'!$A:$J,10,0)</f>
        <v>#N/A</v>
      </c>
      <c r="M10" s="14" t="e">
        <f>VLOOKUP($A10,'6'!$A:$J,10,0)</f>
        <v>#N/A</v>
      </c>
      <c r="N10" s="5" t="e">
        <f t="shared" si="0"/>
        <v>#N/A</v>
      </c>
      <c r="O10" s="5" t="e">
        <f t="shared" si="1"/>
        <v>#N/A</v>
      </c>
      <c r="P10" s="16" t="e">
        <f t="shared" si="2"/>
        <v>#N/A</v>
      </c>
      <c r="Q10" s="16" t="e">
        <f t="shared" si="3"/>
        <v>#N/A</v>
      </c>
      <c r="R10" s="17" t="s">
        <v>51</v>
      </c>
      <c r="S10" s="5"/>
      <c r="T10" s="11" t="s">
        <v>55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2" x14ac:dyDescent="0.25">
      <c r="A11">
        <v>28</v>
      </c>
      <c r="B11" s="14" t="e">
        <f>VLOOKUP($A11,'1'!$A:$D,4,0)</f>
        <v>#N/A</v>
      </c>
      <c r="C11" s="14" t="e">
        <f>VLOOKUP($A11,'2'!$A:$D,4,0)</f>
        <v>#N/A</v>
      </c>
      <c r="D11" s="14" t="e">
        <f>VLOOKUP($A11,'3'!$A:$D,4,0)</f>
        <v>#N/A</v>
      </c>
      <c r="E11" s="14" t="e">
        <f>VLOOKUP($A11,'4'!$A:$D,4,0)</f>
        <v>#N/A</v>
      </c>
      <c r="F11" s="14" t="e">
        <f>VLOOKUP($A11,'5'!$A:$D,4,0)</f>
        <v>#N/A</v>
      </c>
      <c r="G11" s="15" t="e">
        <f>VLOOKUP($A11,'6'!$A:$D,4,0)</f>
        <v>#N/A</v>
      </c>
      <c r="H11" s="14" t="e">
        <f>VLOOKUP($A11,'1'!$A:$J,10,0)</f>
        <v>#N/A</v>
      </c>
      <c r="I11" s="14" t="e">
        <f>VLOOKUP($A11,'2'!$A:$J,10,0)</f>
        <v>#N/A</v>
      </c>
      <c r="J11" s="14" t="e">
        <f>VLOOKUP($A11,'3'!$A:$J,10,0)</f>
        <v>#N/A</v>
      </c>
      <c r="K11" s="14" t="e">
        <f>VLOOKUP($A11,'4'!$A:$J,10,0)</f>
        <v>#N/A</v>
      </c>
      <c r="L11" s="14" t="e">
        <f>VLOOKUP($A11,'5'!$A:$J,10,0)</f>
        <v>#N/A</v>
      </c>
      <c r="M11" s="14" t="e">
        <f>VLOOKUP($A11,'6'!$A:$J,10,0)</f>
        <v>#N/A</v>
      </c>
      <c r="N11" s="5" t="e">
        <f t="shared" si="0"/>
        <v>#N/A</v>
      </c>
      <c r="O11" s="5" t="e">
        <f t="shared" si="1"/>
        <v>#N/A</v>
      </c>
      <c r="P11" s="16" t="e">
        <f t="shared" si="2"/>
        <v>#N/A</v>
      </c>
      <c r="Q11" s="16" t="e">
        <f t="shared" si="3"/>
        <v>#N/A</v>
      </c>
      <c r="R11" s="17" t="s">
        <v>51</v>
      </c>
      <c r="S11" s="5"/>
      <c r="T11" s="18" t="s">
        <v>30</v>
      </c>
      <c r="U11" s="18"/>
      <c r="V11" s="18"/>
      <c r="W11" s="18"/>
      <c r="X11" s="18"/>
      <c r="Y11" s="18"/>
      <c r="Z11" s="18" t="s">
        <v>31</v>
      </c>
      <c r="AA11" s="18"/>
      <c r="AB11" s="18"/>
      <c r="AC11" s="18"/>
      <c r="AD11" s="18"/>
      <c r="AE11" s="18"/>
    </row>
    <row r="12" spans="1:32" x14ac:dyDescent="0.25">
      <c r="A12">
        <v>29</v>
      </c>
      <c r="B12" s="14" t="e">
        <f>VLOOKUP($A12,'1'!$A:$D,4,0)</f>
        <v>#N/A</v>
      </c>
      <c r="C12" s="14" t="e">
        <f>VLOOKUP($A12,'2'!$A:$D,4,0)</f>
        <v>#N/A</v>
      </c>
      <c r="D12" s="14" t="e">
        <f>VLOOKUP($A12,'3'!$A:$D,4,0)</f>
        <v>#N/A</v>
      </c>
      <c r="E12" s="14" t="e">
        <f>VLOOKUP($A12,'4'!$A:$D,4,0)</f>
        <v>#N/A</v>
      </c>
      <c r="F12" s="14" t="e">
        <f>VLOOKUP($A12,'5'!$A:$D,4,0)</f>
        <v>#N/A</v>
      </c>
      <c r="G12" s="15" t="e">
        <f>VLOOKUP($A12,'6'!$A:$D,4,0)</f>
        <v>#N/A</v>
      </c>
      <c r="H12" s="14" t="e">
        <f>VLOOKUP($A12,'1'!$A:$J,10,0)</f>
        <v>#N/A</v>
      </c>
      <c r="I12" s="14" t="e">
        <f>VLOOKUP($A12,'2'!$A:$J,10,0)</f>
        <v>#N/A</v>
      </c>
      <c r="J12" s="14" t="e">
        <f>VLOOKUP($A12,'3'!$A:$J,10,0)</f>
        <v>#N/A</v>
      </c>
      <c r="K12" s="14" t="e">
        <f>VLOOKUP($A12,'4'!$A:$J,10,0)</f>
        <v>#N/A</v>
      </c>
      <c r="L12" s="14" t="e">
        <f>VLOOKUP($A12,'5'!$A:$J,10,0)</f>
        <v>#N/A</v>
      </c>
      <c r="M12" s="14" t="e">
        <f>VLOOKUP($A12,'6'!$A:$J,10,0)</f>
        <v>#N/A</v>
      </c>
      <c r="N12" s="5" t="e">
        <f t="shared" si="0"/>
        <v>#N/A</v>
      </c>
      <c r="O12" s="5" t="e">
        <f t="shared" si="1"/>
        <v>#N/A</v>
      </c>
      <c r="P12" s="16" t="e">
        <f t="shared" si="2"/>
        <v>#N/A</v>
      </c>
      <c r="Q12" s="16" t="e">
        <f t="shared" si="3"/>
        <v>#N/A</v>
      </c>
      <c r="R12" s="17" t="s">
        <v>51</v>
      </c>
      <c r="S12" s="13" t="s">
        <v>56</v>
      </c>
      <c r="T12" s="19">
        <f>(COUNTA(B3:B69)-COUNTIF(B3:B69,$W$4)-COUNTIF(B3:B69,"TIME OUT")-COUNTIF(B3:B69,"*ERROR*")-COUNTIF(B3:B69,$X$4))/COUNTA(B3:B69)</f>
        <v>1</v>
      </c>
      <c r="U12" s="19">
        <f t="shared" ref="U12:AE12" si="6">(COUNTA(C3:C69)-COUNTIF(C3:C69,$W$4)-COUNTIF(C3:C69,"TIME OUT")-COUNTIF(C3:C69,"*ERROR*")-COUNTIF(C3:C69,$X$4))/COUNTA(C3:C69)</f>
        <v>1</v>
      </c>
      <c r="V12" s="19">
        <f t="shared" si="6"/>
        <v>1</v>
      </c>
      <c r="W12" s="19">
        <f t="shared" si="6"/>
        <v>1</v>
      </c>
      <c r="X12" s="19">
        <f t="shared" si="6"/>
        <v>1</v>
      </c>
      <c r="Y12" s="19">
        <f t="shared" si="6"/>
        <v>1</v>
      </c>
      <c r="Z12" s="19">
        <f t="shared" si="6"/>
        <v>1</v>
      </c>
      <c r="AA12" s="19">
        <f t="shared" si="6"/>
        <v>1</v>
      </c>
      <c r="AB12" s="19">
        <f t="shared" si="6"/>
        <v>1</v>
      </c>
      <c r="AC12" s="19">
        <f t="shared" si="6"/>
        <v>1</v>
      </c>
      <c r="AD12" s="19">
        <f t="shared" si="6"/>
        <v>1</v>
      </c>
      <c r="AE12" s="19">
        <f t="shared" si="6"/>
        <v>1</v>
      </c>
      <c r="AF12" s="20"/>
    </row>
    <row r="13" spans="1:32" x14ac:dyDescent="0.25">
      <c r="A13">
        <v>30</v>
      </c>
      <c r="B13" s="14" t="e">
        <f>VLOOKUP($A13,'1'!$A:$D,4,0)</f>
        <v>#N/A</v>
      </c>
      <c r="C13" s="14" t="e">
        <f>VLOOKUP($A13,'2'!$A:$D,4,0)</f>
        <v>#N/A</v>
      </c>
      <c r="D13" s="14" t="e">
        <f>VLOOKUP($A13,'3'!$A:$D,4,0)</f>
        <v>#N/A</v>
      </c>
      <c r="E13" s="14" t="e">
        <f>VLOOKUP($A13,'4'!$A:$D,4,0)</f>
        <v>#N/A</v>
      </c>
      <c r="F13" s="14" t="e">
        <f>VLOOKUP($A13,'5'!$A:$D,4,0)</f>
        <v>#N/A</v>
      </c>
      <c r="G13" s="15" t="e">
        <f>VLOOKUP($A13,'6'!$A:$D,4,0)</f>
        <v>#N/A</v>
      </c>
      <c r="H13" s="14" t="e">
        <f>VLOOKUP($A13,'1'!$A:$J,10,0)</f>
        <v>#N/A</v>
      </c>
      <c r="I13" s="14" t="e">
        <f>VLOOKUP($A13,'2'!$A:$J,10,0)</f>
        <v>#N/A</v>
      </c>
      <c r="J13" s="14" t="e">
        <f>VLOOKUP($A13,'3'!$A:$J,10,0)</f>
        <v>#N/A</v>
      </c>
      <c r="K13" s="14" t="e">
        <f>VLOOKUP($A13,'4'!$A:$J,10,0)</f>
        <v>#N/A</v>
      </c>
      <c r="L13" s="14" t="e">
        <f>VLOOKUP($A13,'5'!$A:$J,10,0)</f>
        <v>#N/A</v>
      </c>
      <c r="M13" s="14" t="e">
        <f>VLOOKUP($A13,'6'!$A:$J,10,0)</f>
        <v>#N/A</v>
      </c>
      <c r="N13" s="5" t="e">
        <f t="shared" si="0"/>
        <v>#N/A</v>
      </c>
      <c r="O13" s="5" t="e">
        <f t="shared" si="1"/>
        <v>#N/A</v>
      </c>
      <c r="P13" s="16" t="e">
        <f t="shared" si="2"/>
        <v>#N/A</v>
      </c>
      <c r="Q13" s="16" t="e">
        <f t="shared" si="3"/>
        <v>#N/A</v>
      </c>
      <c r="R13" s="17" t="s">
        <v>51</v>
      </c>
      <c r="S13" s="13" t="s">
        <v>57</v>
      </c>
      <c r="T13" s="19">
        <f t="shared" ref="T13:AE13" si="7">(COUNTIF(B3:B69,$W$4)+COUNTIF(B3:B69,"TIME OUT"))/COUNTA(B3:B69)</f>
        <v>0</v>
      </c>
      <c r="U13" s="19">
        <f t="shared" si="7"/>
        <v>0</v>
      </c>
      <c r="V13" s="19">
        <f t="shared" si="7"/>
        <v>0</v>
      </c>
      <c r="W13" s="19">
        <f t="shared" si="7"/>
        <v>0</v>
      </c>
      <c r="X13" s="19">
        <f t="shared" si="7"/>
        <v>0</v>
      </c>
      <c r="Y13" s="19">
        <f t="shared" si="7"/>
        <v>0</v>
      </c>
      <c r="Z13" s="19">
        <f t="shared" si="7"/>
        <v>0</v>
      </c>
      <c r="AA13" s="19">
        <f t="shared" si="7"/>
        <v>0</v>
      </c>
      <c r="AB13" s="19">
        <f t="shared" si="7"/>
        <v>0</v>
      </c>
      <c r="AC13" s="19">
        <f t="shared" si="7"/>
        <v>0</v>
      </c>
      <c r="AD13" s="19">
        <f t="shared" si="7"/>
        <v>0</v>
      </c>
      <c r="AE13" s="19">
        <f t="shared" si="7"/>
        <v>0</v>
      </c>
      <c r="AF13" s="20"/>
    </row>
    <row r="14" spans="1:32" x14ac:dyDescent="0.25">
      <c r="A14">
        <v>31</v>
      </c>
      <c r="B14" s="14" t="e">
        <f>VLOOKUP($A14,'1'!$A:$D,4,0)</f>
        <v>#N/A</v>
      </c>
      <c r="C14" s="14" t="e">
        <f>VLOOKUP($A14,'2'!$A:$D,4,0)</f>
        <v>#N/A</v>
      </c>
      <c r="D14" s="14" t="e">
        <f>VLOOKUP($A14,'3'!$A:$D,4,0)</f>
        <v>#N/A</v>
      </c>
      <c r="E14" s="14" t="e">
        <f>VLOOKUP($A14,'4'!$A:$D,4,0)</f>
        <v>#N/A</v>
      </c>
      <c r="F14" s="14" t="e">
        <f>VLOOKUP($A14,'5'!$A:$D,4,0)</f>
        <v>#N/A</v>
      </c>
      <c r="G14" s="15" t="e">
        <f>VLOOKUP($A14,'6'!$A:$D,4,0)</f>
        <v>#N/A</v>
      </c>
      <c r="H14" s="14" t="e">
        <f>VLOOKUP($A14,'1'!$A:$J,10,0)</f>
        <v>#N/A</v>
      </c>
      <c r="I14" s="14" t="e">
        <f>VLOOKUP($A14,'2'!$A:$J,10,0)</f>
        <v>#N/A</v>
      </c>
      <c r="J14" s="14" t="e">
        <f>VLOOKUP($A14,'3'!$A:$J,10,0)</f>
        <v>#N/A</v>
      </c>
      <c r="K14" s="14" t="e">
        <f>VLOOKUP($A14,'4'!$A:$J,10,0)</f>
        <v>#N/A</v>
      </c>
      <c r="L14" s="14" t="e">
        <f>VLOOKUP($A14,'5'!$A:$J,10,0)</f>
        <v>#N/A</v>
      </c>
      <c r="M14" s="14" t="e">
        <f>VLOOKUP($A14,'6'!$A:$J,10,0)</f>
        <v>#N/A</v>
      </c>
      <c r="N14" s="5" t="e">
        <f t="shared" si="0"/>
        <v>#N/A</v>
      </c>
      <c r="O14" s="5" t="e">
        <f t="shared" si="1"/>
        <v>#N/A</v>
      </c>
      <c r="P14" s="16" t="e">
        <f t="shared" si="2"/>
        <v>#N/A</v>
      </c>
      <c r="Q14" s="16" t="e">
        <f t="shared" si="3"/>
        <v>#N/A</v>
      </c>
      <c r="R14" s="17" t="s">
        <v>51</v>
      </c>
      <c r="S14" s="13" t="s">
        <v>58</v>
      </c>
      <c r="T14" s="19">
        <f t="shared" ref="T14:AE14" si="8">(COUNTIF(B3:B69,"*ERROR*"))/COUNTA(B3:B69)</f>
        <v>0</v>
      </c>
      <c r="U14" s="19">
        <f t="shared" si="8"/>
        <v>0</v>
      </c>
      <c r="V14" s="19">
        <f t="shared" si="8"/>
        <v>0</v>
      </c>
      <c r="W14" s="19">
        <f t="shared" si="8"/>
        <v>0</v>
      </c>
      <c r="X14" s="19">
        <f t="shared" si="8"/>
        <v>0</v>
      </c>
      <c r="Y14" s="19">
        <f t="shared" si="8"/>
        <v>0</v>
      </c>
      <c r="Z14" s="19">
        <f t="shared" si="8"/>
        <v>0</v>
      </c>
      <c r="AA14" s="19">
        <f t="shared" si="8"/>
        <v>0</v>
      </c>
      <c r="AB14" s="19">
        <f t="shared" si="8"/>
        <v>0</v>
      </c>
      <c r="AC14" s="19">
        <f t="shared" si="8"/>
        <v>0</v>
      </c>
      <c r="AD14" s="19">
        <f t="shared" si="8"/>
        <v>0</v>
      </c>
      <c r="AE14" s="19">
        <f t="shared" si="8"/>
        <v>0</v>
      </c>
    </row>
    <row r="15" spans="1:32" x14ac:dyDescent="0.25">
      <c r="A15">
        <v>32</v>
      </c>
      <c r="B15" s="14" t="e">
        <f>VLOOKUP($A15,'1'!$A:$D,4,0)</f>
        <v>#N/A</v>
      </c>
      <c r="C15" s="14" t="e">
        <f>VLOOKUP($A15,'2'!$A:$D,4,0)</f>
        <v>#N/A</v>
      </c>
      <c r="D15" s="14" t="e">
        <f>VLOOKUP($A15,'3'!$A:$D,4,0)</f>
        <v>#N/A</v>
      </c>
      <c r="E15" s="14" t="e">
        <f>VLOOKUP($A15,'4'!$A:$D,4,0)</f>
        <v>#N/A</v>
      </c>
      <c r="F15" s="14" t="e">
        <f>VLOOKUP($A15,'5'!$A:$D,4,0)</f>
        <v>#N/A</v>
      </c>
      <c r="G15" s="15" t="e">
        <f>VLOOKUP($A15,'6'!$A:$D,4,0)</f>
        <v>#N/A</v>
      </c>
      <c r="H15" s="14" t="e">
        <f>VLOOKUP($A15,'1'!$A:$J,10,0)</f>
        <v>#N/A</v>
      </c>
      <c r="I15" s="14" t="e">
        <f>VLOOKUP($A15,'2'!$A:$J,10,0)</f>
        <v>#N/A</v>
      </c>
      <c r="J15" s="14" t="e">
        <f>VLOOKUP($A15,'3'!$A:$J,10,0)</f>
        <v>#N/A</v>
      </c>
      <c r="K15" s="14" t="e">
        <f>VLOOKUP($A15,'4'!$A:$J,10,0)</f>
        <v>#N/A</v>
      </c>
      <c r="L15" s="14" t="e">
        <f>VLOOKUP($A15,'5'!$A:$J,10,0)</f>
        <v>#N/A</v>
      </c>
      <c r="M15" s="14" t="e">
        <f>VLOOKUP($A15,'6'!$A:$J,10,0)</f>
        <v>#N/A</v>
      </c>
      <c r="N15" s="5" t="e">
        <f t="shared" si="0"/>
        <v>#N/A</v>
      </c>
      <c r="O15" s="5" t="e">
        <f t="shared" si="1"/>
        <v>#N/A</v>
      </c>
      <c r="P15" s="16" t="e">
        <f t="shared" si="2"/>
        <v>#N/A</v>
      </c>
      <c r="Q15" s="16" t="e">
        <f t="shared" si="3"/>
        <v>#N/A</v>
      </c>
      <c r="R15" s="17" t="s">
        <v>51</v>
      </c>
      <c r="S15" s="5"/>
    </row>
    <row r="16" spans="1:32" x14ac:dyDescent="0.25">
      <c r="A16">
        <v>33</v>
      </c>
      <c r="B16" s="14" t="e">
        <f>VLOOKUP($A16,'1'!$A:$D,4,0)</f>
        <v>#N/A</v>
      </c>
      <c r="C16" s="14" t="e">
        <f>VLOOKUP($A16,'2'!$A:$D,4,0)</f>
        <v>#N/A</v>
      </c>
      <c r="D16" s="14" t="e">
        <f>VLOOKUP($A16,'3'!$A:$D,4,0)</f>
        <v>#N/A</v>
      </c>
      <c r="E16" s="14" t="e">
        <f>VLOOKUP($A16,'4'!$A:$D,4,0)</f>
        <v>#N/A</v>
      </c>
      <c r="F16" s="14" t="e">
        <f>VLOOKUP($A16,'5'!$A:$D,4,0)</f>
        <v>#N/A</v>
      </c>
      <c r="G16" s="15" t="e">
        <f>VLOOKUP($A16,'6'!$A:$D,4,0)</f>
        <v>#N/A</v>
      </c>
      <c r="H16" s="14" t="e">
        <f>VLOOKUP($A16,'1'!$A:$J,10,0)</f>
        <v>#N/A</v>
      </c>
      <c r="I16" s="14" t="e">
        <f>VLOOKUP($A16,'2'!$A:$J,10,0)</f>
        <v>#N/A</v>
      </c>
      <c r="J16" s="14" t="e">
        <f>VLOOKUP($A16,'3'!$A:$J,10,0)</f>
        <v>#N/A</v>
      </c>
      <c r="K16" s="14" t="e">
        <f>VLOOKUP($A16,'4'!$A:$J,10,0)</f>
        <v>#N/A</v>
      </c>
      <c r="L16" s="14" t="e">
        <f>VLOOKUP($A16,'5'!$A:$J,10,0)</f>
        <v>#N/A</v>
      </c>
      <c r="M16" s="14" t="e">
        <f>VLOOKUP($A16,'6'!$A:$J,10,0)</f>
        <v>#N/A</v>
      </c>
      <c r="N16" s="5" t="e">
        <f t="shared" si="0"/>
        <v>#N/A</v>
      </c>
      <c r="O16" s="5" t="e">
        <f t="shared" si="1"/>
        <v>#N/A</v>
      </c>
      <c r="P16" s="16" t="e">
        <f t="shared" si="2"/>
        <v>#N/A</v>
      </c>
      <c r="Q16" s="16" t="e">
        <f t="shared" si="3"/>
        <v>#N/A</v>
      </c>
      <c r="R16" s="17" t="s">
        <v>51</v>
      </c>
      <c r="S16" s="13" t="s">
        <v>56</v>
      </c>
      <c r="T16" s="21">
        <f>(COUNTA(B3:G69)-COUNTIF(B3:G69,$W$4)-COUNTIF(B3:G69,"TIME OUT")-COUNTIF(B3:G69,"*ERROR*")-COUNTIF(B3:G69,$X$4))/COUNTA(B3:G69)</f>
        <v>1</v>
      </c>
      <c r="U16" s="21"/>
      <c r="V16" s="21"/>
      <c r="W16" s="21"/>
      <c r="X16" s="21"/>
      <c r="Y16" s="21"/>
      <c r="Z16" s="21">
        <f>(COUNTA(H3:M69)-COUNTIF(H3:M69,$W$4)-COUNTIF(H3:M69,"TIME OUT")-COUNTIF(H3:M69,"*ERROR*")-COUNTIF(H3:M69,$X$4))/COUNTA(H3:M69)</f>
        <v>1</v>
      </c>
      <c r="AA16" s="21"/>
      <c r="AB16" s="21"/>
      <c r="AC16" s="21"/>
      <c r="AD16" s="21"/>
      <c r="AE16" s="21"/>
    </row>
    <row r="17" spans="1:31" x14ac:dyDescent="0.25">
      <c r="A17">
        <v>34</v>
      </c>
      <c r="B17" s="14" t="e">
        <f>VLOOKUP($A17,'1'!$A:$D,4,0)</f>
        <v>#N/A</v>
      </c>
      <c r="C17" s="14" t="e">
        <f>VLOOKUP($A17,'2'!$A:$D,4,0)</f>
        <v>#N/A</v>
      </c>
      <c r="D17" s="14" t="e">
        <f>VLOOKUP($A17,'3'!$A:$D,4,0)</f>
        <v>#N/A</v>
      </c>
      <c r="E17" s="14" t="e">
        <f>VLOOKUP($A17,'4'!$A:$D,4,0)</f>
        <v>#N/A</v>
      </c>
      <c r="F17" s="14" t="e">
        <f>VLOOKUP($A17,'5'!$A:$D,4,0)</f>
        <v>#N/A</v>
      </c>
      <c r="G17" s="15" t="e">
        <f>VLOOKUP($A17,'6'!$A:$D,4,0)</f>
        <v>#N/A</v>
      </c>
      <c r="H17" s="14" t="e">
        <f>VLOOKUP($A17,'1'!$A:$J,10,0)</f>
        <v>#N/A</v>
      </c>
      <c r="I17" s="14" t="e">
        <f>VLOOKUP($A17,'2'!$A:$J,10,0)</f>
        <v>#N/A</v>
      </c>
      <c r="J17" s="14" t="e">
        <f>VLOOKUP($A17,'3'!$A:$J,10,0)</f>
        <v>#N/A</v>
      </c>
      <c r="K17" s="14" t="e">
        <f>VLOOKUP($A17,'4'!$A:$J,10,0)</f>
        <v>#N/A</v>
      </c>
      <c r="L17" s="14" t="e">
        <f>VLOOKUP($A17,'5'!$A:$J,10,0)</f>
        <v>#N/A</v>
      </c>
      <c r="M17" s="14" t="e">
        <f>VLOOKUP($A17,'6'!$A:$J,10,0)</f>
        <v>#N/A</v>
      </c>
      <c r="N17" s="5" t="e">
        <f t="shared" si="0"/>
        <v>#N/A</v>
      </c>
      <c r="O17" s="5" t="e">
        <f t="shared" si="1"/>
        <v>#N/A</v>
      </c>
      <c r="P17" s="16" t="e">
        <f t="shared" si="2"/>
        <v>#N/A</v>
      </c>
      <c r="Q17" s="16" t="e">
        <f t="shared" si="3"/>
        <v>#N/A</v>
      </c>
      <c r="R17" s="17" t="s">
        <v>51</v>
      </c>
      <c r="S17" s="13" t="s">
        <v>57</v>
      </c>
      <c r="T17" s="21">
        <f>(COUNTIF(B3:G69,$W$4)+COUNTIF(B3:G69,"TIME OUT"))/COUNTA(B3:G69)</f>
        <v>0</v>
      </c>
      <c r="U17" s="21"/>
      <c r="V17" s="21"/>
      <c r="W17" s="21"/>
      <c r="X17" s="21"/>
      <c r="Y17" s="21"/>
      <c r="Z17" s="21">
        <f>(COUNTIF(H3:M69,$W$4)+COUNTIF(H3:M69,"TIME OUT"))/COUNTA(H3:M69)</f>
        <v>0</v>
      </c>
      <c r="AA17" s="21"/>
      <c r="AB17" s="21"/>
      <c r="AC17" s="21"/>
      <c r="AD17" s="21"/>
      <c r="AE17" s="21"/>
    </row>
    <row r="18" spans="1:31" x14ac:dyDescent="0.25">
      <c r="A18">
        <v>36</v>
      </c>
      <c r="B18" s="14" t="e">
        <f>VLOOKUP($A18,'1'!$A:$D,4,0)</f>
        <v>#N/A</v>
      </c>
      <c r="C18" s="14" t="e">
        <f>VLOOKUP($A18,'2'!$A:$D,4,0)</f>
        <v>#N/A</v>
      </c>
      <c r="D18" s="14" t="e">
        <f>VLOOKUP($A18,'3'!$A:$D,4,0)</f>
        <v>#N/A</v>
      </c>
      <c r="E18" s="14" t="e">
        <f>VLOOKUP($A18,'4'!$A:$D,4,0)</f>
        <v>#N/A</v>
      </c>
      <c r="F18" s="14" t="e">
        <f>VLOOKUP($A18,'5'!$A:$D,4,0)</f>
        <v>#N/A</v>
      </c>
      <c r="G18" s="15" t="e">
        <f>VLOOKUP($A18,'6'!$A:$D,4,0)</f>
        <v>#N/A</v>
      </c>
      <c r="H18" s="14" t="e">
        <f>VLOOKUP($A18,'1'!$A:$J,10,0)</f>
        <v>#N/A</v>
      </c>
      <c r="I18" s="14" t="e">
        <f>VLOOKUP($A18,'2'!$A:$J,10,0)</f>
        <v>#N/A</v>
      </c>
      <c r="J18" s="14" t="e">
        <f>VLOOKUP($A18,'3'!$A:$J,10,0)</f>
        <v>#N/A</v>
      </c>
      <c r="K18" s="14" t="e">
        <f>VLOOKUP($A18,'4'!$A:$J,10,0)</f>
        <v>#N/A</v>
      </c>
      <c r="L18" s="14" t="e">
        <f>VLOOKUP($A18,'5'!$A:$J,10,0)</f>
        <v>#N/A</v>
      </c>
      <c r="M18" s="14" t="e">
        <f>VLOOKUP($A18,'6'!$A:$J,10,0)</f>
        <v>#N/A</v>
      </c>
      <c r="N18" s="5" t="e">
        <f t="shared" si="0"/>
        <v>#N/A</v>
      </c>
      <c r="O18" s="5" t="e">
        <f t="shared" si="1"/>
        <v>#N/A</v>
      </c>
      <c r="P18" s="16" t="e">
        <f t="shared" si="2"/>
        <v>#N/A</v>
      </c>
      <c r="Q18" s="16" t="e">
        <f t="shared" si="3"/>
        <v>#N/A</v>
      </c>
      <c r="R18" s="17" t="s">
        <v>51</v>
      </c>
      <c r="S18" s="13" t="s">
        <v>58</v>
      </c>
      <c r="T18" s="21">
        <f>(COUNTIF(B3:G69,"*ERROR*")+COUNTIF(B3:G69,$X$4))/COUNTA(B3:G69)</f>
        <v>0</v>
      </c>
      <c r="U18" s="21"/>
      <c r="V18" s="21"/>
      <c r="W18" s="21"/>
      <c r="X18" s="21"/>
      <c r="Y18" s="21"/>
      <c r="Z18" s="21">
        <f>(COUNTIF(H3:M69,"*ERROR*")+COUNTIF(H3:M69,$X$4))/COUNTA(H3:M69)</f>
        <v>0</v>
      </c>
      <c r="AA18" s="21"/>
      <c r="AB18" s="21"/>
      <c r="AC18" s="21"/>
      <c r="AD18" s="21"/>
      <c r="AE18" s="21"/>
    </row>
    <row r="19" spans="1:31" x14ac:dyDescent="0.25">
      <c r="A19">
        <v>38</v>
      </c>
      <c r="B19" s="14" t="e">
        <f>VLOOKUP($A19,'1'!$A:$D,4,0)</f>
        <v>#N/A</v>
      </c>
      <c r="C19" s="14" t="e">
        <f>VLOOKUP($A19,'2'!$A:$D,4,0)</f>
        <v>#N/A</v>
      </c>
      <c r="D19" s="14" t="e">
        <f>VLOOKUP($A19,'3'!$A:$D,4,0)</f>
        <v>#N/A</v>
      </c>
      <c r="E19" s="14" t="e">
        <f>VLOOKUP($A19,'4'!$A:$D,4,0)</f>
        <v>#N/A</v>
      </c>
      <c r="F19" s="14" t="e">
        <f>VLOOKUP($A19,'5'!$A:$D,4,0)</f>
        <v>#N/A</v>
      </c>
      <c r="G19" s="15" t="e">
        <f>VLOOKUP($A19,'6'!$A:$D,4,0)</f>
        <v>#N/A</v>
      </c>
      <c r="H19" s="14" t="e">
        <f>VLOOKUP($A19,'1'!$A:$J,10,0)</f>
        <v>#N/A</v>
      </c>
      <c r="I19" s="14" t="e">
        <f>VLOOKUP($A19,'2'!$A:$J,10,0)</f>
        <v>#N/A</v>
      </c>
      <c r="J19" s="14" t="e">
        <f>VLOOKUP($A19,'3'!$A:$J,10,0)</f>
        <v>#N/A</v>
      </c>
      <c r="K19" s="14" t="e">
        <f>VLOOKUP($A19,'4'!$A:$J,10,0)</f>
        <v>#N/A</v>
      </c>
      <c r="L19" s="14" t="e">
        <f>VLOOKUP($A19,'5'!$A:$J,10,0)</f>
        <v>#N/A</v>
      </c>
      <c r="M19" s="14" t="e">
        <f>VLOOKUP($A19,'6'!$A:$J,10,0)</f>
        <v>#N/A</v>
      </c>
      <c r="N19" s="5" t="e">
        <f t="shared" si="0"/>
        <v>#N/A</v>
      </c>
      <c r="O19" s="5" t="e">
        <f t="shared" si="1"/>
        <v>#N/A</v>
      </c>
      <c r="P19" s="16" t="e">
        <f t="shared" si="2"/>
        <v>#N/A</v>
      </c>
      <c r="Q19" s="16" t="e">
        <f t="shared" si="3"/>
        <v>#N/A</v>
      </c>
      <c r="R19" s="17" t="s">
        <v>51</v>
      </c>
      <c r="S19" s="5"/>
    </row>
    <row r="20" spans="1:31" x14ac:dyDescent="0.25">
      <c r="A20">
        <v>40</v>
      </c>
      <c r="B20" s="14" t="e">
        <f>VLOOKUP($A20,'1'!$A:$D,4,0)</f>
        <v>#N/A</v>
      </c>
      <c r="C20" s="14" t="e">
        <f>VLOOKUP($A20,'2'!$A:$D,4,0)</f>
        <v>#N/A</v>
      </c>
      <c r="D20" s="14" t="e">
        <f>VLOOKUP($A20,'3'!$A:$D,4,0)</f>
        <v>#N/A</v>
      </c>
      <c r="E20" s="14" t="e">
        <f>VLOOKUP($A20,'4'!$A:$D,4,0)</f>
        <v>#N/A</v>
      </c>
      <c r="F20" s="14" t="e">
        <f>VLOOKUP($A20,'5'!$A:$D,4,0)</f>
        <v>#N/A</v>
      </c>
      <c r="G20" s="15" t="e">
        <f>VLOOKUP($A20,'6'!$A:$D,4,0)</f>
        <v>#N/A</v>
      </c>
      <c r="H20" s="14" t="e">
        <f>VLOOKUP($A20,'1'!$A:$J,10,0)</f>
        <v>#N/A</v>
      </c>
      <c r="I20" s="14" t="e">
        <f>VLOOKUP($A20,'2'!$A:$J,10,0)</f>
        <v>#N/A</v>
      </c>
      <c r="J20" s="14" t="e">
        <f>VLOOKUP($A20,'3'!$A:$J,10,0)</f>
        <v>#N/A</v>
      </c>
      <c r="K20" s="14" t="e">
        <f>VLOOKUP($A20,'4'!$A:$J,10,0)</f>
        <v>#N/A</v>
      </c>
      <c r="L20" s="14" t="e">
        <f>VLOOKUP($A20,'5'!$A:$J,10,0)</f>
        <v>#N/A</v>
      </c>
      <c r="M20" s="14" t="e">
        <f>VLOOKUP($A20,'6'!$A:$J,10,0)</f>
        <v>#N/A</v>
      </c>
      <c r="N20" s="5" t="e">
        <f t="shared" si="0"/>
        <v>#N/A</v>
      </c>
      <c r="O20" s="5" t="e">
        <f t="shared" si="1"/>
        <v>#N/A</v>
      </c>
      <c r="P20" s="16" t="e">
        <f t="shared" si="2"/>
        <v>#N/A</v>
      </c>
      <c r="Q20" s="16" t="e">
        <f t="shared" si="3"/>
        <v>#N/A</v>
      </c>
      <c r="R20" s="17" t="s">
        <v>51</v>
      </c>
      <c r="S20" s="16" t="s">
        <v>59</v>
      </c>
      <c r="T20" s="22">
        <f>COUNTIF(B:G,S20)</f>
        <v>0</v>
      </c>
      <c r="U20" s="23">
        <f>T20/$T$25</f>
        <v>0</v>
      </c>
      <c r="V20" s="22">
        <f>COUNTIF(H:M,S20)</f>
        <v>0</v>
      </c>
      <c r="W20" s="23">
        <f>V20/$V$25</f>
        <v>0</v>
      </c>
      <c r="X20" t="s">
        <v>60</v>
      </c>
    </row>
    <row r="21" spans="1:31" x14ac:dyDescent="0.25">
      <c r="A21">
        <v>41</v>
      </c>
      <c r="B21" s="14" t="e">
        <f>VLOOKUP($A21,'1'!$A:$D,4,0)</f>
        <v>#N/A</v>
      </c>
      <c r="C21" s="14" t="e">
        <f>VLOOKUP($A21,'2'!$A:$D,4,0)</f>
        <v>#N/A</v>
      </c>
      <c r="D21" s="14" t="e">
        <f>VLOOKUP($A21,'3'!$A:$D,4,0)</f>
        <v>#N/A</v>
      </c>
      <c r="E21" s="14" t="e">
        <f>VLOOKUP($A21,'4'!$A:$D,4,0)</f>
        <v>#N/A</v>
      </c>
      <c r="F21" s="14" t="e">
        <f>VLOOKUP($A21,'5'!$A:$D,4,0)</f>
        <v>#N/A</v>
      </c>
      <c r="G21" s="15" t="e">
        <f>VLOOKUP($A21,'6'!$A:$D,4,0)</f>
        <v>#N/A</v>
      </c>
      <c r="H21" s="14" t="e">
        <f>VLOOKUP($A21,'1'!$A:$J,10,0)</f>
        <v>#N/A</v>
      </c>
      <c r="I21" s="14" t="e">
        <f>VLOOKUP($A21,'2'!$A:$J,10,0)</f>
        <v>#N/A</v>
      </c>
      <c r="J21" s="14" t="e">
        <f>VLOOKUP($A21,'3'!$A:$J,10,0)</f>
        <v>#N/A</v>
      </c>
      <c r="K21" s="14" t="e">
        <f>VLOOKUP($A21,'4'!$A:$J,10,0)</f>
        <v>#N/A</v>
      </c>
      <c r="L21" s="14" t="e">
        <f>VLOOKUP($A21,'5'!$A:$J,10,0)</f>
        <v>#N/A</v>
      </c>
      <c r="M21" s="14" t="e">
        <f>VLOOKUP($A21,'6'!$A:$J,10,0)</f>
        <v>#N/A</v>
      </c>
      <c r="N21" s="5" t="e">
        <f t="shared" si="0"/>
        <v>#N/A</v>
      </c>
      <c r="O21" s="5" t="e">
        <f t="shared" si="1"/>
        <v>#N/A</v>
      </c>
      <c r="P21" s="16" t="e">
        <f t="shared" si="2"/>
        <v>#N/A</v>
      </c>
      <c r="Q21" s="16" t="e">
        <f t="shared" si="3"/>
        <v>#N/A</v>
      </c>
      <c r="R21" s="17" t="s">
        <v>51</v>
      </c>
      <c r="S21" s="16" t="s">
        <v>61</v>
      </c>
      <c r="T21" s="22">
        <f t="shared" ref="T21:T23" si="9">COUNTIF(B:G,S21)</f>
        <v>0</v>
      </c>
      <c r="U21" s="23">
        <f t="shared" ref="U21:U24" si="10">T21/$T$25</f>
        <v>0</v>
      </c>
      <c r="V21" s="22">
        <f t="shared" ref="V21:V23" si="11">COUNTIF(H:M,S21)</f>
        <v>0</v>
      </c>
      <c r="W21" s="23">
        <f t="shared" ref="W21:W24" si="12">V21/$V$25</f>
        <v>0</v>
      </c>
      <c r="X21" t="s">
        <v>62</v>
      </c>
    </row>
    <row r="22" spans="1:31" x14ac:dyDescent="0.25">
      <c r="A22">
        <v>43</v>
      </c>
      <c r="B22" s="14" t="e">
        <f>VLOOKUP($A22,'1'!$A:$D,4,0)</f>
        <v>#N/A</v>
      </c>
      <c r="C22" s="14" t="e">
        <f>VLOOKUP($A22,'2'!$A:$D,4,0)</f>
        <v>#N/A</v>
      </c>
      <c r="D22" s="14" t="e">
        <f>VLOOKUP($A22,'3'!$A:$D,4,0)</f>
        <v>#N/A</v>
      </c>
      <c r="E22" s="14" t="e">
        <f>VLOOKUP($A22,'4'!$A:$D,4,0)</f>
        <v>#N/A</v>
      </c>
      <c r="F22" s="14" t="e">
        <f>VLOOKUP($A22,'5'!$A:$D,4,0)</f>
        <v>#N/A</v>
      </c>
      <c r="G22" s="15" t="e">
        <f>VLOOKUP($A22,'6'!$A:$D,4,0)</f>
        <v>#N/A</v>
      </c>
      <c r="H22" s="14" t="e">
        <f>VLOOKUP($A22,'1'!$A:$J,10,0)</f>
        <v>#N/A</v>
      </c>
      <c r="I22" s="14" t="e">
        <f>VLOOKUP($A22,'2'!$A:$J,10,0)</f>
        <v>#N/A</v>
      </c>
      <c r="J22" s="14" t="e">
        <f>VLOOKUP($A22,'3'!$A:$J,10,0)</f>
        <v>#N/A</v>
      </c>
      <c r="K22" s="14" t="e">
        <f>VLOOKUP($A22,'4'!$A:$J,10,0)</f>
        <v>#N/A</v>
      </c>
      <c r="L22" s="14" t="e">
        <f>VLOOKUP($A22,'5'!$A:$J,10,0)</f>
        <v>#N/A</v>
      </c>
      <c r="M22" s="14" t="e">
        <f>VLOOKUP($A22,'6'!$A:$J,10,0)</f>
        <v>#N/A</v>
      </c>
      <c r="N22" s="5" t="e">
        <f t="shared" si="0"/>
        <v>#N/A</v>
      </c>
      <c r="O22" s="5" t="e">
        <f t="shared" si="1"/>
        <v>#N/A</v>
      </c>
      <c r="P22" s="16" t="e">
        <f t="shared" si="2"/>
        <v>#N/A</v>
      </c>
      <c r="Q22" s="16" t="e">
        <f t="shared" si="3"/>
        <v>#N/A</v>
      </c>
      <c r="R22" s="17" t="s">
        <v>51</v>
      </c>
      <c r="S22" s="16" t="s">
        <v>63</v>
      </c>
      <c r="T22" s="22">
        <f t="shared" si="9"/>
        <v>0</v>
      </c>
      <c r="U22" s="23">
        <f t="shared" si="10"/>
        <v>0</v>
      </c>
      <c r="V22" s="22">
        <f t="shared" si="11"/>
        <v>0</v>
      </c>
      <c r="W22" s="23">
        <f t="shared" si="12"/>
        <v>0</v>
      </c>
      <c r="X22" t="s">
        <v>64</v>
      </c>
    </row>
    <row r="23" spans="1:31" x14ac:dyDescent="0.25">
      <c r="A23">
        <v>45</v>
      </c>
      <c r="B23" s="14" t="e">
        <f>VLOOKUP($A23,'1'!$A:$D,4,0)</f>
        <v>#N/A</v>
      </c>
      <c r="C23" s="14" t="e">
        <f>VLOOKUP($A23,'2'!$A:$D,4,0)</f>
        <v>#N/A</v>
      </c>
      <c r="D23" s="14" t="e">
        <f>VLOOKUP($A23,'3'!$A:$D,4,0)</f>
        <v>#N/A</v>
      </c>
      <c r="E23" s="14" t="e">
        <f>VLOOKUP($A23,'4'!$A:$D,4,0)</f>
        <v>#N/A</v>
      </c>
      <c r="F23" s="14" t="e">
        <f>VLOOKUP($A23,'5'!$A:$D,4,0)</f>
        <v>#N/A</v>
      </c>
      <c r="G23" s="15" t="e">
        <f>VLOOKUP($A23,'6'!$A:$D,4,0)</f>
        <v>#N/A</v>
      </c>
      <c r="H23" s="14" t="e">
        <f>VLOOKUP($A23,'1'!$A:$J,10,0)</f>
        <v>#N/A</v>
      </c>
      <c r="I23" s="14" t="e">
        <f>VLOOKUP($A23,'2'!$A:$J,10,0)</f>
        <v>#N/A</v>
      </c>
      <c r="J23" s="14" t="e">
        <f>VLOOKUP($A23,'3'!$A:$J,10,0)</f>
        <v>#N/A</v>
      </c>
      <c r="K23" s="14" t="e">
        <f>VLOOKUP($A23,'4'!$A:$J,10,0)</f>
        <v>#N/A</v>
      </c>
      <c r="L23" s="14" t="e">
        <f>VLOOKUP($A23,'5'!$A:$J,10,0)</f>
        <v>#N/A</v>
      </c>
      <c r="M23" s="14" t="e">
        <f>VLOOKUP($A23,'6'!$A:$J,10,0)</f>
        <v>#N/A</v>
      </c>
      <c r="N23" s="5" t="e">
        <f t="shared" si="0"/>
        <v>#N/A</v>
      </c>
      <c r="O23" s="5" t="e">
        <f t="shared" si="1"/>
        <v>#N/A</v>
      </c>
      <c r="P23" s="16" t="e">
        <f t="shared" si="2"/>
        <v>#N/A</v>
      </c>
      <c r="Q23" s="16" t="e">
        <f t="shared" si="3"/>
        <v>#N/A</v>
      </c>
      <c r="R23" s="17" t="s">
        <v>51</v>
      </c>
      <c r="S23" s="16" t="s">
        <v>65</v>
      </c>
      <c r="T23" s="22">
        <f t="shared" si="9"/>
        <v>0</v>
      </c>
      <c r="U23" s="23">
        <f t="shared" si="10"/>
        <v>0</v>
      </c>
      <c r="V23" s="22">
        <f t="shared" si="11"/>
        <v>0</v>
      </c>
      <c r="W23" s="23">
        <f t="shared" si="12"/>
        <v>0</v>
      </c>
      <c r="X23" t="s">
        <v>66</v>
      </c>
    </row>
    <row r="24" spans="1:31" x14ac:dyDescent="0.25">
      <c r="A24">
        <v>46</v>
      </c>
      <c r="B24" s="14" t="e">
        <f>VLOOKUP($A24,'1'!$A:$D,4,0)</f>
        <v>#N/A</v>
      </c>
      <c r="C24" s="14" t="e">
        <f>VLOOKUP($A24,'2'!$A:$D,4,0)</f>
        <v>#N/A</v>
      </c>
      <c r="D24" s="14" t="e">
        <f>VLOOKUP($A24,'3'!$A:$D,4,0)</f>
        <v>#N/A</v>
      </c>
      <c r="E24" s="14" t="e">
        <f>VLOOKUP($A24,'4'!$A:$D,4,0)</f>
        <v>#N/A</v>
      </c>
      <c r="F24" s="14" t="e">
        <f>VLOOKUP($A24,'5'!$A:$D,4,0)</f>
        <v>#N/A</v>
      </c>
      <c r="G24" s="15" t="e">
        <f>VLOOKUP($A24,'6'!$A:$D,4,0)</f>
        <v>#N/A</v>
      </c>
      <c r="H24" s="14" t="e">
        <f>VLOOKUP($A24,'1'!$A:$J,10,0)</f>
        <v>#N/A</v>
      </c>
      <c r="I24" s="14" t="e">
        <f>VLOOKUP($A24,'2'!$A:$J,10,0)</f>
        <v>#N/A</v>
      </c>
      <c r="J24" s="14" t="e">
        <f>VLOOKUP($A24,'3'!$A:$J,10,0)</f>
        <v>#N/A</v>
      </c>
      <c r="K24" s="14" t="e">
        <f>VLOOKUP($A24,'4'!$A:$J,10,0)</f>
        <v>#N/A</v>
      </c>
      <c r="L24" s="14" t="e">
        <f>VLOOKUP($A24,'5'!$A:$J,10,0)</f>
        <v>#N/A</v>
      </c>
      <c r="M24" s="14" t="e">
        <f>VLOOKUP($A24,'6'!$A:$J,10,0)</f>
        <v>#N/A</v>
      </c>
      <c r="N24" s="5" t="e">
        <f t="shared" si="0"/>
        <v>#N/A</v>
      </c>
      <c r="O24" s="5" t="e">
        <f t="shared" si="1"/>
        <v>#N/A</v>
      </c>
      <c r="P24" s="16" t="e">
        <f t="shared" si="2"/>
        <v>#N/A</v>
      </c>
      <c r="Q24" s="16" t="e">
        <f t="shared" si="3"/>
        <v>#N/A</v>
      </c>
      <c r="R24" s="17" t="s">
        <v>51</v>
      </c>
      <c r="S24" s="16" t="s">
        <v>67</v>
      </c>
      <c r="T24" s="24">
        <f>T25-SUM(T20:T23)</f>
        <v>402</v>
      </c>
      <c r="U24" s="23">
        <f t="shared" si="10"/>
        <v>1</v>
      </c>
      <c r="V24" s="24">
        <f>V25-SUM(V20:V23)</f>
        <v>402</v>
      </c>
      <c r="W24" s="23">
        <f t="shared" si="12"/>
        <v>1</v>
      </c>
    </row>
    <row r="25" spans="1:31" x14ac:dyDescent="0.25">
      <c r="A25">
        <v>48</v>
      </c>
      <c r="B25" s="14" t="e">
        <f>VLOOKUP($A25,'1'!$A:$D,4,0)</f>
        <v>#N/A</v>
      </c>
      <c r="C25" s="14" t="e">
        <f>VLOOKUP($A25,'2'!$A:$D,4,0)</f>
        <v>#N/A</v>
      </c>
      <c r="D25" s="14" t="e">
        <f>VLOOKUP($A25,'3'!$A:$D,4,0)</f>
        <v>#N/A</v>
      </c>
      <c r="E25" s="14" t="e">
        <f>VLOOKUP($A25,'4'!$A:$D,4,0)</f>
        <v>#N/A</v>
      </c>
      <c r="F25" s="14" t="e">
        <f>VLOOKUP($A25,'5'!$A:$D,4,0)</f>
        <v>#N/A</v>
      </c>
      <c r="G25" s="15" t="e">
        <f>VLOOKUP($A25,'6'!$A:$D,4,0)</f>
        <v>#N/A</v>
      </c>
      <c r="H25" s="14" t="e">
        <f>VLOOKUP($A25,'1'!$A:$J,10,0)</f>
        <v>#N/A</v>
      </c>
      <c r="I25" s="14" t="e">
        <f>VLOOKUP($A25,'2'!$A:$J,10,0)</f>
        <v>#N/A</v>
      </c>
      <c r="J25" s="14" t="e">
        <f>VLOOKUP($A25,'3'!$A:$J,10,0)</f>
        <v>#N/A</v>
      </c>
      <c r="K25" s="14" t="e">
        <f>VLOOKUP($A25,'4'!$A:$J,10,0)</f>
        <v>#N/A</v>
      </c>
      <c r="L25" s="14" t="e">
        <f>VLOOKUP($A25,'5'!$A:$J,10,0)</f>
        <v>#N/A</v>
      </c>
      <c r="M25" s="14" t="e">
        <f>VLOOKUP($A25,'6'!$A:$J,10,0)</f>
        <v>#N/A</v>
      </c>
      <c r="N25" s="5" t="e">
        <f t="shared" si="0"/>
        <v>#N/A</v>
      </c>
      <c r="O25" s="5" t="e">
        <f t="shared" si="1"/>
        <v>#N/A</v>
      </c>
      <c r="P25" s="16" t="e">
        <f t="shared" si="2"/>
        <v>#N/A</v>
      </c>
      <c r="Q25" s="16" t="e">
        <f t="shared" si="3"/>
        <v>#N/A</v>
      </c>
      <c r="R25" s="17" t="s">
        <v>51</v>
      </c>
      <c r="S25" s="25" t="s">
        <v>43</v>
      </c>
      <c r="T25" s="26">
        <f>COUNTA(B3:G69)</f>
        <v>402</v>
      </c>
      <c r="U25" s="27">
        <f>SUM(U20:U24)</f>
        <v>1</v>
      </c>
      <c r="V25" s="26">
        <f>COUNTA(H3:M69)</f>
        <v>402</v>
      </c>
      <c r="W25" s="27">
        <f>SUM(W20:W24)</f>
        <v>1</v>
      </c>
    </row>
    <row r="26" spans="1:31" x14ac:dyDescent="0.25">
      <c r="A26">
        <v>49</v>
      </c>
      <c r="B26" s="14" t="e">
        <f>VLOOKUP($A26,'1'!$A:$D,4,0)</f>
        <v>#N/A</v>
      </c>
      <c r="C26" s="14" t="e">
        <f>VLOOKUP($A26,'2'!$A:$D,4,0)</f>
        <v>#N/A</v>
      </c>
      <c r="D26" s="14" t="e">
        <f>VLOOKUP($A26,'3'!$A:$D,4,0)</f>
        <v>#N/A</v>
      </c>
      <c r="E26" s="14" t="e">
        <f>VLOOKUP($A26,'4'!$A:$D,4,0)</f>
        <v>#N/A</v>
      </c>
      <c r="F26" s="14" t="e">
        <f>VLOOKUP($A26,'5'!$A:$D,4,0)</f>
        <v>#N/A</v>
      </c>
      <c r="G26" s="15" t="e">
        <f>VLOOKUP($A26,'6'!$A:$D,4,0)</f>
        <v>#N/A</v>
      </c>
      <c r="H26" s="14" t="e">
        <f>VLOOKUP($A26,'1'!$A:$J,10,0)</f>
        <v>#N/A</v>
      </c>
      <c r="I26" s="14" t="e">
        <f>VLOOKUP($A26,'2'!$A:$J,10,0)</f>
        <v>#N/A</v>
      </c>
      <c r="J26" s="14" t="e">
        <f>VLOOKUP($A26,'3'!$A:$J,10,0)</f>
        <v>#N/A</v>
      </c>
      <c r="K26" s="14" t="e">
        <f>VLOOKUP($A26,'4'!$A:$J,10,0)</f>
        <v>#N/A</v>
      </c>
      <c r="L26" s="14" t="e">
        <f>VLOOKUP($A26,'5'!$A:$J,10,0)</f>
        <v>#N/A</v>
      </c>
      <c r="M26" s="14" t="e">
        <f>VLOOKUP($A26,'6'!$A:$J,10,0)</f>
        <v>#N/A</v>
      </c>
      <c r="N26" s="5" t="e">
        <f t="shared" si="0"/>
        <v>#N/A</v>
      </c>
      <c r="O26" s="5" t="e">
        <f t="shared" si="1"/>
        <v>#N/A</v>
      </c>
      <c r="P26" s="16" t="e">
        <f t="shared" si="2"/>
        <v>#N/A</v>
      </c>
      <c r="Q26" s="16" t="e">
        <f t="shared" si="3"/>
        <v>#N/A</v>
      </c>
      <c r="R26" s="17" t="s">
        <v>51</v>
      </c>
      <c r="S26" s="5"/>
    </row>
    <row r="27" spans="1:31" x14ac:dyDescent="0.25">
      <c r="A27">
        <v>67</v>
      </c>
      <c r="B27" s="14" t="e">
        <f>VLOOKUP($A27,'1'!$A:$D,4,0)</f>
        <v>#N/A</v>
      </c>
      <c r="C27" s="14" t="e">
        <f>VLOOKUP($A27,'2'!$A:$D,4,0)</f>
        <v>#N/A</v>
      </c>
      <c r="D27" s="14" t="e">
        <f>VLOOKUP($A27,'3'!$A:$D,4,0)</f>
        <v>#N/A</v>
      </c>
      <c r="E27" s="14" t="e">
        <f>VLOOKUP($A27,'4'!$A:$D,4,0)</f>
        <v>#N/A</v>
      </c>
      <c r="F27" s="14" t="e">
        <f>VLOOKUP($A27,'5'!$A:$D,4,0)</f>
        <v>#N/A</v>
      </c>
      <c r="G27" s="15" t="e">
        <f>VLOOKUP($A27,'6'!$A:$D,4,0)</f>
        <v>#N/A</v>
      </c>
      <c r="H27" s="14" t="e">
        <f>VLOOKUP($A27,'1'!$A:$J,10,0)</f>
        <v>#N/A</v>
      </c>
      <c r="I27" s="14" t="e">
        <f>VLOOKUP($A27,'2'!$A:$J,10,0)</f>
        <v>#N/A</v>
      </c>
      <c r="J27" s="14" t="e">
        <f>VLOOKUP($A27,'3'!$A:$J,10,0)</f>
        <v>#N/A</v>
      </c>
      <c r="K27" s="14" t="e">
        <f>VLOOKUP($A27,'4'!$A:$J,10,0)</f>
        <v>#N/A</v>
      </c>
      <c r="L27" s="14" t="e">
        <f>VLOOKUP($A27,'5'!$A:$J,10,0)</f>
        <v>#N/A</v>
      </c>
      <c r="M27" s="14" t="e">
        <f>VLOOKUP($A27,'6'!$A:$J,10,0)</f>
        <v>#N/A</v>
      </c>
      <c r="N27" s="5" t="e">
        <f t="shared" si="0"/>
        <v>#N/A</v>
      </c>
      <c r="O27" s="5" t="e">
        <f t="shared" si="1"/>
        <v>#N/A</v>
      </c>
      <c r="P27" s="16" t="e">
        <f t="shared" si="2"/>
        <v>#N/A</v>
      </c>
      <c r="Q27" s="16" t="e">
        <f t="shared" si="3"/>
        <v>#N/A</v>
      </c>
      <c r="R27" s="17" t="s">
        <v>51</v>
      </c>
      <c r="S27" s="5"/>
    </row>
    <row r="28" spans="1:31" x14ac:dyDescent="0.25">
      <c r="A28">
        <v>69</v>
      </c>
      <c r="B28" s="14" t="e">
        <f>VLOOKUP($A28,'1'!$A:$D,4,0)</f>
        <v>#N/A</v>
      </c>
      <c r="C28" s="14" t="e">
        <f>VLOOKUP($A28,'2'!$A:$D,4,0)</f>
        <v>#N/A</v>
      </c>
      <c r="D28" s="14" t="e">
        <f>VLOOKUP($A28,'3'!$A:$D,4,0)</f>
        <v>#N/A</v>
      </c>
      <c r="E28" s="14" t="e">
        <f>VLOOKUP($A28,'4'!$A:$D,4,0)</f>
        <v>#N/A</v>
      </c>
      <c r="F28" s="14" t="e">
        <f>VLOOKUP($A28,'5'!$A:$D,4,0)</f>
        <v>#N/A</v>
      </c>
      <c r="G28" s="15" t="e">
        <f>VLOOKUP($A28,'6'!$A:$D,4,0)</f>
        <v>#N/A</v>
      </c>
      <c r="H28" s="14" t="e">
        <f>VLOOKUP($A28,'1'!$A:$J,10,0)</f>
        <v>#N/A</v>
      </c>
      <c r="I28" s="14" t="e">
        <f>VLOOKUP($A28,'2'!$A:$J,10,0)</f>
        <v>#N/A</v>
      </c>
      <c r="J28" s="14" t="e">
        <f>VLOOKUP($A28,'3'!$A:$J,10,0)</f>
        <v>#N/A</v>
      </c>
      <c r="K28" s="14" t="e">
        <f>VLOOKUP($A28,'4'!$A:$J,10,0)</f>
        <v>#N/A</v>
      </c>
      <c r="L28" s="14" t="e">
        <f>VLOOKUP($A28,'5'!$A:$J,10,0)</f>
        <v>#N/A</v>
      </c>
      <c r="M28" s="14" t="e">
        <f>VLOOKUP($A28,'6'!$A:$J,10,0)</f>
        <v>#N/A</v>
      </c>
      <c r="N28" s="5" t="e">
        <f t="shared" si="0"/>
        <v>#N/A</v>
      </c>
      <c r="O28" s="5" t="e">
        <f t="shared" si="1"/>
        <v>#N/A</v>
      </c>
      <c r="P28" s="16" t="e">
        <f t="shared" si="2"/>
        <v>#N/A</v>
      </c>
      <c r="Q28" s="16" t="e">
        <f t="shared" si="3"/>
        <v>#N/A</v>
      </c>
      <c r="R28" s="17" t="s">
        <v>51</v>
      </c>
      <c r="S28" s="5"/>
    </row>
    <row r="29" spans="1:31" x14ac:dyDescent="0.25">
      <c r="A29">
        <v>70</v>
      </c>
      <c r="B29" s="14" t="e">
        <f>VLOOKUP($A29,'1'!$A:$D,4,0)</f>
        <v>#N/A</v>
      </c>
      <c r="C29" s="14" t="e">
        <f>VLOOKUP($A29,'2'!$A:$D,4,0)</f>
        <v>#N/A</v>
      </c>
      <c r="D29" s="14" t="e">
        <f>VLOOKUP($A29,'3'!$A:$D,4,0)</f>
        <v>#N/A</v>
      </c>
      <c r="E29" s="14" t="e">
        <f>VLOOKUP($A29,'4'!$A:$D,4,0)</f>
        <v>#N/A</v>
      </c>
      <c r="F29" s="14" t="e">
        <f>VLOOKUP($A29,'5'!$A:$D,4,0)</f>
        <v>#N/A</v>
      </c>
      <c r="G29" s="15" t="e">
        <f>VLOOKUP($A29,'6'!$A:$D,4,0)</f>
        <v>#N/A</v>
      </c>
      <c r="H29" s="14" t="e">
        <f>VLOOKUP($A29,'1'!$A:$J,10,0)</f>
        <v>#N/A</v>
      </c>
      <c r="I29" s="14" t="e">
        <f>VLOOKUP($A29,'2'!$A:$J,10,0)</f>
        <v>#N/A</v>
      </c>
      <c r="J29" s="14" t="e">
        <f>VLOOKUP($A29,'3'!$A:$J,10,0)</f>
        <v>#N/A</v>
      </c>
      <c r="K29" s="14" t="e">
        <f>VLOOKUP($A29,'4'!$A:$J,10,0)</f>
        <v>#N/A</v>
      </c>
      <c r="L29" s="14" t="e">
        <f>VLOOKUP($A29,'5'!$A:$J,10,0)</f>
        <v>#N/A</v>
      </c>
      <c r="M29" s="14" t="e">
        <f>VLOOKUP($A29,'6'!$A:$J,10,0)</f>
        <v>#N/A</v>
      </c>
      <c r="N29" s="5" t="e">
        <f t="shared" si="0"/>
        <v>#N/A</v>
      </c>
      <c r="O29" s="5" t="e">
        <f t="shared" si="1"/>
        <v>#N/A</v>
      </c>
      <c r="P29" s="16" t="e">
        <f t="shared" si="2"/>
        <v>#N/A</v>
      </c>
      <c r="Q29" s="16" t="e">
        <f t="shared" si="3"/>
        <v>#N/A</v>
      </c>
      <c r="R29" s="17" t="s">
        <v>51</v>
      </c>
      <c r="S29" s="5"/>
    </row>
    <row r="30" spans="1:31" x14ac:dyDescent="0.25">
      <c r="A30">
        <v>72</v>
      </c>
      <c r="B30" s="14" t="e">
        <f>VLOOKUP($A30,'1'!$A:$D,4,0)</f>
        <v>#N/A</v>
      </c>
      <c r="C30" s="14" t="e">
        <f>VLOOKUP($A30,'2'!$A:$D,4,0)</f>
        <v>#N/A</v>
      </c>
      <c r="D30" s="14" t="e">
        <f>VLOOKUP($A30,'3'!$A:$D,4,0)</f>
        <v>#N/A</v>
      </c>
      <c r="E30" s="14" t="e">
        <f>VLOOKUP($A30,'4'!$A:$D,4,0)</f>
        <v>#N/A</v>
      </c>
      <c r="F30" s="14" t="e">
        <f>VLOOKUP($A30,'5'!$A:$D,4,0)</f>
        <v>#N/A</v>
      </c>
      <c r="G30" s="15" t="e">
        <f>VLOOKUP($A30,'6'!$A:$D,4,0)</f>
        <v>#N/A</v>
      </c>
      <c r="H30" s="14" t="e">
        <f>VLOOKUP($A30,'1'!$A:$J,10,0)</f>
        <v>#N/A</v>
      </c>
      <c r="I30" s="14" t="e">
        <f>VLOOKUP($A30,'2'!$A:$J,10,0)</f>
        <v>#N/A</v>
      </c>
      <c r="J30" s="14" t="e">
        <f>VLOOKUP($A30,'3'!$A:$J,10,0)</f>
        <v>#N/A</v>
      </c>
      <c r="K30" s="14" t="e">
        <f>VLOOKUP($A30,'4'!$A:$J,10,0)</f>
        <v>#N/A</v>
      </c>
      <c r="L30" s="14" t="e">
        <f>VLOOKUP($A30,'5'!$A:$J,10,0)</f>
        <v>#N/A</v>
      </c>
      <c r="M30" s="14" t="e">
        <f>VLOOKUP($A30,'6'!$A:$J,10,0)</f>
        <v>#N/A</v>
      </c>
      <c r="N30" s="5" t="e">
        <f t="shared" si="0"/>
        <v>#N/A</v>
      </c>
      <c r="O30" s="5" t="e">
        <f t="shared" si="1"/>
        <v>#N/A</v>
      </c>
      <c r="P30" s="16" t="e">
        <f t="shared" si="2"/>
        <v>#N/A</v>
      </c>
      <c r="Q30" s="16" t="e">
        <f t="shared" si="3"/>
        <v>#N/A</v>
      </c>
      <c r="R30" s="17" t="s">
        <v>51</v>
      </c>
      <c r="S30" s="5"/>
    </row>
    <row r="31" spans="1:31" x14ac:dyDescent="0.25">
      <c r="A31">
        <v>73</v>
      </c>
      <c r="B31" s="14" t="e">
        <f>VLOOKUP($A31,'1'!$A:$D,4,0)</f>
        <v>#N/A</v>
      </c>
      <c r="C31" s="14" t="e">
        <f>VLOOKUP($A31,'2'!$A:$D,4,0)</f>
        <v>#N/A</v>
      </c>
      <c r="D31" s="14" t="e">
        <f>VLOOKUP($A31,'3'!$A:$D,4,0)</f>
        <v>#N/A</v>
      </c>
      <c r="E31" s="14" t="e">
        <f>VLOOKUP($A31,'4'!$A:$D,4,0)</f>
        <v>#N/A</v>
      </c>
      <c r="F31" s="14" t="e">
        <f>VLOOKUP($A31,'5'!$A:$D,4,0)</f>
        <v>#N/A</v>
      </c>
      <c r="G31" s="15" t="e">
        <f>VLOOKUP($A31,'6'!$A:$D,4,0)</f>
        <v>#N/A</v>
      </c>
      <c r="H31" s="14" t="e">
        <f>VLOOKUP($A31,'1'!$A:$J,10,0)</f>
        <v>#N/A</v>
      </c>
      <c r="I31" s="14" t="e">
        <f>VLOOKUP($A31,'2'!$A:$J,10,0)</f>
        <v>#N/A</v>
      </c>
      <c r="J31" s="14" t="e">
        <f>VLOOKUP($A31,'3'!$A:$J,10,0)</f>
        <v>#N/A</v>
      </c>
      <c r="K31" s="14" t="e">
        <f>VLOOKUP($A31,'4'!$A:$J,10,0)</f>
        <v>#N/A</v>
      </c>
      <c r="L31" s="14" t="e">
        <f>VLOOKUP($A31,'5'!$A:$J,10,0)</f>
        <v>#N/A</v>
      </c>
      <c r="M31" s="14" t="e">
        <f>VLOOKUP($A31,'6'!$A:$J,10,0)</f>
        <v>#N/A</v>
      </c>
      <c r="N31" s="5" t="e">
        <f t="shared" si="0"/>
        <v>#N/A</v>
      </c>
      <c r="O31" s="5" t="e">
        <f t="shared" si="1"/>
        <v>#N/A</v>
      </c>
      <c r="P31" s="16" t="e">
        <f t="shared" si="2"/>
        <v>#N/A</v>
      </c>
      <c r="Q31" s="16" t="e">
        <f t="shared" si="3"/>
        <v>#N/A</v>
      </c>
      <c r="R31" s="17" t="s">
        <v>51</v>
      </c>
      <c r="S31" s="16" t="s">
        <v>59</v>
      </c>
      <c r="T31" t="s">
        <v>68</v>
      </c>
    </row>
    <row r="32" spans="1:31" x14ac:dyDescent="0.25">
      <c r="A32">
        <v>75</v>
      </c>
      <c r="B32" s="14" t="e">
        <f>VLOOKUP($A32,'1'!$A:$D,4,0)</f>
        <v>#N/A</v>
      </c>
      <c r="C32" s="14" t="e">
        <f>VLOOKUP($A32,'2'!$A:$D,4,0)</f>
        <v>#N/A</v>
      </c>
      <c r="D32" s="14" t="e">
        <f>VLOOKUP($A32,'3'!$A:$D,4,0)</f>
        <v>#N/A</v>
      </c>
      <c r="E32" s="14" t="e">
        <f>VLOOKUP($A32,'4'!$A:$D,4,0)</f>
        <v>#N/A</v>
      </c>
      <c r="F32" s="14" t="e">
        <f>VLOOKUP($A32,'5'!$A:$D,4,0)</f>
        <v>#N/A</v>
      </c>
      <c r="G32" s="15" t="e">
        <f>VLOOKUP($A32,'6'!$A:$D,4,0)</f>
        <v>#N/A</v>
      </c>
      <c r="H32" s="14" t="e">
        <f>VLOOKUP($A32,'1'!$A:$J,10,0)</f>
        <v>#N/A</v>
      </c>
      <c r="I32" s="14" t="e">
        <f>VLOOKUP($A32,'2'!$A:$J,10,0)</f>
        <v>#N/A</v>
      </c>
      <c r="J32" s="14" t="e">
        <f>VLOOKUP($A32,'3'!$A:$J,10,0)</f>
        <v>#N/A</v>
      </c>
      <c r="K32" s="14" t="e">
        <f>VLOOKUP($A32,'4'!$A:$J,10,0)</f>
        <v>#N/A</v>
      </c>
      <c r="L32" s="14" t="e">
        <f>VLOOKUP($A32,'5'!$A:$J,10,0)</f>
        <v>#N/A</v>
      </c>
      <c r="M32" s="14" t="e">
        <f>VLOOKUP($A32,'6'!$A:$J,10,0)</f>
        <v>#N/A</v>
      </c>
      <c r="N32" s="5" t="e">
        <f t="shared" si="0"/>
        <v>#N/A</v>
      </c>
      <c r="O32" s="5" t="e">
        <f t="shared" si="1"/>
        <v>#N/A</v>
      </c>
      <c r="P32" s="16" t="e">
        <f t="shared" si="2"/>
        <v>#N/A</v>
      </c>
      <c r="Q32" s="16" t="e">
        <f t="shared" si="3"/>
        <v>#N/A</v>
      </c>
      <c r="R32" s="17" t="s">
        <v>51</v>
      </c>
      <c r="S32" s="16" t="s">
        <v>61</v>
      </c>
      <c r="T32" t="s">
        <v>69</v>
      </c>
    </row>
    <row r="33" spans="1:20" x14ac:dyDescent="0.25">
      <c r="A33">
        <v>76</v>
      </c>
      <c r="B33" s="14" t="e">
        <f>VLOOKUP($A33,'1'!$A:$D,4,0)</f>
        <v>#N/A</v>
      </c>
      <c r="C33" s="14" t="e">
        <f>VLOOKUP($A33,'2'!$A:$D,4,0)</f>
        <v>#N/A</v>
      </c>
      <c r="D33" s="14" t="e">
        <f>VLOOKUP($A33,'3'!$A:$D,4,0)</f>
        <v>#N/A</v>
      </c>
      <c r="E33" s="14" t="e">
        <f>VLOOKUP($A33,'4'!$A:$D,4,0)</f>
        <v>#N/A</v>
      </c>
      <c r="F33" s="14" t="e">
        <f>VLOOKUP($A33,'5'!$A:$D,4,0)</f>
        <v>#N/A</v>
      </c>
      <c r="G33" s="15" t="e">
        <f>VLOOKUP($A33,'6'!$A:$D,4,0)</f>
        <v>#N/A</v>
      </c>
      <c r="H33" s="14" t="e">
        <f>VLOOKUP($A33,'1'!$A:$J,10,0)</f>
        <v>#N/A</v>
      </c>
      <c r="I33" s="14" t="e">
        <f>VLOOKUP($A33,'2'!$A:$J,10,0)</f>
        <v>#N/A</v>
      </c>
      <c r="J33" s="14" t="e">
        <f>VLOOKUP($A33,'3'!$A:$J,10,0)</f>
        <v>#N/A</v>
      </c>
      <c r="K33" s="14" t="e">
        <f>VLOOKUP($A33,'4'!$A:$J,10,0)</f>
        <v>#N/A</v>
      </c>
      <c r="L33" s="14" t="e">
        <f>VLOOKUP($A33,'5'!$A:$J,10,0)</f>
        <v>#N/A</v>
      </c>
      <c r="M33" s="14" t="e">
        <f>VLOOKUP($A33,'6'!$A:$J,10,0)</f>
        <v>#N/A</v>
      </c>
      <c r="N33" s="5" t="e">
        <f t="shared" si="0"/>
        <v>#N/A</v>
      </c>
      <c r="O33" s="5" t="e">
        <f t="shared" si="1"/>
        <v>#N/A</v>
      </c>
      <c r="P33" s="16" t="e">
        <f t="shared" si="2"/>
        <v>#N/A</v>
      </c>
      <c r="Q33" s="16" t="e">
        <f t="shared" si="3"/>
        <v>#N/A</v>
      </c>
      <c r="R33" s="17" t="s">
        <v>51</v>
      </c>
      <c r="S33" s="16" t="s">
        <v>63</v>
      </c>
      <c r="T33" t="s">
        <v>70</v>
      </c>
    </row>
    <row r="34" spans="1:20" x14ac:dyDescent="0.25">
      <c r="A34">
        <v>77</v>
      </c>
      <c r="B34" s="14" t="e">
        <f>VLOOKUP($A34,'1'!$A:$D,4,0)</f>
        <v>#N/A</v>
      </c>
      <c r="C34" s="14" t="e">
        <f>VLOOKUP($A34,'2'!$A:$D,4,0)</f>
        <v>#N/A</v>
      </c>
      <c r="D34" s="14" t="e">
        <f>VLOOKUP($A34,'3'!$A:$D,4,0)</f>
        <v>#N/A</v>
      </c>
      <c r="E34" s="14" t="e">
        <f>VLOOKUP($A34,'4'!$A:$D,4,0)</f>
        <v>#N/A</v>
      </c>
      <c r="F34" s="14" t="e">
        <f>VLOOKUP($A34,'5'!$A:$D,4,0)</f>
        <v>#N/A</v>
      </c>
      <c r="G34" s="15" t="e">
        <f>VLOOKUP($A34,'6'!$A:$D,4,0)</f>
        <v>#N/A</v>
      </c>
      <c r="H34" s="14" t="e">
        <f>VLOOKUP($A34,'1'!$A:$J,10,0)</f>
        <v>#N/A</v>
      </c>
      <c r="I34" s="14" t="e">
        <f>VLOOKUP($A34,'2'!$A:$J,10,0)</f>
        <v>#N/A</v>
      </c>
      <c r="J34" s="14" t="e">
        <f>VLOOKUP($A34,'3'!$A:$J,10,0)</f>
        <v>#N/A</v>
      </c>
      <c r="K34" s="14" t="e">
        <f>VLOOKUP($A34,'4'!$A:$J,10,0)</f>
        <v>#N/A</v>
      </c>
      <c r="L34" s="14" t="e">
        <f>VLOOKUP($A34,'5'!$A:$J,10,0)</f>
        <v>#N/A</v>
      </c>
      <c r="M34" s="14" t="e">
        <f>VLOOKUP($A34,'6'!$A:$J,10,0)</f>
        <v>#N/A</v>
      </c>
      <c r="N34" s="5" t="e">
        <f t="shared" si="0"/>
        <v>#N/A</v>
      </c>
      <c r="O34" s="5" t="e">
        <f t="shared" si="1"/>
        <v>#N/A</v>
      </c>
      <c r="P34" s="16" t="e">
        <f t="shared" si="2"/>
        <v>#N/A</v>
      </c>
      <c r="Q34" s="16" t="e">
        <f t="shared" si="3"/>
        <v>#N/A</v>
      </c>
      <c r="R34" s="17" t="s">
        <v>51</v>
      </c>
      <c r="S34" s="16" t="s">
        <v>65</v>
      </c>
      <c r="T34" t="s">
        <v>71</v>
      </c>
    </row>
    <row r="35" spans="1:20" x14ac:dyDescent="0.25">
      <c r="A35">
        <v>78</v>
      </c>
      <c r="B35" s="14" t="e">
        <f>VLOOKUP($A35,'1'!$A:$D,4,0)</f>
        <v>#N/A</v>
      </c>
      <c r="C35" s="14" t="e">
        <f>VLOOKUP($A35,'2'!$A:$D,4,0)</f>
        <v>#N/A</v>
      </c>
      <c r="D35" s="14" t="e">
        <f>VLOOKUP($A35,'3'!$A:$D,4,0)</f>
        <v>#N/A</v>
      </c>
      <c r="E35" s="14" t="e">
        <f>VLOOKUP($A35,'4'!$A:$D,4,0)</f>
        <v>#N/A</v>
      </c>
      <c r="F35" s="14" t="e">
        <f>VLOOKUP($A35,'5'!$A:$D,4,0)</f>
        <v>#N/A</v>
      </c>
      <c r="G35" s="15" t="e">
        <f>VLOOKUP($A35,'6'!$A:$D,4,0)</f>
        <v>#N/A</v>
      </c>
      <c r="H35" s="14" t="e">
        <f>VLOOKUP($A35,'1'!$A:$J,10,0)</f>
        <v>#N/A</v>
      </c>
      <c r="I35" s="14" t="e">
        <f>VLOOKUP($A35,'2'!$A:$J,10,0)</f>
        <v>#N/A</v>
      </c>
      <c r="J35" s="14" t="e">
        <f>VLOOKUP($A35,'3'!$A:$J,10,0)</f>
        <v>#N/A</v>
      </c>
      <c r="K35" s="14" t="e">
        <f>VLOOKUP($A35,'4'!$A:$J,10,0)</f>
        <v>#N/A</v>
      </c>
      <c r="L35" s="14" t="e">
        <f>VLOOKUP($A35,'5'!$A:$J,10,0)</f>
        <v>#N/A</v>
      </c>
      <c r="M35" s="14" t="e">
        <f>VLOOKUP($A35,'6'!$A:$J,10,0)</f>
        <v>#N/A</v>
      </c>
      <c r="N35" s="5" t="e">
        <f t="shared" si="0"/>
        <v>#N/A</v>
      </c>
      <c r="O35" s="5" t="e">
        <f t="shared" si="1"/>
        <v>#N/A</v>
      </c>
      <c r="P35" s="16" t="e">
        <f t="shared" si="2"/>
        <v>#N/A</v>
      </c>
      <c r="Q35" s="16" t="e">
        <f t="shared" si="3"/>
        <v>#N/A</v>
      </c>
      <c r="R35" s="17" t="s">
        <v>51</v>
      </c>
      <c r="S35" s="5"/>
    </row>
    <row r="36" spans="1:20" x14ac:dyDescent="0.25">
      <c r="A36">
        <v>79</v>
      </c>
      <c r="B36" s="14" t="e">
        <f>VLOOKUP($A36,'1'!$A:$D,4,0)</f>
        <v>#N/A</v>
      </c>
      <c r="C36" s="14" t="e">
        <f>VLOOKUP($A36,'2'!$A:$D,4,0)</f>
        <v>#N/A</v>
      </c>
      <c r="D36" s="14" t="e">
        <f>VLOOKUP($A36,'3'!$A:$D,4,0)</f>
        <v>#N/A</v>
      </c>
      <c r="E36" s="14" t="e">
        <f>VLOOKUP($A36,'4'!$A:$D,4,0)</f>
        <v>#N/A</v>
      </c>
      <c r="F36" s="14" t="e">
        <f>VLOOKUP($A36,'5'!$A:$D,4,0)</f>
        <v>#N/A</v>
      </c>
      <c r="G36" s="15" t="e">
        <f>VLOOKUP($A36,'6'!$A:$D,4,0)</f>
        <v>#N/A</v>
      </c>
      <c r="H36" s="14" t="e">
        <f>VLOOKUP($A36,'1'!$A:$J,10,0)</f>
        <v>#N/A</v>
      </c>
      <c r="I36" s="14" t="e">
        <f>VLOOKUP($A36,'2'!$A:$J,10,0)</f>
        <v>#N/A</v>
      </c>
      <c r="J36" s="14" t="e">
        <f>VLOOKUP($A36,'3'!$A:$J,10,0)</f>
        <v>#N/A</v>
      </c>
      <c r="K36" s="14" t="e">
        <f>VLOOKUP($A36,'4'!$A:$J,10,0)</f>
        <v>#N/A</v>
      </c>
      <c r="L36" s="14" t="e">
        <f>VLOOKUP($A36,'5'!$A:$J,10,0)</f>
        <v>#N/A</v>
      </c>
      <c r="M36" s="14" t="e">
        <f>VLOOKUP($A36,'6'!$A:$J,10,0)</f>
        <v>#N/A</v>
      </c>
      <c r="N36" s="5" t="e">
        <f t="shared" si="0"/>
        <v>#N/A</v>
      </c>
      <c r="O36" s="5" t="e">
        <f t="shared" si="1"/>
        <v>#N/A</v>
      </c>
      <c r="P36" s="16" t="e">
        <f t="shared" si="2"/>
        <v>#N/A</v>
      </c>
      <c r="Q36" s="16" t="e">
        <f t="shared" si="3"/>
        <v>#N/A</v>
      </c>
      <c r="R36" s="17" t="s">
        <v>51</v>
      </c>
      <c r="S36" s="5"/>
    </row>
    <row r="37" spans="1:20" x14ac:dyDescent="0.25">
      <c r="A37">
        <v>80</v>
      </c>
      <c r="B37" s="14" t="e">
        <f>VLOOKUP($A37,'1'!$A:$D,4,0)</f>
        <v>#N/A</v>
      </c>
      <c r="C37" s="14" t="e">
        <f>VLOOKUP($A37,'2'!$A:$D,4,0)</f>
        <v>#N/A</v>
      </c>
      <c r="D37" s="14" t="e">
        <f>VLOOKUP($A37,'3'!$A:$D,4,0)</f>
        <v>#N/A</v>
      </c>
      <c r="E37" s="14" t="e">
        <f>VLOOKUP($A37,'4'!$A:$D,4,0)</f>
        <v>#N/A</v>
      </c>
      <c r="F37" s="14" t="e">
        <f>VLOOKUP($A37,'5'!$A:$D,4,0)</f>
        <v>#N/A</v>
      </c>
      <c r="G37" s="15" t="e">
        <f>VLOOKUP($A37,'6'!$A:$D,4,0)</f>
        <v>#N/A</v>
      </c>
      <c r="H37" s="14" t="e">
        <f>VLOOKUP($A37,'1'!$A:$J,10,0)</f>
        <v>#N/A</v>
      </c>
      <c r="I37" s="14" t="e">
        <f>VLOOKUP($A37,'2'!$A:$J,10,0)</f>
        <v>#N/A</v>
      </c>
      <c r="J37" s="14" t="e">
        <f>VLOOKUP($A37,'3'!$A:$J,10,0)</f>
        <v>#N/A</v>
      </c>
      <c r="K37" s="14" t="e">
        <f>VLOOKUP($A37,'4'!$A:$J,10,0)</f>
        <v>#N/A</v>
      </c>
      <c r="L37" s="14" t="e">
        <f>VLOOKUP($A37,'5'!$A:$J,10,0)</f>
        <v>#N/A</v>
      </c>
      <c r="M37" s="14" t="e">
        <f>VLOOKUP($A37,'6'!$A:$J,10,0)</f>
        <v>#N/A</v>
      </c>
      <c r="N37" s="5" t="e">
        <f t="shared" si="0"/>
        <v>#N/A</v>
      </c>
      <c r="O37" s="5" t="e">
        <f t="shared" si="1"/>
        <v>#N/A</v>
      </c>
      <c r="P37" s="16" t="e">
        <f t="shared" si="2"/>
        <v>#N/A</v>
      </c>
      <c r="Q37" s="16" t="e">
        <f t="shared" si="3"/>
        <v>#N/A</v>
      </c>
      <c r="R37" s="17" t="s">
        <v>51</v>
      </c>
      <c r="S37" s="5"/>
    </row>
    <row r="38" spans="1:20" x14ac:dyDescent="0.25">
      <c r="A38">
        <v>81</v>
      </c>
      <c r="B38" s="14" t="e">
        <f>VLOOKUP($A38,'1'!$A:$D,4,0)</f>
        <v>#N/A</v>
      </c>
      <c r="C38" s="14" t="e">
        <f>VLOOKUP($A38,'2'!$A:$D,4,0)</f>
        <v>#N/A</v>
      </c>
      <c r="D38" s="14" t="e">
        <f>VLOOKUP($A38,'3'!$A:$D,4,0)</f>
        <v>#N/A</v>
      </c>
      <c r="E38" s="14" t="e">
        <f>VLOOKUP($A38,'4'!$A:$D,4,0)</f>
        <v>#N/A</v>
      </c>
      <c r="F38" s="14" t="e">
        <f>VLOOKUP($A38,'5'!$A:$D,4,0)</f>
        <v>#N/A</v>
      </c>
      <c r="G38" s="15" t="e">
        <f>VLOOKUP($A38,'6'!$A:$D,4,0)</f>
        <v>#N/A</v>
      </c>
      <c r="H38" s="14" t="e">
        <f>VLOOKUP($A38,'1'!$A:$J,10,0)</f>
        <v>#N/A</v>
      </c>
      <c r="I38" s="14" t="e">
        <f>VLOOKUP($A38,'2'!$A:$J,10,0)</f>
        <v>#N/A</v>
      </c>
      <c r="J38" s="14" t="e">
        <f>VLOOKUP($A38,'3'!$A:$J,10,0)</f>
        <v>#N/A</v>
      </c>
      <c r="K38" s="14" t="e">
        <f>VLOOKUP($A38,'4'!$A:$J,10,0)</f>
        <v>#N/A</v>
      </c>
      <c r="L38" s="14" t="e">
        <f>VLOOKUP($A38,'5'!$A:$J,10,0)</f>
        <v>#N/A</v>
      </c>
      <c r="M38" s="14" t="e">
        <f>VLOOKUP($A38,'6'!$A:$J,10,0)</f>
        <v>#N/A</v>
      </c>
      <c r="N38" s="5" t="e">
        <f t="shared" si="0"/>
        <v>#N/A</v>
      </c>
      <c r="O38" s="5" t="e">
        <f t="shared" si="1"/>
        <v>#N/A</v>
      </c>
      <c r="P38" s="16" t="e">
        <f t="shared" si="2"/>
        <v>#N/A</v>
      </c>
      <c r="Q38" s="16" t="e">
        <f t="shared" si="3"/>
        <v>#N/A</v>
      </c>
      <c r="R38" s="17" t="s">
        <v>51</v>
      </c>
      <c r="S38" s="5"/>
    </row>
    <row r="39" spans="1:20" x14ac:dyDescent="0.25">
      <c r="A39">
        <v>82</v>
      </c>
      <c r="B39" s="14" t="e">
        <f>VLOOKUP($A39,'1'!$A:$D,4,0)</f>
        <v>#N/A</v>
      </c>
      <c r="C39" s="14" t="e">
        <f>VLOOKUP($A39,'2'!$A:$D,4,0)</f>
        <v>#N/A</v>
      </c>
      <c r="D39" s="14" t="e">
        <f>VLOOKUP($A39,'3'!$A:$D,4,0)</f>
        <v>#N/A</v>
      </c>
      <c r="E39" s="14" t="e">
        <f>VLOOKUP($A39,'4'!$A:$D,4,0)</f>
        <v>#N/A</v>
      </c>
      <c r="F39" s="14" t="e">
        <f>VLOOKUP($A39,'5'!$A:$D,4,0)</f>
        <v>#N/A</v>
      </c>
      <c r="G39" s="15" t="e">
        <f>VLOOKUP($A39,'6'!$A:$D,4,0)</f>
        <v>#N/A</v>
      </c>
      <c r="H39" s="14" t="e">
        <f>VLOOKUP($A39,'1'!$A:$J,10,0)</f>
        <v>#N/A</v>
      </c>
      <c r="I39" s="14" t="e">
        <f>VLOOKUP($A39,'2'!$A:$J,10,0)</f>
        <v>#N/A</v>
      </c>
      <c r="J39" s="14" t="e">
        <f>VLOOKUP($A39,'3'!$A:$J,10,0)</f>
        <v>#N/A</v>
      </c>
      <c r="K39" s="14" t="e">
        <f>VLOOKUP($A39,'4'!$A:$J,10,0)</f>
        <v>#N/A</v>
      </c>
      <c r="L39" s="14" t="e">
        <f>VLOOKUP($A39,'5'!$A:$J,10,0)</f>
        <v>#N/A</v>
      </c>
      <c r="M39" s="14" t="e">
        <f>VLOOKUP($A39,'6'!$A:$J,10,0)</f>
        <v>#N/A</v>
      </c>
      <c r="N39" s="5" t="e">
        <f t="shared" si="0"/>
        <v>#N/A</v>
      </c>
      <c r="O39" s="5" t="e">
        <f t="shared" si="1"/>
        <v>#N/A</v>
      </c>
      <c r="P39" s="16" t="e">
        <f t="shared" si="2"/>
        <v>#N/A</v>
      </c>
      <c r="Q39" s="16" t="e">
        <f t="shared" si="3"/>
        <v>#N/A</v>
      </c>
      <c r="R39" s="17" t="s">
        <v>51</v>
      </c>
      <c r="S39" s="5"/>
    </row>
    <row r="40" spans="1:20" x14ac:dyDescent="0.25">
      <c r="A40">
        <v>83</v>
      </c>
      <c r="B40" s="14" t="e">
        <f>VLOOKUP($A40,'1'!$A:$D,4,0)</f>
        <v>#N/A</v>
      </c>
      <c r="C40" s="14" t="e">
        <f>VLOOKUP($A40,'2'!$A:$D,4,0)</f>
        <v>#N/A</v>
      </c>
      <c r="D40" s="14" t="e">
        <f>VLOOKUP($A40,'3'!$A:$D,4,0)</f>
        <v>#N/A</v>
      </c>
      <c r="E40" s="14" t="e">
        <f>VLOOKUP($A40,'4'!$A:$D,4,0)</f>
        <v>#N/A</v>
      </c>
      <c r="F40" s="14" t="e">
        <f>VLOOKUP($A40,'5'!$A:$D,4,0)</f>
        <v>#N/A</v>
      </c>
      <c r="G40" s="15" t="e">
        <f>VLOOKUP($A40,'6'!$A:$D,4,0)</f>
        <v>#N/A</v>
      </c>
      <c r="H40" s="14" t="e">
        <f>VLOOKUP($A40,'1'!$A:$J,10,0)</f>
        <v>#N/A</v>
      </c>
      <c r="I40" s="14" t="e">
        <f>VLOOKUP($A40,'2'!$A:$J,10,0)</f>
        <v>#N/A</v>
      </c>
      <c r="J40" s="14" t="e">
        <f>VLOOKUP($A40,'3'!$A:$J,10,0)</f>
        <v>#N/A</v>
      </c>
      <c r="K40" s="14" t="e">
        <f>VLOOKUP($A40,'4'!$A:$J,10,0)</f>
        <v>#N/A</v>
      </c>
      <c r="L40" s="14" t="e">
        <f>VLOOKUP($A40,'5'!$A:$J,10,0)</f>
        <v>#N/A</v>
      </c>
      <c r="M40" s="14" t="e">
        <f>VLOOKUP($A40,'6'!$A:$J,10,0)</f>
        <v>#N/A</v>
      </c>
      <c r="N40" s="5" t="e">
        <f t="shared" si="0"/>
        <v>#N/A</v>
      </c>
      <c r="O40" s="5" t="e">
        <f t="shared" si="1"/>
        <v>#N/A</v>
      </c>
      <c r="P40" s="16" t="e">
        <f t="shared" si="2"/>
        <v>#N/A</v>
      </c>
      <c r="Q40" s="16" t="e">
        <f t="shared" si="3"/>
        <v>#N/A</v>
      </c>
      <c r="R40" s="17" t="s">
        <v>51</v>
      </c>
      <c r="S40" s="5"/>
    </row>
    <row r="41" spans="1:20" x14ac:dyDescent="0.25">
      <c r="A41">
        <v>84</v>
      </c>
      <c r="B41" s="14" t="e">
        <f>VLOOKUP($A41,'1'!$A:$D,4,0)</f>
        <v>#N/A</v>
      </c>
      <c r="C41" s="14" t="e">
        <f>VLOOKUP($A41,'2'!$A:$D,4,0)</f>
        <v>#N/A</v>
      </c>
      <c r="D41" s="14" t="e">
        <f>VLOOKUP($A41,'3'!$A:$D,4,0)</f>
        <v>#N/A</v>
      </c>
      <c r="E41" s="14" t="e">
        <f>VLOOKUP($A41,'4'!$A:$D,4,0)</f>
        <v>#N/A</v>
      </c>
      <c r="F41" s="14" t="e">
        <f>VLOOKUP($A41,'5'!$A:$D,4,0)</f>
        <v>#N/A</v>
      </c>
      <c r="G41" s="15" t="e">
        <f>VLOOKUP($A41,'6'!$A:$D,4,0)</f>
        <v>#N/A</v>
      </c>
      <c r="H41" s="14" t="e">
        <f>VLOOKUP($A41,'1'!$A:$J,10,0)</f>
        <v>#N/A</v>
      </c>
      <c r="I41" s="14" t="e">
        <f>VLOOKUP($A41,'2'!$A:$J,10,0)</f>
        <v>#N/A</v>
      </c>
      <c r="J41" s="14" t="e">
        <f>VLOOKUP($A41,'3'!$A:$J,10,0)</f>
        <v>#N/A</v>
      </c>
      <c r="K41" s="14" t="e">
        <f>VLOOKUP($A41,'4'!$A:$J,10,0)</f>
        <v>#N/A</v>
      </c>
      <c r="L41" s="14" t="e">
        <f>VLOOKUP($A41,'5'!$A:$J,10,0)</f>
        <v>#N/A</v>
      </c>
      <c r="M41" s="14" t="e">
        <f>VLOOKUP($A41,'6'!$A:$J,10,0)</f>
        <v>#N/A</v>
      </c>
      <c r="N41" s="5" t="e">
        <f t="shared" si="0"/>
        <v>#N/A</v>
      </c>
      <c r="O41" s="5" t="e">
        <f t="shared" si="1"/>
        <v>#N/A</v>
      </c>
      <c r="P41" s="16" t="e">
        <f t="shared" si="2"/>
        <v>#N/A</v>
      </c>
      <c r="Q41" s="16" t="e">
        <f t="shared" si="3"/>
        <v>#N/A</v>
      </c>
      <c r="R41" s="17" t="s">
        <v>51</v>
      </c>
      <c r="S41" s="5"/>
    </row>
    <row r="42" spans="1:20" x14ac:dyDescent="0.25">
      <c r="A42">
        <v>86</v>
      </c>
      <c r="B42" s="14" t="e">
        <f>VLOOKUP($A42,'1'!$A:$D,4,0)</f>
        <v>#N/A</v>
      </c>
      <c r="C42" s="14" t="e">
        <f>VLOOKUP($A42,'2'!$A:$D,4,0)</f>
        <v>#N/A</v>
      </c>
      <c r="D42" s="14" t="e">
        <f>VLOOKUP($A42,'3'!$A:$D,4,0)</f>
        <v>#N/A</v>
      </c>
      <c r="E42" s="14" t="e">
        <f>VLOOKUP($A42,'4'!$A:$D,4,0)</f>
        <v>#N/A</v>
      </c>
      <c r="F42" s="14" t="e">
        <f>VLOOKUP($A42,'5'!$A:$D,4,0)</f>
        <v>#N/A</v>
      </c>
      <c r="G42" s="15" t="e">
        <f>VLOOKUP($A42,'6'!$A:$D,4,0)</f>
        <v>#N/A</v>
      </c>
      <c r="H42" s="14" t="e">
        <f>VLOOKUP($A42,'1'!$A:$J,10,0)</f>
        <v>#N/A</v>
      </c>
      <c r="I42" s="14" t="e">
        <f>VLOOKUP($A42,'2'!$A:$J,10,0)</f>
        <v>#N/A</v>
      </c>
      <c r="J42" s="14" t="e">
        <f>VLOOKUP($A42,'3'!$A:$J,10,0)</f>
        <v>#N/A</v>
      </c>
      <c r="K42" s="14" t="e">
        <f>VLOOKUP($A42,'4'!$A:$J,10,0)</f>
        <v>#N/A</v>
      </c>
      <c r="L42" s="14" t="e">
        <f>VLOOKUP($A42,'5'!$A:$J,10,0)</f>
        <v>#N/A</v>
      </c>
      <c r="M42" s="14" t="e">
        <f>VLOOKUP($A42,'6'!$A:$J,10,0)</f>
        <v>#N/A</v>
      </c>
      <c r="N42" s="5" t="e">
        <f t="shared" si="0"/>
        <v>#N/A</v>
      </c>
      <c r="O42" s="5" t="e">
        <f t="shared" si="1"/>
        <v>#N/A</v>
      </c>
      <c r="P42" s="16" t="e">
        <f t="shared" si="2"/>
        <v>#N/A</v>
      </c>
      <c r="Q42" s="16" t="e">
        <f t="shared" si="3"/>
        <v>#N/A</v>
      </c>
      <c r="R42" s="17" t="s">
        <v>51</v>
      </c>
      <c r="S42" s="5"/>
    </row>
    <row r="43" spans="1:20" x14ac:dyDescent="0.25">
      <c r="A43">
        <v>88</v>
      </c>
      <c r="B43" s="14" t="e">
        <f>VLOOKUP($A43,'1'!$A:$D,4,0)</f>
        <v>#N/A</v>
      </c>
      <c r="C43" s="14" t="e">
        <f>VLOOKUP($A43,'2'!$A:$D,4,0)</f>
        <v>#N/A</v>
      </c>
      <c r="D43" s="14" t="e">
        <f>VLOOKUP($A43,'3'!$A:$D,4,0)</f>
        <v>#N/A</v>
      </c>
      <c r="E43" s="14" t="e">
        <f>VLOOKUP($A43,'4'!$A:$D,4,0)</f>
        <v>#N/A</v>
      </c>
      <c r="F43" s="14" t="e">
        <f>VLOOKUP($A43,'5'!$A:$D,4,0)</f>
        <v>#N/A</v>
      </c>
      <c r="G43" s="15" t="e">
        <f>VLOOKUP($A43,'6'!$A:$D,4,0)</f>
        <v>#N/A</v>
      </c>
      <c r="H43" s="14" t="e">
        <f>VLOOKUP($A43,'1'!$A:$J,10,0)</f>
        <v>#N/A</v>
      </c>
      <c r="I43" s="14" t="e">
        <f>VLOOKUP($A43,'2'!$A:$J,10,0)</f>
        <v>#N/A</v>
      </c>
      <c r="J43" s="14" t="e">
        <f>VLOOKUP($A43,'3'!$A:$J,10,0)</f>
        <v>#N/A</v>
      </c>
      <c r="K43" s="14" t="e">
        <f>VLOOKUP($A43,'4'!$A:$J,10,0)</f>
        <v>#N/A</v>
      </c>
      <c r="L43" s="14" t="e">
        <f>VLOOKUP($A43,'5'!$A:$J,10,0)</f>
        <v>#N/A</v>
      </c>
      <c r="M43" s="14" t="e">
        <f>VLOOKUP($A43,'6'!$A:$J,10,0)</f>
        <v>#N/A</v>
      </c>
      <c r="N43" s="5" t="e">
        <f t="shared" si="0"/>
        <v>#N/A</v>
      </c>
      <c r="O43" s="5" t="e">
        <f t="shared" si="1"/>
        <v>#N/A</v>
      </c>
      <c r="P43" s="16" t="e">
        <f t="shared" si="2"/>
        <v>#N/A</v>
      </c>
      <c r="Q43" s="16" t="e">
        <f t="shared" si="3"/>
        <v>#N/A</v>
      </c>
      <c r="R43" s="17" t="s">
        <v>51</v>
      </c>
      <c r="S43" s="5"/>
    </row>
    <row r="44" spans="1:20" x14ac:dyDescent="0.25">
      <c r="A44">
        <v>90</v>
      </c>
      <c r="B44" s="14" t="e">
        <f>VLOOKUP($A44,'1'!$A:$D,4,0)</f>
        <v>#N/A</v>
      </c>
      <c r="C44" s="14" t="e">
        <f>VLOOKUP($A44,'2'!$A:$D,4,0)</f>
        <v>#N/A</v>
      </c>
      <c r="D44" s="14" t="e">
        <f>VLOOKUP($A44,'3'!$A:$D,4,0)</f>
        <v>#N/A</v>
      </c>
      <c r="E44" s="14" t="e">
        <f>VLOOKUP($A44,'4'!$A:$D,4,0)</f>
        <v>#N/A</v>
      </c>
      <c r="F44" s="14" t="e">
        <f>VLOOKUP($A44,'5'!$A:$D,4,0)</f>
        <v>#N/A</v>
      </c>
      <c r="G44" s="15" t="e">
        <f>VLOOKUP($A44,'6'!$A:$D,4,0)</f>
        <v>#N/A</v>
      </c>
      <c r="H44" s="14" t="e">
        <f>VLOOKUP($A44,'1'!$A:$J,10,0)</f>
        <v>#N/A</v>
      </c>
      <c r="I44" s="14" t="e">
        <f>VLOOKUP($A44,'2'!$A:$J,10,0)</f>
        <v>#N/A</v>
      </c>
      <c r="J44" s="14" t="e">
        <f>VLOOKUP($A44,'3'!$A:$J,10,0)</f>
        <v>#N/A</v>
      </c>
      <c r="K44" s="14" t="e">
        <f>VLOOKUP($A44,'4'!$A:$J,10,0)</f>
        <v>#N/A</v>
      </c>
      <c r="L44" s="14" t="e">
        <f>VLOOKUP($A44,'5'!$A:$J,10,0)</f>
        <v>#N/A</v>
      </c>
      <c r="M44" s="14" t="e">
        <f>VLOOKUP($A44,'6'!$A:$J,10,0)</f>
        <v>#N/A</v>
      </c>
      <c r="N44" s="5" t="e">
        <f t="shared" si="0"/>
        <v>#N/A</v>
      </c>
      <c r="O44" s="5" t="e">
        <f t="shared" si="1"/>
        <v>#N/A</v>
      </c>
      <c r="P44" s="16" t="e">
        <f t="shared" si="2"/>
        <v>#N/A</v>
      </c>
      <c r="Q44" s="16" t="e">
        <f t="shared" si="3"/>
        <v>#N/A</v>
      </c>
      <c r="R44" s="17" t="s">
        <v>51</v>
      </c>
      <c r="S44" s="5"/>
    </row>
    <row r="45" spans="1:20" x14ac:dyDescent="0.25">
      <c r="A45">
        <v>92</v>
      </c>
      <c r="B45" s="14" t="e">
        <f>VLOOKUP($A45,'1'!$A:$D,4,0)</f>
        <v>#N/A</v>
      </c>
      <c r="C45" s="14" t="e">
        <f>VLOOKUP($A45,'2'!$A:$D,4,0)</f>
        <v>#N/A</v>
      </c>
      <c r="D45" s="14" t="e">
        <f>VLOOKUP($A45,'3'!$A:$D,4,0)</f>
        <v>#N/A</v>
      </c>
      <c r="E45" s="14" t="e">
        <f>VLOOKUP($A45,'4'!$A:$D,4,0)</f>
        <v>#N/A</v>
      </c>
      <c r="F45" s="14" t="e">
        <f>VLOOKUP($A45,'5'!$A:$D,4,0)</f>
        <v>#N/A</v>
      </c>
      <c r="G45" s="15" t="e">
        <f>VLOOKUP($A45,'6'!$A:$D,4,0)</f>
        <v>#N/A</v>
      </c>
      <c r="H45" s="14" t="e">
        <f>VLOOKUP($A45,'1'!$A:$J,10,0)</f>
        <v>#N/A</v>
      </c>
      <c r="I45" s="14" t="e">
        <f>VLOOKUP($A45,'2'!$A:$J,10,0)</f>
        <v>#N/A</v>
      </c>
      <c r="J45" s="14" t="e">
        <f>VLOOKUP($A45,'3'!$A:$J,10,0)</f>
        <v>#N/A</v>
      </c>
      <c r="K45" s="14" t="e">
        <f>VLOOKUP($A45,'4'!$A:$J,10,0)</f>
        <v>#N/A</v>
      </c>
      <c r="L45" s="14" t="e">
        <f>VLOOKUP($A45,'5'!$A:$J,10,0)</f>
        <v>#N/A</v>
      </c>
      <c r="M45" s="14" t="e">
        <f>VLOOKUP($A45,'6'!$A:$J,10,0)</f>
        <v>#N/A</v>
      </c>
      <c r="N45" s="5" t="e">
        <f t="shared" si="0"/>
        <v>#N/A</v>
      </c>
      <c r="O45" s="5" t="e">
        <f t="shared" si="1"/>
        <v>#N/A</v>
      </c>
      <c r="P45" s="16" t="e">
        <f t="shared" si="2"/>
        <v>#N/A</v>
      </c>
      <c r="Q45" s="16" t="e">
        <f t="shared" si="3"/>
        <v>#N/A</v>
      </c>
      <c r="R45" s="17" t="s">
        <v>51</v>
      </c>
      <c r="S45" s="5"/>
    </row>
    <row r="46" spans="1:20" x14ac:dyDescent="0.25">
      <c r="A46">
        <v>93</v>
      </c>
      <c r="B46" s="14" t="e">
        <f>VLOOKUP($A46,'1'!$A:$D,4,0)</f>
        <v>#N/A</v>
      </c>
      <c r="C46" s="14" t="e">
        <f>VLOOKUP($A46,'2'!$A:$D,4,0)</f>
        <v>#N/A</v>
      </c>
      <c r="D46" s="14" t="e">
        <f>VLOOKUP($A46,'3'!$A:$D,4,0)</f>
        <v>#N/A</v>
      </c>
      <c r="E46" s="14" t="e">
        <f>VLOOKUP($A46,'4'!$A:$D,4,0)</f>
        <v>#N/A</v>
      </c>
      <c r="F46" s="14" t="e">
        <f>VLOOKUP($A46,'5'!$A:$D,4,0)</f>
        <v>#N/A</v>
      </c>
      <c r="G46" s="15" t="e">
        <f>VLOOKUP($A46,'6'!$A:$D,4,0)</f>
        <v>#N/A</v>
      </c>
      <c r="H46" s="14" t="e">
        <f>VLOOKUP($A46,'1'!$A:$J,10,0)</f>
        <v>#N/A</v>
      </c>
      <c r="I46" s="14" t="e">
        <f>VLOOKUP($A46,'2'!$A:$J,10,0)</f>
        <v>#N/A</v>
      </c>
      <c r="J46" s="14" t="e">
        <f>VLOOKUP($A46,'3'!$A:$J,10,0)</f>
        <v>#N/A</v>
      </c>
      <c r="K46" s="14" t="e">
        <f>VLOOKUP($A46,'4'!$A:$J,10,0)</f>
        <v>#N/A</v>
      </c>
      <c r="L46" s="14" t="e">
        <f>VLOOKUP($A46,'5'!$A:$J,10,0)</f>
        <v>#N/A</v>
      </c>
      <c r="M46" s="14" t="e">
        <f>VLOOKUP($A46,'6'!$A:$J,10,0)</f>
        <v>#N/A</v>
      </c>
      <c r="N46" s="5" t="e">
        <f t="shared" si="0"/>
        <v>#N/A</v>
      </c>
      <c r="O46" s="5" t="e">
        <f t="shared" si="1"/>
        <v>#N/A</v>
      </c>
      <c r="P46" s="16" t="e">
        <f t="shared" si="2"/>
        <v>#N/A</v>
      </c>
      <c r="Q46" s="16" t="e">
        <f t="shared" si="3"/>
        <v>#N/A</v>
      </c>
      <c r="R46" s="17" t="s">
        <v>51</v>
      </c>
      <c r="S46" s="5"/>
    </row>
    <row r="47" spans="1:20" x14ac:dyDescent="0.25">
      <c r="A47">
        <v>94</v>
      </c>
      <c r="B47" s="14" t="e">
        <f>VLOOKUP($A47,'1'!$A:$D,4,0)</f>
        <v>#N/A</v>
      </c>
      <c r="C47" s="14" t="e">
        <f>VLOOKUP($A47,'2'!$A:$D,4,0)</f>
        <v>#N/A</v>
      </c>
      <c r="D47" s="14" t="e">
        <f>VLOOKUP($A47,'3'!$A:$D,4,0)</f>
        <v>#N/A</v>
      </c>
      <c r="E47" s="14" t="e">
        <f>VLOOKUP($A47,'4'!$A:$D,4,0)</f>
        <v>#N/A</v>
      </c>
      <c r="F47" s="14" t="e">
        <f>VLOOKUP($A47,'5'!$A:$D,4,0)</f>
        <v>#N/A</v>
      </c>
      <c r="G47" s="15" t="e">
        <f>VLOOKUP($A47,'6'!$A:$D,4,0)</f>
        <v>#N/A</v>
      </c>
      <c r="H47" s="14" t="e">
        <f>VLOOKUP($A47,'1'!$A:$J,10,0)</f>
        <v>#N/A</v>
      </c>
      <c r="I47" s="14" t="e">
        <f>VLOOKUP($A47,'2'!$A:$J,10,0)</f>
        <v>#N/A</v>
      </c>
      <c r="J47" s="14" t="e">
        <f>VLOOKUP($A47,'3'!$A:$J,10,0)</f>
        <v>#N/A</v>
      </c>
      <c r="K47" s="14" t="e">
        <f>VLOOKUP($A47,'4'!$A:$J,10,0)</f>
        <v>#N/A</v>
      </c>
      <c r="L47" s="14" t="e">
        <f>VLOOKUP($A47,'5'!$A:$J,10,0)</f>
        <v>#N/A</v>
      </c>
      <c r="M47" s="14" t="e">
        <f>VLOOKUP($A47,'6'!$A:$J,10,0)</f>
        <v>#N/A</v>
      </c>
      <c r="N47" s="5" t="e">
        <f t="shared" si="0"/>
        <v>#N/A</v>
      </c>
      <c r="O47" s="5" t="e">
        <f t="shared" si="1"/>
        <v>#N/A</v>
      </c>
      <c r="P47" s="16" t="e">
        <f t="shared" si="2"/>
        <v>#N/A</v>
      </c>
      <c r="Q47" s="16" t="e">
        <f t="shared" si="3"/>
        <v>#N/A</v>
      </c>
      <c r="R47" s="17" t="s">
        <v>51</v>
      </c>
      <c r="S47" s="5"/>
    </row>
    <row r="48" spans="1:20" x14ac:dyDescent="0.25">
      <c r="A48">
        <v>96</v>
      </c>
      <c r="B48" s="14" t="e">
        <f>VLOOKUP($A48,'1'!$A:$D,4,0)</f>
        <v>#N/A</v>
      </c>
      <c r="C48" s="14" t="e">
        <f>VLOOKUP($A48,'2'!$A:$D,4,0)</f>
        <v>#N/A</v>
      </c>
      <c r="D48" s="14" t="e">
        <f>VLOOKUP($A48,'3'!$A:$D,4,0)</f>
        <v>#N/A</v>
      </c>
      <c r="E48" s="14" t="e">
        <f>VLOOKUP($A48,'4'!$A:$D,4,0)</f>
        <v>#N/A</v>
      </c>
      <c r="F48" s="14" t="e">
        <f>VLOOKUP($A48,'5'!$A:$D,4,0)</f>
        <v>#N/A</v>
      </c>
      <c r="G48" s="15" t="e">
        <f>VLOOKUP($A48,'6'!$A:$D,4,0)</f>
        <v>#N/A</v>
      </c>
      <c r="H48" s="14" t="e">
        <f>VLOOKUP($A48,'1'!$A:$J,10,0)</f>
        <v>#N/A</v>
      </c>
      <c r="I48" s="14" t="e">
        <f>VLOOKUP($A48,'2'!$A:$J,10,0)</f>
        <v>#N/A</v>
      </c>
      <c r="J48" s="14" t="e">
        <f>VLOOKUP($A48,'3'!$A:$J,10,0)</f>
        <v>#N/A</v>
      </c>
      <c r="K48" s="14" t="e">
        <f>VLOOKUP($A48,'4'!$A:$J,10,0)</f>
        <v>#N/A</v>
      </c>
      <c r="L48" s="14" t="e">
        <f>VLOOKUP($A48,'5'!$A:$J,10,0)</f>
        <v>#N/A</v>
      </c>
      <c r="M48" s="14" t="e">
        <f>VLOOKUP($A48,'6'!$A:$J,10,0)</f>
        <v>#N/A</v>
      </c>
      <c r="N48" s="5" t="e">
        <f t="shared" si="0"/>
        <v>#N/A</v>
      </c>
      <c r="O48" s="5" t="e">
        <f t="shared" si="1"/>
        <v>#N/A</v>
      </c>
      <c r="P48" s="16" t="e">
        <f t="shared" si="2"/>
        <v>#N/A</v>
      </c>
      <c r="Q48" s="16" t="e">
        <f t="shared" si="3"/>
        <v>#N/A</v>
      </c>
      <c r="R48" s="17" t="s">
        <v>51</v>
      </c>
      <c r="S48" s="5"/>
    </row>
    <row r="49" spans="1:19" x14ac:dyDescent="0.25">
      <c r="A49">
        <v>98</v>
      </c>
      <c r="B49" s="14" t="e">
        <f>VLOOKUP($A49,'1'!$A:$D,4,0)</f>
        <v>#N/A</v>
      </c>
      <c r="C49" s="14" t="e">
        <f>VLOOKUP($A49,'2'!$A:$D,4,0)</f>
        <v>#N/A</v>
      </c>
      <c r="D49" s="14" t="e">
        <f>VLOOKUP($A49,'3'!$A:$D,4,0)</f>
        <v>#N/A</v>
      </c>
      <c r="E49" s="14" t="e">
        <f>VLOOKUP($A49,'4'!$A:$D,4,0)</f>
        <v>#N/A</v>
      </c>
      <c r="F49" s="14" t="e">
        <f>VLOOKUP($A49,'5'!$A:$D,4,0)</f>
        <v>#N/A</v>
      </c>
      <c r="G49" s="15" t="e">
        <f>VLOOKUP($A49,'6'!$A:$D,4,0)</f>
        <v>#N/A</v>
      </c>
      <c r="H49" s="14" t="e">
        <f>VLOOKUP($A49,'1'!$A:$J,10,0)</f>
        <v>#N/A</v>
      </c>
      <c r="I49" s="14" t="e">
        <f>VLOOKUP($A49,'2'!$A:$J,10,0)</f>
        <v>#N/A</v>
      </c>
      <c r="J49" s="14" t="e">
        <f>VLOOKUP($A49,'3'!$A:$J,10,0)</f>
        <v>#N/A</v>
      </c>
      <c r="K49" s="14" t="e">
        <f>VLOOKUP($A49,'4'!$A:$J,10,0)</f>
        <v>#N/A</v>
      </c>
      <c r="L49" s="14" t="e">
        <f>VLOOKUP($A49,'5'!$A:$J,10,0)</f>
        <v>#N/A</v>
      </c>
      <c r="M49" s="14" t="e">
        <f>VLOOKUP($A49,'6'!$A:$J,10,0)</f>
        <v>#N/A</v>
      </c>
      <c r="N49" s="5" t="e">
        <f t="shared" si="0"/>
        <v>#N/A</v>
      </c>
      <c r="O49" s="5" t="e">
        <f t="shared" si="1"/>
        <v>#N/A</v>
      </c>
      <c r="P49" s="16" t="e">
        <f t="shared" si="2"/>
        <v>#N/A</v>
      </c>
      <c r="Q49" s="16" t="e">
        <f t="shared" si="3"/>
        <v>#N/A</v>
      </c>
      <c r="R49" s="17" t="s">
        <v>51</v>
      </c>
      <c r="S49" s="5"/>
    </row>
    <row r="50" spans="1:19" x14ac:dyDescent="0.25">
      <c r="A50">
        <v>99</v>
      </c>
      <c r="B50" s="14" t="e">
        <f>VLOOKUP($A50,'1'!$A:$D,4,0)</f>
        <v>#N/A</v>
      </c>
      <c r="C50" s="14" t="e">
        <f>VLOOKUP($A50,'2'!$A:$D,4,0)</f>
        <v>#N/A</v>
      </c>
      <c r="D50" s="14" t="e">
        <f>VLOOKUP($A50,'3'!$A:$D,4,0)</f>
        <v>#N/A</v>
      </c>
      <c r="E50" s="14" t="e">
        <f>VLOOKUP($A50,'4'!$A:$D,4,0)</f>
        <v>#N/A</v>
      </c>
      <c r="F50" s="14" t="e">
        <f>VLOOKUP($A50,'5'!$A:$D,4,0)</f>
        <v>#N/A</v>
      </c>
      <c r="G50" s="15" t="e">
        <f>VLOOKUP($A50,'6'!$A:$D,4,0)</f>
        <v>#N/A</v>
      </c>
      <c r="H50" s="14" t="e">
        <f>VLOOKUP($A50,'1'!$A:$J,10,0)</f>
        <v>#N/A</v>
      </c>
      <c r="I50" s="14" t="e">
        <f>VLOOKUP($A50,'2'!$A:$J,10,0)</f>
        <v>#N/A</v>
      </c>
      <c r="J50" s="14" t="e">
        <f>VLOOKUP($A50,'3'!$A:$J,10,0)</f>
        <v>#N/A</v>
      </c>
      <c r="K50" s="14" t="e">
        <f>VLOOKUP($A50,'4'!$A:$J,10,0)</f>
        <v>#N/A</v>
      </c>
      <c r="L50" s="14" t="e">
        <f>VLOOKUP($A50,'5'!$A:$J,10,0)</f>
        <v>#N/A</v>
      </c>
      <c r="M50" s="14" t="e">
        <f>VLOOKUP($A50,'6'!$A:$J,10,0)</f>
        <v>#N/A</v>
      </c>
      <c r="N50" s="5" t="e">
        <f t="shared" si="0"/>
        <v>#N/A</v>
      </c>
      <c r="O50" s="5" t="e">
        <f t="shared" si="1"/>
        <v>#N/A</v>
      </c>
      <c r="P50" s="16" t="e">
        <f t="shared" si="2"/>
        <v>#N/A</v>
      </c>
      <c r="Q50" s="16" t="e">
        <f t="shared" si="3"/>
        <v>#N/A</v>
      </c>
      <c r="R50" s="17" t="s">
        <v>51</v>
      </c>
      <c r="S50" s="5"/>
    </row>
    <row r="51" spans="1:19" x14ac:dyDescent="0.25">
      <c r="A51">
        <v>101</v>
      </c>
      <c r="B51" s="14" t="e">
        <f>VLOOKUP($A51,'1'!$A:$D,4,0)</f>
        <v>#N/A</v>
      </c>
      <c r="C51" s="14" t="e">
        <f>VLOOKUP($A51,'2'!$A:$D,4,0)</f>
        <v>#N/A</v>
      </c>
      <c r="D51" s="14" t="e">
        <f>VLOOKUP($A51,'3'!$A:$D,4,0)</f>
        <v>#N/A</v>
      </c>
      <c r="E51" s="14" t="e">
        <f>VLOOKUP($A51,'4'!$A:$D,4,0)</f>
        <v>#N/A</v>
      </c>
      <c r="F51" s="14" t="e">
        <f>VLOOKUP($A51,'5'!$A:$D,4,0)</f>
        <v>#N/A</v>
      </c>
      <c r="G51" s="15" t="e">
        <f>VLOOKUP($A51,'6'!$A:$D,4,0)</f>
        <v>#N/A</v>
      </c>
      <c r="H51" s="14" t="e">
        <f>VLOOKUP($A51,'1'!$A:$J,10,0)</f>
        <v>#N/A</v>
      </c>
      <c r="I51" s="14" t="e">
        <f>VLOOKUP($A51,'2'!$A:$J,10,0)</f>
        <v>#N/A</v>
      </c>
      <c r="J51" s="14" t="e">
        <f>VLOOKUP($A51,'3'!$A:$J,10,0)</f>
        <v>#N/A</v>
      </c>
      <c r="K51" s="14" t="e">
        <f>VLOOKUP($A51,'4'!$A:$J,10,0)</f>
        <v>#N/A</v>
      </c>
      <c r="L51" s="14" t="e">
        <f>VLOOKUP($A51,'5'!$A:$J,10,0)</f>
        <v>#N/A</v>
      </c>
      <c r="M51" s="14" t="e">
        <f>VLOOKUP($A51,'6'!$A:$J,10,0)</f>
        <v>#N/A</v>
      </c>
      <c r="N51" s="5" t="e">
        <f t="shared" si="0"/>
        <v>#N/A</v>
      </c>
      <c r="O51" s="5" t="e">
        <f t="shared" si="1"/>
        <v>#N/A</v>
      </c>
      <c r="P51" s="16" t="e">
        <f t="shared" si="2"/>
        <v>#N/A</v>
      </c>
      <c r="Q51" s="16" t="e">
        <f t="shared" si="3"/>
        <v>#N/A</v>
      </c>
      <c r="R51" s="17" t="s">
        <v>51</v>
      </c>
      <c r="S51" s="5"/>
    </row>
    <row r="52" spans="1:19" x14ac:dyDescent="0.25">
      <c r="A52">
        <v>103</v>
      </c>
      <c r="B52" s="14" t="e">
        <f>VLOOKUP($A52,'1'!$A:$D,4,0)</f>
        <v>#N/A</v>
      </c>
      <c r="C52" s="14" t="e">
        <f>VLOOKUP($A52,'2'!$A:$D,4,0)</f>
        <v>#N/A</v>
      </c>
      <c r="D52" s="14" t="e">
        <f>VLOOKUP($A52,'3'!$A:$D,4,0)</f>
        <v>#N/A</v>
      </c>
      <c r="E52" s="14" t="e">
        <f>VLOOKUP($A52,'4'!$A:$D,4,0)</f>
        <v>#N/A</v>
      </c>
      <c r="F52" s="14" t="e">
        <f>VLOOKUP($A52,'5'!$A:$D,4,0)</f>
        <v>#N/A</v>
      </c>
      <c r="G52" s="15" t="e">
        <f>VLOOKUP($A52,'6'!$A:$D,4,0)</f>
        <v>#N/A</v>
      </c>
      <c r="H52" s="14" t="e">
        <f>VLOOKUP($A52,'1'!$A:$J,10,0)</f>
        <v>#N/A</v>
      </c>
      <c r="I52" s="14" t="e">
        <f>VLOOKUP($A52,'2'!$A:$J,10,0)</f>
        <v>#N/A</v>
      </c>
      <c r="J52" s="14" t="e">
        <f>VLOOKUP($A52,'3'!$A:$J,10,0)</f>
        <v>#N/A</v>
      </c>
      <c r="K52" s="14" t="e">
        <f>VLOOKUP($A52,'4'!$A:$J,10,0)</f>
        <v>#N/A</v>
      </c>
      <c r="L52" s="14" t="e">
        <f>VLOOKUP($A52,'5'!$A:$J,10,0)</f>
        <v>#N/A</v>
      </c>
      <c r="M52" s="14" t="e">
        <f>VLOOKUP($A52,'6'!$A:$J,10,0)</f>
        <v>#N/A</v>
      </c>
      <c r="N52" s="5" t="e">
        <f t="shared" si="0"/>
        <v>#N/A</v>
      </c>
      <c r="O52" s="5" t="e">
        <f t="shared" si="1"/>
        <v>#N/A</v>
      </c>
      <c r="P52" s="16" t="e">
        <f t="shared" si="2"/>
        <v>#N/A</v>
      </c>
      <c r="Q52" s="16" t="e">
        <f t="shared" si="3"/>
        <v>#N/A</v>
      </c>
      <c r="R52" s="17" t="s">
        <v>51</v>
      </c>
      <c r="S52" s="5"/>
    </row>
    <row r="53" spans="1:19" x14ac:dyDescent="0.25">
      <c r="A53">
        <v>105</v>
      </c>
      <c r="B53" s="14" t="e">
        <f>VLOOKUP($A53,'1'!$A:$D,4,0)</f>
        <v>#N/A</v>
      </c>
      <c r="C53" s="14" t="e">
        <f>VLOOKUP($A53,'2'!$A:$D,4,0)</f>
        <v>#N/A</v>
      </c>
      <c r="D53" s="14" t="e">
        <f>VLOOKUP($A53,'3'!$A:$D,4,0)</f>
        <v>#N/A</v>
      </c>
      <c r="E53" s="14" t="e">
        <f>VLOOKUP($A53,'4'!$A:$D,4,0)</f>
        <v>#N/A</v>
      </c>
      <c r="F53" s="14" t="e">
        <f>VLOOKUP($A53,'5'!$A:$D,4,0)</f>
        <v>#N/A</v>
      </c>
      <c r="G53" s="15" t="e">
        <f>VLOOKUP($A53,'6'!$A:$D,4,0)</f>
        <v>#N/A</v>
      </c>
      <c r="H53" s="14" t="e">
        <f>VLOOKUP($A53,'1'!$A:$J,10,0)</f>
        <v>#N/A</v>
      </c>
      <c r="I53" s="14" t="e">
        <f>VLOOKUP($A53,'2'!$A:$J,10,0)</f>
        <v>#N/A</v>
      </c>
      <c r="J53" s="14" t="e">
        <f>VLOOKUP($A53,'3'!$A:$J,10,0)</f>
        <v>#N/A</v>
      </c>
      <c r="K53" s="14" t="e">
        <f>VLOOKUP($A53,'4'!$A:$J,10,0)</f>
        <v>#N/A</v>
      </c>
      <c r="L53" s="14" t="e">
        <f>VLOOKUP($A53,'5'!$A:$J,10,0)</f>
        <v>#N/A</v>
      </c>
      <c r="M53" s="14" t="e">
        <f>VLOOKUP($A53,'6'!$A:$J,10,0)</f>
        <v>#N/A</v>
      </c>
      <c r="N53" s="5" t="e">
        <f t="shared" si="0"/>
        <v>#N/A</v>
      </c>
      <c r="O53" s="5" t="e">
        <f t="shared" si="1"/>
        <v>#N/A</v>
      </c>
      <c r="P53" s="16" t="e">
        <f t="shared" si="2"/>
        <v>#N/A</v>
      </c>
      <c r="Q53" s="16" t="e">
        <f t="shared" si="3"/>
        <v>#N/A</v>
      </c>
      <c r="R53" s="17" t="s">
        <v>51</v>
      </c>
      <c r="S53" s="5"/>
    </row>
    <row r="54" spans="1:19" x14ac:dyDescent="0.25">
      <c r="A54">
        <v>106</v>
      </c>
      <c r="B54" s="14" t="e">
        <f>VLOOKUP($A54,'1'!$A:$D,4,0)</f>
        <v>#N/A</v>
      </c>
      <c r="C54" s="14" t="e">
        <f>VLOOKUP($A54,'2'!$A:$D,4,0)</f>
        <v>#N/A</v>
      </c>
      <c r="D54" s="14" t="e">
        <f>VLOOKUP($A54,'3'!$A:$D,4,0)</f>
        <v>#N/A</v>
      </c>
      <c r="E54" s="14" t="e">
        <f>VLOOKUP($A54,'4'!$A:$D,4,0)</f>
        <v>#N/A</v>
      </c>
      <c r="F54" s="14" t="e">
        <f>VLOOKUP($A54,'5'!$A:$D,4,0)</f>
        <v>#N/A</v>
      </c>
      <c r="G54" s="15" t="e">
        <f>VLOOKUP($A54,'6'!$A:$D,4,0)</f>
        <v>#N/A</v>
      </c>
      <c r="H54" s="14" t="e">
        <f>VLOOKUP($A54,'1'!$A:$J,10,0)</f>
        <v>#N/A</v>
      </c>
      <c r="I54" s="14" t="e">
        <f>VLOOKUP($A54,'2'!$A:$J,10,0)</f>
        <v>#N/A</v>
      </c>
      <c r="J54" s="14" t="e">
        <f>VLOOKUP($A54,'3'!$A:$J,10,0)</f>
        <v>#N/A</v>
      </c>
      <c r="K54" s="14" t="e">
        <f>VLOOKUP($A54,'4'!$A:$J,10,0)</f>
        <v>#N/A</v>
      </c>
      <c r="L54" s="14" t="e">
        <f>VLOOKUP($A54,'5'!$A:$J,10,0)</f>
        <v>#N/A</v>
      </c>
      <c r="M54" s="14" t="e">
        <f>VLOOKUP($A54,'6'!$A:$J,10,0)</f>
        <v>#N/A</v>
      </c>
      <c r="N54" s="5" t="e">
        <f t="shared" si="0"/>
        <v>#N/A</v>
      </c>
      <c r="O54" s="5" t="e">
        <f t="shared" si="1"/>
        <v>#N/A</v>
      </c>
      <c r="P54" s="16" t="e">
        <f t="shared" si="2"/>
        <v>#N/A</v>
      </c>
      <c r="Q54" s="16" t="e">
        <f t="shared" si="3"/>
        <v>#N/A</v>
      </c>
      <c r="R54" s="17" t="s">
        <v>51</v>
      </c>
      <c r="S54" s="5"/>
    </row>
    <row r="55" spans="1:19" x14ac:dyDescent="0.25">
      <c r="A55">
        <v>108</v>
      </c>
      <c r="B55" s="14" t="e">
        <f>VLOOKUP($A55,'1'!$A:$D,4,0)</f>
        <v>#N/A</v>
      </c>
      <c r="C55" s="14" t="e">
        <f>VLOOKUP($A55,'2'!$A:$D,4,0)</f>
        <v>#N/A</v>
      </c>
      <c r="D55" s="14" t="e">
        <f>VLOOKUP($A55,'3'!$A:$D,4,0)</f>
        <v>#N/A</v>
      </c>
      <c r="E55" s="14" t="e">
        <f>VLOOKUP($A55,'4'!$A:$D,4,0)</f>
        <v>#N/A</v>
      </c>
      <c r="F55" s="14" t="e">
        <f>VLOOKUP($A55,'5'!$A:$D,4,0)</f>
        <v>#N/A</v>
      </c>
      <c r="G55" s="15" t="e">
        <f>VLOOKUP($A55,'6'!$A:$D,4,0)</f>
        <v>#N/A</v>
      </c>
      <c r="H55" s="14" t="e">
        <f>VLOOKUP($A55,'1'!$A:$J,10,0)</f>
        <v>#N/A</v>
      </c>
      <c r="I55" s="14" t="e">
        <f>VLOOKUP($A55,'2'!$A:$J,10,0)</f>
        <v>#N/A</v>
      </c>
      <c r="J55" s="14" t="e">
        <f>VLOOKUP($A55,'3'!$A:$J,10,0)</f>
        <v>#N/A</v>
      </c>
      <c r="K55" s="14" t="e">
        <f>VLOOKUP($A55,'4'!$A:$J,10,0)</f>
        <v>#N/A</v>
      </c>
      <c r="L55" s="14" t="e">
        <f>VLOOKUP($A55,'5'!$A:$J,10,0)</f>
        <v>#N/A</v>
      </c>
      <c r="M55" s="14" t="e">
        <f>VLOOKUP($A55,'6'!$A:$J,10,0)</f>
        <v>#N/A</v>
      </c>
      <c r="N55" s="5" t="e">
        <f t="shared" si="0"/>
        <v>#N/A</v>
      </c>
      <c r="O55" s="5" t="e">
        <f t="shared" si="1"/>
        <v>#N/A</v>
      </c>
      <c r="P55" s="16" t="e">
        <f t="shared" si="2"/>
        <v>#N/A</v>
      </c>
      <c r="Q55" s="16" t="e">
        <f t="shared" si="3"/>
        <v>#N/A</v>
      </c>
      <c r="R55" s="17" t="s">
        <v>51</v>
      </c>
      <c r="S55" s="5"/>
    </row>
    <row r="56" spans="1:19" x14ac:dyDescent="0.25">
      <c r="A56">
        <v>109</v>
      </c>
      <c r="B56" s="14" t="e">
        <f>VLOOKUP($A56,'1'!$A:$D,4,0)</f>
        <v>#N/A</v>
      </c>
      <c r="C56" s="14" t="e">
        <f>VLOOKUP($A56,'2'!$A:$D,4,0)</f>
        <v>#N/A</v>
      </c>
      <c r="D56" s="14" t="e">
        <f>VLOOKUP($A56,'3'!$A:$D,4,0)</f>
        <v>#N/A</v>
      </c>
      <c r="E56" s="14" t="e">
        <f>VLOOKUP($A56,'4'!$A:$D,4,0)</f>
        <v>#N/A</v>
      </c>
      <c r="F56" s="14" t="e">
        <f>VLOOKUP($A56,'5'!$A:$D,4,0)</f>
        <v>#N/A</v>
      </c>
      <c r="G56" s="15" t="e">
        <f>VLOOKUP($A56,'6'!$A:$D,4,0)</f>
        <v>#N/A</v>
      </c>
      <c r="H56" s="14" t="e">
        <f>VLOOKUP($A56,'1'!$A:$J,10,0)</f>
        <v>#N/A</v>
      </c>
      <c r="I56" s="14" t="e">
        <f>VLOOKUP($A56,'2'!$A:$J,10,0)</f>
        <v>#N/A</v>
      </c>
      <c r="J56" s="14" t="e">
        <f>VLOOKUP($A56,'3'!$A:$J,10,0)</f>
        <v>#N/A</v>
      </c>
      <c r="K56" s="14" t="e">
        <f>VLOOKUP($A56,'4'!$A:$J,10,0)</f>
        <v>#N/A</v>
      </c>
      <c r="L56" s="14" t="e">
        <f>VLOOKUP($A56,'5'!$A:$J,10,0)</f>
        <v>#N/A</v>
      </c>
      <c r="M56" s="14" t="e">
        <f>VLOOKUP($A56,'6'!$A:$J,10,0)</f>
        <v>#N/A</v>
      </c>
      <c r="N56" s="5" t="e">
        <f t="shared" si="0"/>
        <v>#N/A</v>
      </c>
      <c r="O56" s="5" t="e">
        <f t="shared" si="1"/>
        <v>#N/A</v>
      </c>
      <c r="P56" s="16" t="e">
        <f t="shared" si="2"/>
        <v>#N/A</v>
      </c>
      <c r="Q56" s="16" t="e">
        <f t="shared" si="3"/>
        <v>#N/A</v>
      </c>
      <c r="R56" s="17" t="s">
        <v>51</v>
      </c>
      <c r="S56" s="5"/>
    </row>
    <row r="57" spans="1:19" x14ac:dyDescent="0.25">
      <c r="A57">
        <v>112</v>
      </c>
      <c r="B57" s="14" t="e">
        <f>VLOOKUP($A57,'1'!$A:$D,4,0)</f>
        <v>#N/A</v>
      </c>
      <c r="C57" s="14" t="e">
        <f>VLOOKUP($A57,'2'!$A:$D,4,0)</f>
        <v>#N/A</v>
      </c>
      <c r="D57" s="14" t="e">
        <f>VLOOKUP($A57,'3'!$A:$D,4,0)</f>
        <v>#N/A</v>
      </c>
      <c r="E57" s="14" t="e">
        <f>VLOOKUP($A57,'4'!$A:$D,4,0)</f>
        <v>#N/A</v>
      </c>
      <c r="F57" s="14" t="e">
        <f>VLOOKUP($A57,'5'!$A:$D,4,0)</f>
        <v>#N/A</v>
      </c>
      <c r="G57" s="15" t="e">
        <f>VLOOKUP($A57,'6'!$A:$D,4,0)</f>
        <v>#N/A</v>
      </c>
      <c r="H57" s="14" t="e">
        <f>VLOOKUP($A57,'1'!$A:$J,10,0)</f>
        <v>#N/A</v>
      </c>
      <c r="I57" s="14" t="e">
        <f>VLOOKUP($A57,'2'!$A:$J,10,0)</f>
        <v>#N/A</v>
      </c>
      <c r="J57" s="14" t="e">
        <f>VLOOKUP($A57,'3'!$A:$J,10,0)</f>
        <v>#N/A</v>
      </c>
      <c r="K57" s="14" t="e">
        <f>VLOOKUP($A57,'4'!$A:$J,10,0)</f>
        <v>#N/A</v>
      </c>
      <c r="L57" s="14" t="e">
        <f>VLOOKUP($A57,'5'!$A:$J,10,0)</f>
        <v>#N/A</v>
      </c>
      <c r="M57" s="14" t="e">
        <f>VLOOKUP($A57,'6'!$A:$J,10,0)</f>
        <v>#N/A</v>
      </c>
      <c r="N57" s="5" t="e">
        <f t="shared" si="0"/>
        <v>#N/A</v>
      </c>
      <c r="O57" s="5" t="e">
        <f t="shared" si="1"/>
        <v>#N/A</v>
      </c>
      <c r="P57" s="16" t="e">
        <f t="shared" si="2"/>
        <v>#N/A</v>
      </c>
      <c r="Q57" s="16" t="e">
        <f t="shared" si="3"/>
        <v>#N/A</v>
      </c>
      <c r="R57" s="17" t="s">
        <v>51</v>
      </c>
      <c r="S57" s="5"/>
    </row>
    <row r="58" spans="1:19" x14ac:dyDescent="0.25">
      <c r="A58">
        <v>114</v>
      </c>
      <c r="B58" s="14" t="e">
        <f>VLOOKUP($A58,'1'!$A:$D,4,0)</f>
        <v>#N/A</v>
      </c>
      <c r="C58" s="14" t="e">
        <f>VLOOKUP($A58,'2'!$A:$D,4,0)</f>
        <v>#N/A</v>
      </c>
      <c r="D58" s="14" t="e">
        <f>VLOOKUP($A58,'3'!$A:$D,4,0)</f>
        <v>#N/A</v>
      </c>
      <c r="E58" s="14" t="e">
        <f>VLOOKUP($A58,'4'!$A:$D,4,0)</f>
        <v>#N/A</v>
      </c>
      <c r="F58" s="14" t="e">
        <f>VLOOKUP($A58,'5'!$A:$D,4,0)</f>
        <v>#N/A</v>
      </c>
      <c r="G58" s="15" t="e">
        <f>VLOOKUP($A58,'6'!$A:$D,4,0)</f>
        <v>#N/A</v>
      </c>
      <c r="H58" s="14" t="e">
        <f>VLOOKUP($A58,'1'!$A:$J,10,0)</f>
        <v>#N/A</v>
      </c>
      <c r="I58" s="14" t="e">
        <f>VLOOKUP($A58,'2'!$A:$J,10,0)</f>
        <v>#N/A</v>
      </c>
      <c r="J58" s="14" t="e">
        <f>VLOOKUP($A58,'3'!$A:$J,10,0)</f>
        <v>#N/A</v>
      </c>
      <c r="K58" s="14" t="e">
        <f>VLOOKUP($A58,'4'!$A:$J,10,0)</f>
        <v>#N/A</v>
      </c>
      <c r="L58" s="14" t="e">
        <f>VLOOKUP($A58,'5'!$A:$J,10,0)</f>
        <v>#N/A</v>
      </c>
      <c r="M58" s="14" t="e">
        <f>VLOOKUP($A58,'6'!$A:$J,10,0)</f>
        <v>#N/A</v>
      </c>
      <c r="N58" s="5" t="e">
        <f t="shared" si="0"/>
        <v>#N/A</v>
      </c>
      <c r="O58" s="5" t="e">
        <f t="shared" si="1"/>
        <v>#N/A</v>
      </c>
      <c r="P58" s="16" t="e">
        <f t="shared" si="2"/>
        <v>#N/A</v>
      </c>
      <c r="Q58" s="16" t="e">
        <f t="shared" si="3"/>
        <v>#N/A</v>
      </c>
      <c r="R58" s="17" t="s">
        <v>51</v>
      </c>
      <c r="S58" s="5"/>
    </row>
    <row r="59" spans="1:19" x14ac:dyDescent="0.25">
      <c r="A59">
        <v>115</v>
      </c>
      <c r="B59" s="14" t="e">
        <f>VLOOKUP($A59,'1'!$A:$D,4,0)</f>
        <v>#N/A</v>
      </c>
      <c r="C59" s="14" t="e">
        <f>VLOOKUP($A59,'2'!$A:$D,4,0)</f>
        <v>#N/A</v>
      </c>
      <c r="D59" s="14" t="e">
        <f>VLOOKUP($A59,'3'!$A:$D,4,0)</f>
        <v>#N/A</v>
      </c>
      <c r="E59" s="14" t="e">
        <f>VLOOKUP($A59,'4'!$A:$D,4,0)</f>
        <v>#N/A</v>
      </c>
      <c r="F59" s="14" t="e">
        <f>VLOOKUP($A59,'5'!$A:$D,4,0)</f>
        <v>#N/A</v>
      </c>
      <c r="G59" s="15" t="e">
        <f>VLOOKUP($A59,'6'!$A:$D,4,0)</f>
        <v>#N/A</v>
      </c>
      <c r="H59" s="14" t="e">
        <f>VLOOKUP($A59,'1'!$A:$J,10,0)</f>
        <v>#N/A</v>
      </c>
      <c r="I59" s="14" t="e">
        <f>VLOOKUP($A59,'2'!$A:$J,10,0)</f>
        <v>#N/A</v>
      </c>
      <c r="J59" s="14" t="e">
        <f>VLOOKUP($A59,'3'!$A:$J,10,0)</f>
        <v>#N/A</v>
      </c>
      <c r="K59" s="14" t="e">
        <f>VLOOKUP($A59,'4'!$A:$J,10,0)</f>
        <v>#N/A</v>
      </c>
      <c r="L59" s="14" t="e">
        <f>VLOOKUP($A59,'5'!$A:$J,10,0)</f>
        <v>#N/A</v>
      </c>
      <c r="M59" s="14" t="e">
        <f>VLOOKUP($A59,'6'!$A:$J,10,0)</f>
        <v>#N/A</v>
      </c>
      <c r="N59" s="5" t="e">
        <f t="shared" si="0"/>
        <v>#N/A</v>
      </c>
      <c r="O59" s="5" t="e">
        <f t="shared" si="1"/>
        <v>#N/A</v>
      </c>
      <c r="P59" s="16" t="e">
        <f t="shared" si="2"/>
        <v>#N/A</v>
      </c>
      <c r="Q59" s="16" t="e">
        <f t="shared" si="3"/>
        <v>#N/A</v>
      </c>
      <c r="R59" s="17" t="s">
        <v>51</v>
      </c>
      <c r="S59" s="5"/>
    </row>
    <row r="60" spans="1:19" x14ac:dyDescent="0.25">
      <c r="A60">
        <v>118</v>
      </c>
      <c r="B60" s="14" t="e">
        <f>VLOOKUP($A60,'1'!$A:$D,4,0)</f>
        <v>#N/A</v>
      </c>
      <c r="C60" s="14" t="e">
        <f>VLOOKUP($A60,'2'!$A:$D,4,0)</f>
        <v>#N/A</v>
      </c>
      <c r="D60" s="14" t="e">
        <f>VLOOKUP($A60,'3'!$A:$D,4,0)</f>
        <v>#N/A</v>
      </c>
      <c r="E60" s="14" t="e">
        <f>VLOOKUP($A60,'4'!$A:$D,4,0)</f>
        <v>#N/A</v>
      </c>
      <c r="F60" s="14" t="e">
        <f>VLOOKUP($A60,'5'!$A:$D,4,0)</f>
        <v>#N/A</v>
      </c>
      <c r="G60" s="15" t="e">
        <f>VLOOKUP($A60,'6'!$A:$D,4,0)</f>
        <v>#N/A</v>
      </c>
      <c r="H60" s="14" t="e">
        <f>VLOOKUP($A60,'1'!$A:$J,10,0)</f>
        <v>#N/A</v>
      </c>
      <c r="I60" s="14" t="e">
        <f>VLOOKUP($A60,'2'!$A:$J,10,0)</f>
        <v>#N/A</v>
      </c>
      <c r="J60" s="14" t="e">
        <f>VLOOKUP($A60,'3'!$A:$J,10,0)</f>
        <v>#N/A</v>
      </c>
      <c r="K60" s="14" t="e">
        <f>VLOOKUP($A60,'4'!$A:$J,10,0)</f>
        <v>#N/A</v>
      </c>
      <c r="L60" s="14" t="e">
        <f>VLOOKUP($A60,'5'!$A:$J,10,0)</f>
        <v>#N/A</v>
      </c>
      <c r="M60" s="14" t="e">
        <f>VLOOKUP($A60,'6'!$A:$J,10,0)</f>
        <v>#N/A</v>
      </c>
      <c r="N60" s="5" t="e">
        <f t="shared" si="0"/>
        <v>#N/A</v>
      </c>
      <c r="O60" s="5" t="e">
        <f t="shared" si="1"/>
        <v>#N/A</v>
      </c>
      <c r="P60" s="16" t="e">
        <f t="shared" si="2"/>
        <v>#N/A</v>
      </c>
      <c r="Q60" s="16" t="e">
        <f t="shared" si="3"/>
        <v>#N/A</v>
      </c>
      <c r="R60" s="17" t="s">
        <v>51</v>
      </c>
      <c r="S60" s="5"/>
    </row>
    <row r="61" spans="1:19" x14ac:dyDescent="0.25">
      <c r="A61">
        <v>119</v>
      </c>
      <c r="B61" s="14" t="e">
        <f>VLOOKUP($A61,'1'!$A:$D,4,0)</f>
        <v>#N/A</v>
      </c>
      <c r="C61" s="14" t="e">
        <f>VLOOKUP($A61,'2'!$A:$D,4,0)</f>
        <v>#N/A</v>
      </c>
      <c r="D61" s="14" t="e">
        <f>VLOOKUP($A61,'3'!$A:$D,4,0)</f>
        <v>#N/A</v>
      </c>
      <c r="E61" s="14" t="e">
        <f>VLOOKUP($A61,'4'!$A:$D,4,0)</f>
        <v>#N/A</v>
      </c>
      <c r="F61" s="14" t="e">
        <f>VLOOKUP($A61,'5'!$A:$D,4,0)</f>
        <v>#N/A</v>
      </c>
      <c r="G61" s="15" t="e">
        <f>VLOOKUP($A61,'6'!$A:$D,4,0)</f>
        <v>#N/A</v>
      </c>
      <c r="H61" s="14" t="e">
        <f>VLOOKUP($A61,'1'!$A:$J,10,0)</f>
        <v>#N/A</v>
      </c>
      <c r="I61" s="14" t="e">
        <f>VLOOKUP($A61,'2'!$A:$J,10,0)</f>
        <v>#N/A</v>
      </c>
      <c r="J61" s="14" t="e">
        <f>VLOOKUP($A61,'3'!$A:$J,10,0)</f>
        <v>#N/A</v>
      </c>
      <c r="K61" s="14" t="e">
        <f>VLOOKUP($A61,'4'!$A:$J,10,0)</f>
        <v>#N/A</v>
      </c>
      <c r="L61" s="14" t="e">
        <f>VLOOKUP($A61,'5'!$A:$J,10,0)</f>
        <v>#N/A</v>
      </c>
      <c r="M61" s="14" t="e">
        <f>VLOOKUP($A61,'6'!$A:$J,10,0)</f>
        <v>#N/A</v>
      </c>
      <c r="N61" s="5" t="e">
        <f t="shared" si="0"/>
        <v>#N/A</v>
      </c>
      <c r="O61" s="5" t="e">
        <f t="shared" si="1"/>
        <v>#N/A</v>
      </c>
      <c r="P61" s="16" t="e">
        <f t="shared" si="2"/>
        <v>#N/A</v>
      </c>
      <c r="Q61" s="16" t="e">
        <f t="shared" si="3"/>
        <v>#N/A</v>
      </c>
      <c r="R61" s="17" t="s">
        <v>51</v>
      </c>
      <c r="S61" s="5"/>
    </row>
    <row r="62" spans="1:19" x14ac:dyDescent="0.25">
      <c r="A62">
        <v>121</v>
      </c>
      <c r="B62" s="14" t="e">
        <f>VLOOKUP($A62,'1'!$A:$D,4,0)</f>
        <v>#N/A</v>
      </c>
      <c r="C62" s="14" t="e">
        <f>VLOOKUP($A62,'2'!$A:$D,4,0)</f>
        <v>#N/A</v>
      </c>
      <c r="D62" s="14" t="e">
        <f>VLOOKUP($A62,'3'!$A:$D,4,0)</f>
        <v>#N/A</v>
      </c>
      <c r="E62" s="14" t="e">
        <f>VLOOKUP($A62,'4'!$A:$D,4,0)</f>
        <v>#N/A</v>
      </c>
      <c r="F62" s="14" t="e">
        <f>VLOOKUP($A62,'5'!$A:$D,4,0)</f>
        <v>#N/A</v>
      </c>
      <c r="G62" s="15" t="e">
        <f>VLOOKUP($A62,'6'!$A:$D,4,0)</f>
        <v>#N/A</v>
      </c>
      <c r="H62" s="14" t="e">
        <f>VLOOKUP($A62,'1'!$A:$J,10,0)</f>
        <v>#N/A</v>
      </c>
      <c r="I62" s="14" t="e">
        <f>VLOOKUP($A62,'2'!$A:$J,10,0)</f>
        <v>#N/A</v>
      </c>
      <c r="J62" s="14" t="e">
        <f>VLOOKUP($A62,'3'!$A:$J,10,0)</f>
        <v>#N/A</v>
      </c>
      <c r="K62" s="14" t="e">
        <f>VLOOKUP($A62,'4'!$A:$J,10,0)</f>
        <v>#N/A</v>
      </c>
      <c r="L62" s="14" t="e">
        <f>VLOOKUP($A62,'5'!$A:$J,10,0)</f>
        <v>#N/A</v>
      </c>
      <c r="M62" s="14" t="e">
        <f>VLOOKUP($A62,'6'!$A:$J,10,0)</f>
        <v>#N/A</v>
      </c>
      <c r="N62" s="5" t="e">
        <f t="shared" si="0"/>
        <v>#N/A</v>
      </c>
      <c r="O62" s="5" t="e">
        <f t="shared" si="1"/>
        <v>#N/A</v>
      </c>
      <c r="P62" s="16" t="e">
        <f t="shared" si="2"/>
        <v>#N/A</v>
      </c>
      <c r="Q62" s="16" t="e">
        <f t="shared" si="3"/>
        <v>#N/A</v>
      </c>
      <c r="R62" s="17" t="s">
        <v>51</v>
      </c>
      <c r="S62" s="5"/>
    </row>
    <row r="63" spans="1:19" x14ac:dyDescent="0.25">
      <c r="A63">
        <v>123</v>
      </c>
      <c r="B63" s="14" t="e">
        <f>VLOOKUP($A63,'1'!$A:$D,4,0)</f>
        <v>#N/A</v>
      </c>
      <c r="C63" s="14" t="e">
        <f>VLOOKUP($A63,'2'!$A:$D,4,0)</f>
        <v>#N/A</v>
      </c>
      <c r="D63" s="14" t="e">
        <f>VLOOKUP($A63,'3'!$A:$D,4,0)</f>
        <v>#N/A</v>
      </c>
      <c r="E63" s="14" t="e">
        <f>VLOOKUP($A63,'4'!$A:$D,4,0)</f>
        <v>#N/A</v>
      </c>
      <c r="F63" s="14" t="e">
        <f>VLOOKUP($A63,'5'!$A:$D,4,0)</f>
        <v>#N/A</v>
      </c>
      <c r="G63" s="15" t="e">
        <f>VLOOKUP($A63,'6'!$A:$D,4,0)</f>
        <v>#N/A</v>
      </c>
      <c r="H63" s="14" t="e">
        <f>VLOOKUP($A63,'1'!$A:$J,10,0)</f>
        <v>#N/A</v>
      </c>
      <c r="I63" s="14" t="e">
        <f>VLOOKUP($A63,'2'!$A:$J,10,0)</f>
        <v>#N/A</v>
      </c>
      <c r="J63" s="14" t="e">
        <f>VLOOKUP($A63,'3'!$A:$J,10,0)</f>
        <v>#N/A</v>
      </c>
      <c r="K63" s="14" t="e">
        <f>VLOOKUP($A63,'4'!$A:$J,10,0)</f>
        <v>#N/A</v>
      </c>
      <c r="L63" s="14" t="e">
        <f>VLOOKUP($A63,'5'!$A:$J,10,0)</f>
        <v>#N/A</v>
      </c>
      <c r="M63" s="14" t="e">
        <f>VLOOKUP($A63,'6'!$A:$J,10,0)</f>
        <v>#N/A</v>
      </c>
      <c r="N63" s="5" t="e">
        <f t="shared" si="0"/>
        <v>#N/A</v>
      </c>
      <c r="O63" s="5" t="e">
        <f t="shared" si="1"/>
        <v>#N/A</v>
      </c>
      <c r="P63" s="16" t="e">
        <f t="shared" si="2"/>
        <v>#N/A</v>
      </c>
      <c r="Q63" s="16" t="e">
        <f t="shared" si="3"/>
        <v>#N/A</v>
      </c>
      <c r="R63" s="17" t="s">
        <v>51</v>
      </c>
      <c r="S63" s="5"/>
    </row>
    <row r="64" spans="1:19" x14ac:dyDescent="0.25">
      <c r="A64">
        <v>125</v>
      </c>
      <c r="B64" s="14" t="e">
        <f>VLOOKUP($A64,'1'!$A:$D,4,0)</f>
        <v>#N/A</v>
      </c>
      <c r="C64" s="14" t="e">
        <f>VLOOKUP($A64,'2'!$A:$D,4,0)</f>
        <v>#N/A</v>
      </c>
      <c r="D64" s="14" t="e">
        <f>VLOOKUP($A64,'3'!$A:$D,4,0)</f>
        <v>#N/A</v>
      </c>
      <c r="E64" s="14" t="e">
        <f>VLOOKUP($A64,'4'!$A:$D,4,0)</f>
        <v>#N/A</v>
      </c>
      <c r="F64" s="14" t="e">
        <f>VLOOKUP($A64,'5'!$A:$D,4,0)</f>
        <v>#N/A</v>
      </c>
      <c r="G64" s="15" t="e">
        <f>VLOOKUP($A64,'6'!$A:$D,4,0)</f>
        <v>#N/A</v>
      </c>
      <c r="H64" s="14" t="e">
        <f>VLOOKUP($A64,'1'!$A:$J,10,0)</f>
        <v>#N/A</v>
      </c>
      <c r="I64" s="14" t="e">
        <f>VLOOKUP($A64,'2'!$A:$J,10,0)</f>
        <v>#N/A</v>
      </c>
      <c r="J64" s="14" t="e">
        <f>VLOOKUP($A64,'3'!$A:$J,10,0)</f>
        <v>#N/A</v>
      </c>
      <c r="K64" s="14" t="e">
        <f>VLOOKUP($A64,'4'!$A:$J,10,0)</f>
        <v>#N/A</v>
      </c>
      <c r="L64" s="14" t="e">
        <f>VLOOKUP($A64,'5'!$A:$J,10,0)</f>
        <v>#N/A</v>
      </c>
      <c r="M64" s="14" t="e">
        <f>VLOOKUP($A64,'6'!$A:$J,10,0)</f>
        <v>#N/A</v>
      </c>
      <c r="N64" s="5" t="e">
        <f t="shared" si="0"/>
        <v>#N/A</v>
      </c>
      <c r="O64" s="5" t="e">
        <f t="shared" si="1"/>
        <v>#N/A</v>
      </c>
      <c r="P64" s="16" t="e">
        <f t="shared" si="2"/>
        <v>#N/A</v>
      </c>
      <c r="Q64" s="16" t="e">
        <f t="shared" si="3"/>
        <v>#N/A</v>
      </c>
      <c r="R64" s="17" t="s">
        <v>51</v>
      </c>
      <c r="S64" s="5"/>
    </row>
    <row r="65" spans="1:19" x14ac:dyDescent="0.25">
      <c r="A65">
        <v>126</v>
      </c>
      <c r="B65" s="14" t="e">
        <f>VLOOKUP($A65,'1'!$A:$D,4,0)</f>
        <v>#N/A</v>
      </c>
      <c r="C65" s="14" t="e">
        <f>VLOOKUP($A65,'2'!$A:$D,4,0)</f>
        <v>#N/A</v>
      </c>
      <c r="D65" s="14" t="e">
        <f>VLOOKUP($A65,'3'!$A:$D,4,0)</f>
        <v>#N/A</v>
      </c>
      <c r="E65" s="14" t="e">
        <f>VLOOKUP($A65,'4'!$A:$D,4,0)</f>
        <v>#N/A</v>
      </c>
      <c r="F65" s="14" t="e">
        <f>VLOOKUP($A65,'5'!$A:$D,4,0)</f>
        <v>#N/A</v>
      </c>
      <c r="G65" s="15" t="e">
        <f>VLOOKUP($A65,'6'!$A:$D,4,0)</f>
        <v>#N/A</v>
      </c>
      <c r="H65" s="14" t="e">
        <f>VLOOKUP($A65,'1'!$A:$J,10,0)</f>
        <v>#N/A</v>
      </c>
      <c r="I65" s="14" t="e">
        <f>VLOOKUP($A65,'2'!$A:$J,10,0)</f>
        <v>#N/A</v>
      </c>
      <c r="J65" s="14" t="e">
        <f>VLOOKUP($A65,'3'!$A:$J,10,0)</f>
        <v>#N/A</v>
      </c>
      <c r="K65" s="14" t="e">
        <f>VLOOKUP($A65,'4'!$A:$J,10,0)</f>
        <v>#N/A</v>
      </c>
      <c r="L65" s="14" t="e">
        <f>VLOOKUP($A65,'5'!$A:$J,10,0)</f>
        <v>#N/A</v>
      </c>
      <c r="M65" s="14" t="e">
        <f>VLOOKUP($A65,'6'!$A:$J,10,0)</f>
        <v>#N/A</v>
      </c>
      <c r="N65" s="5" t="e">
        <f t="shared" si="0"/>
        <v>#N/A</v>
      </c>
      <c r="O65" s="5" t="e">
        <f t="shared" si="1"/>
        <v>#N/A</v>
      </c>
      <c r="P65" s="16" t="e">
        <f t="shared" si="2"/>
        <v>#N/A</v>
      </c>
      <c r="Q65" s="16" t="e">
        <f t="shared" si="3"/>
        <v>#N/A</v>
      </c>
      <c r="R65" s="17" t="s">
        <v>51</v>
      </c>
      <c r="S65" s="5"/>
    </row>
    <row r="66" spans="1:19" x14ac:dyDescent="0.25">
      <c r="A66">
        <v>128</v>
      </c>
      <c r="B66" s="14" t="e">
        <f>VLOOKUP($A66,'1'!$A:$D,4,0)</f>
        <v>#N/A</v>
      </c>
      <c r="C66" s="14" t="e">
        <f>VLOOKUP($A66,'2'!$A:$D,4,0)</f>
        <v>#N/A</v>
      </c>
      <c r="D66" s="14" t="e">
        <f>VLOOKUP($A66,'3'!$A:$D,4,0)</f>
        <v>#N/A</v>
      </c>
      <c r="E66" s="14" t="e">
        <f>VLOOKUP($A66,'4'!$A:$D,4,0)</f>
        <v>#N/A</v>
      </c>
      <c r="F66" s="14" t="e">
        <f>VLOOKUP($A66,'5'!$A:$D,4,0)</f>
        <v>#N/A</v>
      </c>
      <c r="G66" s="15" t="e">
        <f>VLOOKUP($A66,'6'!$A:$D,4,0)</f>
        <v>#N/A</v>
      </c>
      <c r="H66" s="14" t="e">
        <f>VLOOKUP($A66,'1'!$A:$J,10,0)</f>
        <v>#N/A</v>
      </c>
      <c r="I66" s="14" t="e">
        <f>VLOOKUP($A66,'2'!$A:$J,10,0)</f>
        <v>#N/A</v>
      </c>
      <c r="J66" s="14" t="e">
        <f>VLOOKUP($A66,'3'!$A:$J,10,0)</f>
        <v>#N/A</v>
      </c>
      <c r="K66" s="14" t="e">
        <f>VLOOKUP($A66,'4'!$A:$J,10,0)</f>
        <v>#N/A</v>
      </c>
      <c r="L66" s="14" t="e">
        <f>VLOOKUP($A66,'5'!$A:$J,10,0)</f>
        <v>#N/A</v>
      </c>
      <c r="M66" s="14" t="e">
        <f>VLOOKUP($A66,'6'!$A:$J,10,0)</f>
        <v>#N/A</v>
      </c>
      <c r="N66" s="5" t="e">
        <f t="shared" si="0"/>
        <v>#N/A</v>
      </c>
      <c r="O66" s="5" t="e">
        <f t="shared" si="1"/>
        <v>#N/A</v>
      </c>
      <c r="P66" s="16" t="e">
        <f t="shared" si="2"/>
        <v>#N/A</v>
      </c>
      <c r="Q66" s="16" t="e">
        <f t="shared" si="3"/>
        <v>#N/A</v>
      </c>
      <c r="R66" s="17" t="s">
        <v>51</v>
      </c>
      <c r="S66" s="5"/>
    </row>
    <row r="67" spans="1:19" x14ac:dyDescent="0.25">
      <c r="A67">
        <v>129</v>
      </c>
      <c r="B67" s="14" t="e">
        <f>VLOOKUP($A67,'1'!$A:$D,4,0)</f>
        <v>#N/A</v>
      </c>
      <c r="C67" s="14" t="e">
        <f>VLOOKUP($A67,'2'!$A:$D,4,0)</f>
        <v>#N/A</v>
      </c>
      <c r="D67" s="14" t="e">
        <f>VLOOKUP($A67,'3'!$A:$D,4,0)</f>
        <v>#N/A</v>
      </c>
      <c r="E67" s="14" t="e">
        <f>VLOOKUP($A67,'4'!$A:$D,4,0)</f>
        <v>#N/A</v>
      </c>
      <c r="F67" s="14" t="e">
        <f>VLOOKUP($A67,'5'!$A:$D,4,0)</f>
        <v>#N/A</v>
      </c>
      <c r="G67" s="15" t="e">
        <f>VLOOKUP($A67,'6'!$A:$D,4,0)</f>
        <v>#N/A</v>
      </c>
      <c r="H67" s="14" t="e">
        <f>VLOOKUP($A67,'1'!$A:$J,10,0)</f>
        <v>#N/A</v>
      </c>
      <c r="I67" s="14" t="e">
        <f>VLOOKUP($A67,'2'!$A:$J,10,0)</f>
        <v>#N/A</v>
      </c>
      <c r="J67" s="14" t="e">
        <f>VLOOKUP($A67,'3'!$A:$J,10,0)</f>
        <v>#N/A</v>
      </c>
      <c r="K67" s="14" t="e">
        <f>VLOOKUP($A67,'4'!$A:$J,10,0)</f>
        <v>#N/A</v>
      </c>
      <c r="L67" s="14" t="e">
        <f>VLOOKUP($A67,'5'!$A:$J,10,0)</f>
        <v>#N/A</v>
      </c>
      <c r="M67" s="14" t="e">
        <f>VLOOKUP($A67,'6'!$A:$J,10,0)</f>
        <v>#N/A</v>
      </c>
      <c r="N67" s="5" t="e">
        <f t="shared" si="0"/>
        <v>#N/A</v>
      </c>
      <c r="O67" s="5" t="e">
        <f t="shared" si="1"/>
        <v>#N/A</v>
      </c>
      <c r="P67" s="16" t="e">
        <f t="shared" si="2"/>
        <v>#N/A</v>
      </c>
      <c r="Q67" s="16" t="e">
        <f t="shared" si="3"/>
        <v>#N/A</v>
      </c>
      <c r="R67" s="17" t="s">
        <v>51</v>
      </c>
      <c r="S67" s="5"/>
    </row>
    <row r="68" spans="1:19" x14ac:dyDescent="0.25">
      <c r="A68">
        <v>131</v>
      </c>
      <c r="B68" s="14" t="e">
        <f>VLOOKUP($A68,'1'!$A:$D,4,0)</f>
        <v>#N/A</v>
      </c>
      <c r="C68" s="14" t="e">
        <f>VLOOKUP($A68,'2'!$A:$D,4,0)</f>
        <v>#N/A</v>
      </c>
      <c r="D68" s="14" t="e">
        <f>VLOOKUP($A68,'3'!$A:$D,4,0)</f>
        <v>#N/A</v>
      </c>
      <c r="E68" s="14" t="e">
        <f>VLOOKUP($A68,'4'!$A:$D,4,0)</f>
        <v>#N/A</v>
      </c>
      <c r="F68" s="14" t="e">
        <f>VLOOKUP($A68,'5'!$A:$D,4,0)</f>
        <v>#N/A</v>
      </c>
      <c r="G68" s="15" t="e">
        <f>VLOOKUP($A68,'6'!$A:$D,4,0)</f>
        <v>#N/A</v>
      </c>
      <c r="H68" s="14" t="e">
        <f>VLOOKUP($A68,'1'!$A:$J,10,0)</f>
        <v>#N/A</v>
      </c>
      <c r="I68" s="14" t="e">
        <f>VLOOKUP($A68,'2'!$A:$J,10,0)</f>
        <v>#N/A</v>
      </c>
      <c r="J68" s="14" t="e">
        <f>VLOOKUP($A68,'3'!$A:$J,10,0)</f>
        <v>#N/A</v>
      </c>
      <c r="K68" s="14" t="e">
        <f>VLOOKUP($A68,'4'!$A:$J,10,0)</f>
        <v>#N/A</v>
      </c>
      <c r="L68" s="14" t="e">
        <f>VLOOKUP($A68,'5'!$A:$J,10,0)</f>
        <v>#N/A</v>
      </c>
      <c r="M68" s="14" t="e">
        <f>VLOOKUP($A68,'6'!$A:$J,10,0)</f>
        <v>#N/A</v>
      </c>
      <c r="N68" s="5" t="e">
        <f t="shared" ref="N68:N69" si="13">IF(MATCH(MIN($B68:$M68),$B68:$M68,0)&gt;6,"QE","RC")</f>
        <v>#N/A</v>
      </c>
      <c r="O68" s="5" t="e">
        <f t="shared" ref="O68:O69" si="14">MATCH(MIN($B68:$M68),$B68:$M68,0)</f>
        <v>#N/A</v>
      </c>
      <c r="P68" s="16" t="e">
        <f t="shared" ref="P68:P69" si="15">IF(LEFT(B68,5)="ERROR","1: "&amp;VLOOKUP(B68,$S$31:$T$34,2,0)&amp;". ","")&amp;IF(LEFT(C68,5)="ERROR","2: "&amp;VLOOKUP(C68,$S$31:$T$34,2,0)&amp;". ","")&amp;IF(LEFT(D68,5)="ERROR","3: "&amp;VLOOKUP(D68,$S$31:$T$34,2,0)&amp;". ","")&amp;IF(LEFT(E68,5)="ERROR","4: "&amp;VLOOKUP(E68,$S$31:$T$34,2,0)&amp;". ","")&amp;IF(LEFT(F68,5)="ERROR","5: "&amp;VLOOKUP(F68,$S$31:$T$34,2,0)&amp;". ","")&amp;IF(LEFT(G68,5)="ERROR","6: "&amp;G68,"")</f>
        <v>#N/A</v>
      </c>
      <c r="Q68" s="16" t="e">
        <f t="shared" ref="Q68:Q69" si="16">IF(LEFT(H68,5)="ERROR","1: "&amp;VLOOKUP(H68,$S$31:$T$34,2,0)&amp;". ","")&amp;IF(LEFT(I68,5)="ERROR","2: "&amp;VLOOKUP(I68,$S$31:$T$34,2,0)&amp;". ","")&amp;IF(LEFT(J68,5)="ERROR","3: "&amp;VLOOKUP(J68,$S$31:$T$34,2,0)&amp;". ","")&amp;IF(LEFT(K68,5)="ERROR","4: "&amp;VLOOKUP(K68,$S$31:$T$34,2,0)&amp;". ","")&amp;IF(LEFT(L68,5)="ERROR","5: "&amp;VLOOKUP(L68,$S$31:$T$34,2,0)&amp;". ","")&amp;IF(LEFT(M68,5)="ERROR","6: "&amp;M68,"")</f>
        <v>#N/A</v>
      </c>
      <c r="R68" s="17" t="s">
        <v>51</v>
      </c>
      <c r="S68" s="5"/>
    </row>
    <row r="69" spans="1:19" x14ac:dyDescent="0.25">
      <c r="A69">
        <v>132</v>
      </c>
      <c r="B69" s="14" t="e">
        <f>VLOOKUP($A69,'1'!$A:$D,4,0)</f>
        <v>#N/A</v>
      </c>
      <c r="C69" s="14" t="e">
        <f>VLOOKUP($A69,'2'!$A:$D,4,0)</f>
        <v>#N/A</v>
      </c>
      <c r="D69" s="14" t="e">
        <f>VLOOKUP($A69,'3'!$A:$D,4,0)</f>
        <v>#N/A</v>
      </c>
      <c r="E69" s="14" t="e">
        <f>VLOOKUP($A69,'4'!$A:$D,4,0)</f>
        <v>#N/A</v>
      </c>
      <c r="F69" s="14" t="e">
        <f>VLOOKUP($A69,'5'!$A:$D,4,0)</f>
        <v>#N/A</v>
      </c>
      <c r="G69" s="15" t="e">
        <f>VLOOKUP($A69,'6'!$A:$D,4,0)</f>
        <v>#N/A</v>
      </c>
      <c r="H69" s="14" t="e">
        <f>VLOOKUP($A69,'1'!$A:$J,10,0)</f>
        <v>#N/A</v>
      </c>
      <c r="I69" s="14" t="e">
        <f>VLOOKUP($A69,'2'!$A:$J,10,0)</f>
        <v>#N/A</v>
      </c>
      <c r="J69" s="14" t="e">
        <f>VLOOKUP($A69,'3'!$A:$J,10,0)</f>
        <v>#N/A</v>
      </c>
      <c r="K69" s="14" t="e">
        <f>VLOOKUP($A69,'4'!$A:$J,10,0)</f>
        <v>#N/A</v>
      </c>
      <c r="L69" s="14" t="e">
        <f>VLOOKUP($A69,'5'!$A:$J,10,0)</f>
        <v>#N/A</v>
      </c>
      <c r="M69" s="14" t="e">
        <f>VLOOKUP($A69,'6'!$A:$J,10,0)</f>
        <v>#N/A</v>
      </c>
      <c r="N69" s="5" t="e">
        <f t="shared" si="13"/>
        <v>#N/A</v>
      </c>
      <c r="O69" s="5" t="e">
        <f t="shared" si="14"/>
        <v>#N/A</v>
      </c>
      <c r="P69" s="16" t="e">
        <f t="shared" si="15"/>
        <v>#N/A</v>
      </c>
      <c r="Q69" s="16" t="e">
        <f t="shared" si="16"/>
        <v>#N/A</v>
      </c>
      <c r="R69" s="17" t="s">
        <v>51</v>
      </c>
      <c r="S69" s="5"/>
    </row>
    <row r="70" spans="1:19" x14ac:dyDescent="0.25">
      <c r="S70" s="5"/>
    </row>
  </sheetData>
  <autoFilter ref="A1:AE69" xr:uid="{46F900E8-1872-4480-9B88-8B36733592F2}">
    <filterColumn colId="1" showButton="0"/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15">
    <mergeCell ref="T18:Y18"/>
    <mergeCell ref="Z18:AE18"/>
    <mergeCell ref="T10:AE10"/>
    <mergeCell ref="T11:Y11"/>
    <mergeCell ref="Z11:AE11"/>
    <mergeCell ref="T16:Y16"/>
    <mergeCell ref="Z16:AE16"/>
    <mergeCell ref="T17:Y17"/>
    <mergeCell ref="Z17:AE17"/>
    <mergeCell ref="B1:G1"/>
    <mergeCell ref="H1:M1"/>
    <mergeCell ref="T3:U3"/>
    <mergeCell ref="T6:AE6"/>
    <mergeCell ref="T7:Y7"/>
    <mergeCell ref="Z7:AE7"/>
  </mergeCells>
  <phoneticPr fontId="6" type="noConversion"/>
  <conditionalFormatting sqref="B3:G69">
    <cfRule type="cellIs" dxfId="18" priority="19" operator="equal">
      <formula>MIN($B3:$G3)</formula>
    </cfRule>
    <cfRule type="cellIs" dxfId="17" priority="20" operator="equal">
      <formula>MAX($B3:$G3)</formula>
    </cfRule>
  </conditionalFormatting>
  <conditionalFormatting sqref="B3:M69">
    <cfRule type="containsText" dxfId="16" priority="4" operator="containsText" text="ERROR">
      <formula>NOT(ISERROR(SEARCH("ERROR",B3)))</formula>
    </cfRule>
    <cfRule type="containsText" dxfId="15" priority="23" operator="containsText" text="TIME OUT">
      <formula>NOT(ISERROR(SEARCH("TIME OUT",B3)))</formula>
    </cfRule>
  </conditionalFormatting>
  <conditionalFormatting sqref="H3:M69">
    <cfRule type="cellIs" dxfId="14" priority="21" operator="equal">
      <formula>MIN($H3:$M3)</formula>
    </cfRule>
    <cfRule type="cellIs" dxfId="13" priority="22" operator="equal">
      <formula>MAX($H3:$M3)</formula>
    </cfRule>
  </conditionalFormatting>
  <conditionalFormatting sqref="N3:N69">
    <cfRule type="cellIs" dxfId="12" priority="17" operator="equal">
      <formula>"QE"</formula>
    </cfRule>
    <cfRule type="cellIs" dxfId="11" priority="18" operator="equal">
      <formula>"RC"</formula>
    </cfRule>
  </conditionalFormatting>
  <conditionalFormatting sqref="T7">
    <cfRule type="cellIs" dxfId="10" priority="13" operator="equal">
      <formula>"QE"</formula>
    </cfRule>
    <cfRule type="cellIs" dxfId="9" priority="14" operator="equal">
      <formula>"RC"</formula>
    </cfRule>
  </conditionalFormatting>
  <conditionalFormatting sqref="T11">
    <cfRule type="cellIs" dxfId="8" priority="9" operator="equal">
      <formula>"QE"</formula>
    </cfRule>
    <cfRule type="cellIs" dxfId="7" priority="10" operator="equal">
      <formula>"RC"</formula>
    </cfRule>
  </conditionalFormatting>
  <conditionalFormatting sqref="T4:U4">
    <cfRule type="cellIs" dxfId="6" priority="15" operator="equal">
      <formula>"QE"</formula>
    </cfRule>
    <cfRule type="cellIs" dxfId="5" priority="16" operator="equal">
      <formula>"RC"</formula>
    </cfRule>
  </conditionalFormatting>
  <conditionalFormatting sqref="T12:AE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3:AE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6:AE16">
    <cfRule type="colorScale" priority="3">
      <colorScale>
        <cfvo type="num" val="0"/>
        <cfvo type="percentile" val="50"/>
        <cfvo type="num" val="1"/>
        <color rgb="FFFF0000"/>
        <color rgb="FFFFEB84"/>
        <color rgb="FF00B050"/>
      </colorScale>
    </cfRule>
  </conditionalFormatting>
  <conditionalFormatting sqref="T17:AE17">
    <cfRule type="colorScale" priority="2">
      <colorScale>
        <cfvo type="num" val="0"/>
        <cfvo type="percentile" val="50"/>
        <cfvo type="num" val="1"/>
        <color rgb="FF92D050"/>
        <color rgb="FFFFEB84"/>
        <color rgb="FFFF0000"/>
      </colorScale>
    </cfRule>
  </conditionalFormatting>
  <conditionalFormatting sqref="T18:AE18">
    <cfRule type="colorScale" priority="1">
      <colorScale>
        <cfvo type="num" val="0"/>
        <cfvo type="percentile" val="50"/>
        <cfvo type="num" val="1"/>
        <color rgb="FF00B050"/>
        <color rgb="FFFFEB84"/>
        <color rgb="FFFF0000"/>
      </colorScale>
    </cfRule>
  </conditionalFormatting>
  <conditionalFormatting sqref="Z7">
    <cfRule type="cellIs" dxfId="4" priority="11" operator="equal">
      <formula>"QE"</formula>
    </cfRule>
    <cfRule type="cellIs" dxfId="3" priority="12" operator="equal">
      <formula>"RC"</formula>
    </cfRule>
  </conditionalFormatting>
  <conditionalFormatting sqref="Z11">
    <cfRule type="cellIs" dxfId="2" priority="7" operator="equal">
      <formula>"QE"</formula>
    </cfRule>
    <cfRule type="cellIs" dxfId="1" priority="8" operator="equal">
      <formula>"RC"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FBE8-4A11-41D7-AECA-E2F578E2DEDC}">
  <dimension ref="A3:Y71"/>
  <sheetViews>
    <sheetView zoomScale="85" zoomScaleNormal="85" workbookViewId="0">
      <selection activeCell="H4" sqref="H4"/>
    </sheetView>
  </sheetViews>
  <sheetFormatPr defaultRowHeight="15" x14ac:dyDescent="0.25"/>
  <cols>
    <col min="1" max="1" width="11.28515625" bestFit="1" customWidth="1"/>
    <col min="2" max="2" width="10.85546875" bestFit="1" customWidth="1"/>
    <col min="3" max="3" width="11.28515625" bestFit="1" customWidth="1"/>
    <col min="4" max="4" width="10.85546875" bestFit="1" customWidth="1"/>
    <col min="5" max="5" width="11.28515625" bestFit="1" customWidth="1"/>
    <col min="6" max="6" width="10.85546875" bestFit="1" customWidth="1"/>
    <col min="7" max="7" width="11.28515625" bestFit="1" customWidth="1"/>
    <col min="8" max="8" width="10.85546875" bestFit="1" customWidth="1"/>
    <col min="9" max="9" width="11.28515625" bestFit="1" customWidth="1"/>
    <col min="10" max="10" width="10.85546875" bestFit="1" customWidth="1"/>
    <col min="11" max="11" width="11.28515625" bestFit="1" customWidth="1"/>
    <col min="12" max="12" width="10.85546875" bestFit="1" customWidth="1"/>
    <col min="14" max="14" width="11.28515625" bestFit="1" customWidth="1"/>
    <col min="15" max="15" width="11" bestFit="1" customWidth="1"/>
    <col min="16" max="16" width="11.28515625" bestFit="1" customWidth="1"/>
    <col min="17" max="17" width="11" bestFit="1" customWidth="1"/>
    <col min="18" max="18" width="11.28515625" bestFit="1" customWidth="1"/>
    <col min="19" max="19" width="11" bestFit="1" customWidth="1"/>
    <col min="20" max="20" width="11.28515625" bestFit="1" customWidth="1"/>
    <col min="21" max="21" width="11" bestFit="1" customWidth="1"/>
    <col min="22" max="22" width="11.28515625" bestFit="1" customWidth="1"/>
    <col min="23" max="23" width="11" bestFit="1" customWidth="1"/>
    <col min="24" max="24" width="11.28515625" bestFit="1" customWidth="1"/>
    <col min="25" max="25" width="11" bestFit="1" customWidth="1"/>
  </cols>
  <sheetData>
    <row r="3" spans="1:25" x14ac:dyDescent="0.25">
      <c r="A3" s="28" t="s">
        <v>35</v>
      </c>
      <c r="B3" t="s">
        <v>85</v>
      </c>
      <c r="C3" s="28" t="s">
        <v>35</v>
      </c>
      <c r="D3" t="s">
        <v>86</v>
      </c>
      <c r="E3" s="28" t="s">
        <v>35</v>
      </c>
      <c r="F3" t="s">
        <v>87</v>
      </c>
      <c r="G3" s="28" t="s">
        <v>35</v>
      </c>
      <c r="H3" t="s">
        <v>88</v>
      </c>
      <c r="I3" s="28" t="s">
        <v>35</v>
      </c>
      <c r="J3" t="s">
        <v>89</v>
      </c>
      <c r="K3" s="28" t="s">
        <v>35</v>
      </c>
      <c r="L3" t="s">
        <v>90</v>
      </c>
      <c r="N3" s="28" t="s">
        <v>35</v>
      </c>
      <c r="O3" t="s">
        <v>91</v>
      </c>
      <c r="P3" s="28" t="s">
        <v>35</v>
      </c>
      <c r="Q3" t="s">
        <v>92</v>
      </c>
      <c r="R3" s="28" t="s">
        <v>35</v>
      </c>
      <c r="S3" t="s">
        <v>93</v>
      </c>
      <c r="T3" s="28" t="s">
        <v>35</v>
      </c>
      <c r="U3" t="s">
        <v>94</v>
      </c>
      <c r="V3" s="28" t="s">
        <v>35</v>
      </c>
      <c r="W3" t="s">
        <v>95</v>
      </c>
      <c r="X3" s="28" t="s">
        <v>35</v>
      </c>
      <c r="Y3" t="s">
        <v>96</v>
      </c>
    </row>
    <row r="4" spans="1:25" x14ac:dyDescent="0.25">
      <c r="A4" s="17">
        <v>79</v>
      </c>
      <c r="B4" s="29" t="e">
        <v>#N/A</v>
      </c>
      <c r="C4" s="17">
        <v>79</v>
      </c>
      <c r="D4" s="29" t="e">
        <v>#N/A</v>
      </c>
      <c r="E4" s="17">
        <v>79</v>
      </c>
      <c r="F4" s="29" t="e">
        <v>#N/A</v>
      </c>
      <c r="G4" s="17">
        <v>79</v>
      </c>
      <c r="H4" s="29" t="e">
        <v>#N/A</v>
      </c>
      <c r="I4" s="17">
        <v>79</v>
      </c>
      <c r="J4" s="29" t="e">
        <v>#N/A</v>
      </c>
      <c r="K4" s="17">
        <v>79</v>
      </c>
      <c r="L4" s="29" t="e">
        <v>#N/A</v>
      </c>
      <c r="N4" s="17">
        <v>79</v>
      </c>
      <c r="O4" s="29" t="e">
        <v>#N/A</v>
      </c>
      <c r="P4" s="17">
        <v>79</v>
      </c>
      <c r="Q4" s="29" t="e">
        <v>#N/A</v>
      </c>
      <c r="R4" s="17">
        <v>79</v>
      </c>
      <c r="S4" s="29" t="e">
        <v>#N/A</v>
      </c>
      <c r="T4" s="17">
        <v>79</v>
      </c>
      <c r="U4" s="29" t="e">
        <v>#N/A</v>
      </c>
      <c r="V4" s="17">
        <v>79</v>
      </c>
      <c r="W4" s="29" t="e">
        <v>#N/A</v>
      </c>
      <c r="X4" s="17">
        <v>79</v>
      </c>
      <c r="Y4" s="29" t="e">
        <v>#N/A</v>
      </c>
    </row>
    <row r="5" spans="1:25" x14ac:dyDescent="0.25">
      <c r="A5" s="17">
        <v>17</v>
      </c>
      <c r="B5" s="29" t="e">
        <v>#N/A</v>
      </c>
      <c r="C5" s="17">
        <v>17</v>
      </c>
      <c r="D5" s="29" t="e">
        <v>#N/A</v>
      </c>
      <c r="E5" s="17">
        <v>17</v>
      </c>
      <c r="F5" s="29" t="e">
        <v>#N/A</v>
      </c>
      <c r="G5" s="17">
        <v>17</v>
      </c>
      <c r="H5" s="29" t="e">
        <v>#N/A</v>
      </c>
      <c r="I5" s="17">
        <v>17</v>
      </c>
      <c r="J5" s="29" t="e">
        <v>#N/A</v>
      </c>
      <c r="K5" s="17">
        <v>17</v>
      </c>
      <c r="L5" s="29" t="e">
        <v>#N/A</v>
      </c>
      <c r="N5" s="17">
        <v>17</v>
      </c>
      <c r="O5" s="29" t="e">
        <v>#N/A</v>
      </c>
      <c r="P5" s="17">
        <v>17</v>
      </c>
      <c r="Q5" s="29" t="e">
        <v>#N/A</v>
      </c>
      <c r="R5" s="17">
        <v>17</v>
      </c>
      <c r="S5" s="29" t="e">
        <v>#N/A</v>
      </c>
      <c r="T5" s="17">
        <v>17</v>
      </c>
      <c r="U5" s="29" t="e">
        <v>#N/A</v>
      </c>
      <c r="V5" s="17">
        <v>17</v>
      </c>
      <c r="W5" s="29" t="e">
        <v>#N/A</v>
      </c>
      <c r="X5" s="17">
        <v>17</v>
      </c>
      <c r="Y5" s="29" t="e">
        <v>#N/A</v>
      </c>
    </row>
    <row r="6" spans="1:25" x14ac:dyDescent="0.25">
      <c r="A6" s="17">
        <v>80</v>
      </c>
      <c r="B6" s="29" t="e">
        <v>#N/A</v>
      </c>
      <c r="C6" s="17">
        <v>80</v>
      </c>
      <c r="D6" s="29" t="e">
        <v>#N/A</v>
      </c>
      <c r="E6" s="17">
        <v>80</v>
      </c>
      <c r="F6" s="29" t="e">
        <v>#N/A</v>
      </c>
      <c r="G6" s="17">
        <v>80</v>
      </c>
      <c r="H6" s="29" t="e">
        <v>#N/A</v>
      </c>
      <c r="I6" s="17">
        <v>80</v>
      </c>
      <c r="J6" s="29" t="e">
        <v>#N/A</v>
      </c>
      <c r="K6" s="17">
        <v>80</v>
      </c>
      <c r="L6" s="29" t="e">
        <v>#N/A</v>
      </c>
      <c r="N6" s="17">
        <v>80</v>
      </c>
      <c r="O6" s="29" t="e">
        <v>#N/A</v>
      </c>
      <c r="P6" s="17">
        <v>80</v>
      </c>
      <c r="Q6" s="29" t="e">
        <v>#N/A</v>
      </c>
      <c r="R6" s="17">
        <v>80</v>
      </c>
      <c r="S6" s="29" t="e">
        <v>#N/A</v>
      </c>
      <c r="T6" s="17">
        <v>80</v>
      </c>
      <c r="U6" s="29" t="e">
        <v>#N/A</v>
      </c>
      <c r="V6" s="17">
        <v>80</v>
      </c>
      <c r="W6" s="29" t="e">
        <v>#N/A</v>
      </c>
      <c r="X6" s="17">
        <v>80</v>
      </c>
      <c r="Y6" s="29" t="e">
        <v>#N/A</v>
      </c>
    </row>
    <row r="7" spans="1:25" x14ac:dyDescent="0.25">
      <c r="A7" s="17">
        <v>20</v>
      </c>
      <c r="B7" s="29" t="e">
        <v>#N/A</v>
      </c>
      <c r="C7" s="17">
        <v>20</v>
      </c>
      <c r="D7" s="29" t="e">
        <v>#N/A</v>
      </c>
      <c r="E7" s="17">
        <v>20</v>
      </c>
      <c r="F7" s="29" t="e">
        <v>#N/A</v>
      </c>
      <c r="G7" s="17">
        <v>20</v>
      </c>
      <c r="H7" s="29" t="e">
        <v>#N/A</v>
      </c>
      <c r="I7" s="17">
        <v>20</v>
      </c>
      <c r="J7" s="29" t="e">
        <v>#N/A</v>
      </c>
      <c r="K7" s="17">
        <v>20</v>
      </c>
      <c r="L7" s="29" t="e">
        <v>#N/A</v>
      </c>
      <c r="N7" s="17">
        <v>20</v>
      </c>
      <c r="O7" s="29" t="e">
        <v>#N/A</v>
      </c>
      <c r="P7" s="17">
        <v>20</v>
      </c>
      <c r="Q7" s="29" t="e">
        <v>#N/A</v>
      </c>
      <c r="R7" s="17">
        <v>20</v>
      </c>
      <c r="S7" s="29" t="e">
        <v>#N/A</v>
      </c>
      <c r="T7" s="17">
        <v>20</v>
      </c>
      <c r="U7" s="29" t="e">
        <v>#N/A</v>
      </c>
      <c r="V7" s="17">
        <v>20</v>
      </c>
      <c r="W7" s="29" t="e">
        <v>#N/A</v>
      </c>
      <c r="X7" s="17">
        <v>20</v>
      </c>
      <c r="Y7" s="29" t="e">
        <v>#N/A</v>
      </c>
    </row>
    <row r="8" spans="1:25" x14ac:dyDescent="0.25">
      <c r="A8" s="17">
        <v>81</v>
      </c>
      <c r="B8" s="29" t="e">
        <v>#N/A</v>
      </c>
      <c r="C8" s="17">
        <v>81</v>
      </c>
      <c r="D8" s="29" t="e">
        <v>#N/A</v>
      </c>
      <c r="E8" s="17">
        <v>81</v>
      </c>
      <c r="F8" s="29" t="e">
        <v>#N/A</v>
      </c>
      <c r="G8" s="17">
        <v>81</v>
      </c>
      <c r="H8" s="29" t="e">
        <v>#N/A</v>
      </c>
      <c r="I8" s="17">
        <v>81</v>
      </c>
      <c r="J8" s="29" t="e">
        <v>#N/A</v>
      </c>
      <c r="K8" s="17">
        <v>81</v>
      </c>
      <c r="L8" s="29" t="e">
        <v>#N/A</v>
      </c>
      <c r="N8" s="17">
        <v>81</v>
      </c>
      <c r="O8" s="29" t="e">
        <v>#N/A</v>
      </c>
      <c r="P8" s="17">
        <v>81</v>
      </c>
      <c r="Q8" s="29" t="e">
        <v>#N/A</v>
      </c>
      <c r="R8" s="17">
        <v>81</v>
      </c>
      <c r="S8" s="29" t="e">
        <v>#N/A</v>
      </c>
      <c r="T8" s="17">
        <v>81</v>
      </c>
      <c r="U8" s="29" t="e">
        <v>#N/A</v>
      </c>
      <c r="V8" s="17">
        <v>81</v>
      </c>
      <c r="W8" s="29" t="e">
        <v>#N/A</v>
      </c>
      <c r="X8" s="17">
        <v>81</v>
      </c>
      <c r="Y8" s="29" t="e">
        <v>#N/A</v>
      </c>
    </row>
    <row r="9" spans="1:25" x14ac:dyDescent="0.25">
      <c r="A9" s="17">
        <v>23</v>
      </c>
      <c r="B9" s="29" t="e">
        <v>#N/A</v>
      </c>
      <c r="C9" s="17">
        <v>23</v>
      </c>
      <c r="D9" s="29" t="e">
        <v>#N/A</v>
      </c>
      <c r="E9" s="17">
        <v>23</v>
      </c>
      <c r="F9" s="29" t="e">
        <v>#N/A</v>
      </c>
      <c r="G9" s="17">
        <v>23</v>
      </c>
      <c r="H9" s="29" t="e">
        <v>#N/A</v>
      </c>
      <c r="I9" s="17">
        <v>23</v>
      </c>
      <c r="J9" s="29" t="e">
        <v>#N/A</v>
      </c>
      <c r="K9" s="17">
        <v>23</v>
      </c>
      <c r="L9" s="29" t="e">
        <v>#N/A</v>
      </c>
      <c r="N9" s="17">
        <v>23</v>
      </c>
      <c r="O9" s="29" t="e">
        <v>#N/A</v>
      </c>
      <c r="P9" s="17">
        <v>23</v>
      </c>
      <c r="Q9" s="29" t="e">
        <v>#N/A</v>
      </c>
      <c r="R9" s="17">
        <v>23</v>
      </c>
      <c r="S9" s="29" t="e">
        <v>#N/A</v>
      </c>
      <c r="T9" s="17">
        <v>23</v>
      </c>
      <c r="U9" s="29" t="e">
        <v>#N/A</v>
      </c>
      <c r="V9" s="17">
        <v>23</v>
      </c>
      <c r="W9" s="29" t="e">
        <v>#N/A</v>
      </c>
      <c r="X9" s="17">
        <v>23</v>
      </c>
      <c r="Y9" s="29" t="e">
        <v>#N/A</v>
      </c>
    </row>
    <row r="10" spans="1:25" x14ac:dyDescent="0.25">
      <c r="A10" s="17">
        <v>82</v>
      </c>
      <c r="B10" s="29" t="e">
        <v>#N/A</v>
      </c>
      <c r="C10" s="17">
        <v>82</v>
      </c>
      <c r="D10" s="29" t="e">
        <v>#N/A</v>
      </c>
      <c r="E10" s="17">
        <v>82</v>
      </c>
      <c r="F10" s="29" t="e">
        <v>#N/A</v>
      </c>
      <c r="G10" s="17">
        <v>82</v>
      </c>
      <c r="H10" s="29" t="e">
        <v>#N/A</v>
      </c>
      <c r="I10" s="17">
        <v>82</v>
      </c>
      <c r="J10" s="29" t="e">
        <v>#N/A</v>
      </c>
      <c r="K10" s="17">
        <v>82</v>
      </c>
      <c r="L10" s="29" t="e">
        <v>#N/A</v>
      </c>
      <c r="N10" s="17">
        <v>82</v>
      </c>
      <c r="O10" s="29" t="e">
        <v>#N/A</v>
      </c>
      <c r="P10" s="17">
        <v>82</v>
      </c>
      <c r="Q10" s="29" t="e">
        <v>#N/A</v>
      </c>
      <c r="R10" s="17">
        <v>82</v>
      </c>
      <c r="S10" s="29" t="e">
        <v>#N/A</v>
      </c>
      <c r="T10" s="17">
        <v>82</v>
      </c>
      <c r="U10" s="29" t="e">
        <v>#N/A</v>
      </c>
      <c r="V10" s="17">
        <v>82</v>
      </c>
      <c r="W10" s="29" t="e">
        <v>#N/A</v>
      </c>
      <c r="X10" s="17">
        <v>82</v>
      </c>
      <c r="Y10" s="29" t="e">
        <v>#N/A</v>
      </c>
    </row>
    <row r="11" spans="1:25" x14ac:dyDescent="0.25">
      <c r="A11" s="17">
        <v>26</v>
      </c>
      <c r="B11" s="29" t="e">
        <v>#N/A</v>
      </c>
      <c r="C11" s="17">
        <v>26</v>
      </c>
      <c r="D11" s="29" t="e">
        <v>#N/A</v>
      </c>
      <c r="E11" s="17">
        <v>26</v>
      </c>
      <c r="F11" s="29" t="e">
        <v>#N/A</v>
      </c>
      <c r="G11" s="17">
        <v>26</v>
      </c>
      <c r="H11" s="29" t="e">
        <v>#N/A</v>
      </c>
      <c r="I11" s="17">
        <v>26</v>
      </c>
      <c r="J11" s="29" t="e">
        <v>#N/A</v>
      </c>
      <c r="K11" s="17">
        <v>26</v>
      </c>
      <c r="L11" s="29" t="e">
        <v>#N/A</v>
      </c>
      <c r="N11" s="17">
        <v>26</v>
      </c>
      <c r="O11" s="29" t="e">
        <v>#N/A</v>
      </c>
      <c r="P11" s="17">
        <v>26</v>
      </c>
      <c r="Q11" s="29" t="e">
        <v>#N/A</v>
      </c>
      <c r="R11" s="17">
        <v>26</v>
      </c>
      <c r="S11" s="29" t="e">
        <v>#N/A</v>
      </c>
      <c r="T11" s="17">
        <v>26</v>
      </c>
      <c r="U11" s="29" t="e">
        <v>#N/A</v>
      </c>
      <c r="V11" s="17">
        <v>26</v>
      </c>
      <c r="W11" s="29" t="e">
        <v>#N/A</v>
      </c>
      <c r="X11" s="17">
        <v>26</v>
      </c>
      <c r="Y11" s="29" t="e">
        <v>#N/A</v>
      </c>
    </row>
    <row r="12" spans="1:25" x14ac:dyDescent="0.25">
      <c r="A12" s="17">
        <v>83</v>
      </c>
      <c r="B12" s="29" t="e">
        <v>#N/A</v>
      </c>
      <c r="C12" s="17">
        <v>83</v>
      </c>
      <c r="D12" s="29" t="e">
        <v>#N/A</v>
      </c>
      <c r="E12" s="17">
        <v>83</v>
      </c>
      <c r="F12" s="29" t="e">
        <v>#N/A</v>
      </c>
      <c r="G12" s="17">
        <v>83</v>
      </c>
      <c r="H12" s="29" t="e">
        <v>#N/A</v>
      </c>
      <c r="I12" s="17">
        <v>83</v>
      </c>
      <c r="J12" s="29" t="e">
        <v>#N/A</v>
      </c>
      <c r="K12" s="17">
        <v>83</v>
      </c>
      <c r="L12" s="29" t="e">
        <v>#N/A</v>
      </c>
      <c r="N12" s="17">
        <v>83</v>
      </c>
      <c r="O12" s="29" t="e">
        <v>#N/A</v>
      </c>
      <c r="P12" s="17">
        <v>83</v>
      </c>
      <c r="Q12" s="29" t="e">
        <v>#N/A</v>
      </c>
      <c r="R12" s="17">
        <v>83</v>
      </c>
      <c r="S12" s="29" t="e">
        <v>#N/A</v>
      </c>
      <c r="T12" s="17">
        <v>83</v>
      </c>
      <c r="U12" s="29" t="e">
        <v>#N/A</v>
      </c>
      <c r="V12" s="17">
        <v>83</v>
      </c>
      <c r="W12" s="29" t="e">
        <v>#N/A</v>
      </c>
      <c r="X12" s="17">
        <v>83</v>
      </c>
      <c r="Y12" s="29" t="e">
        <v>#N/A</v>
      </c>
    </row>
    <row r="13" spans="1:25" x14ac:dyDescent="0.25">
      <c r="A13" s="17">
        <v>28</v>
      </c>
      <c r="B13" s="29" t="e">
        <v>#N/A</v>
      </c>
      <c r="C13" s="17">
        <v>28</v>
      </c>
      <c r="D13" s="29" t="e">
        <v>#N/A</v>
      </c>
      <c r="E13" s="17">
        <v>28</v>
      </c>
      <c r="F13" s="29" t="e">
        <v>#N/A</v>
      </c>
      <c r="G13" s="17">
        <v>28</v>
      </c>
      <c r="H13" s="29" t="e">
        <v>#N/A</v>
      </c>
      <c r="I13" s="17">
        <v>28</v>
      </c>
      <c r="J13" s="29" t="e">
        <v>#N/A</v>
      </c>
      <c r="K13" s="17">
        <v>28</v>
      </c>
      <c r="L13" s="29" t="e">
        <v>#N/A</v>
      </c>
      <c r="N13" s="17">
        <v>28</v>
      </c>
      <c r="O13" s="29" t="e">
        <v>#N/A</v>
      </c>
      <c r="P13" s="17">
        <v>28</v>
      </c>
      <c r="Q13" s="29" t="e">
        <v>#N/A</v>
      </c>
      <c r="R13" s="17">
        <v>28</v>
      </c>
      <c r="S13" s="29" t="e">
        <v>#N/A</v>
      </c>
      <c r="T13" s="17">
        <v>28</v>
      </c>
      <c r="U13" s="29" t="e">
        <v>#N/A</v>
      </c>
      <c r="V13" s="17">
        <v>28</v>
      </c>
      <c r="W13" s="29" t="e">
        <v>#N/A</v>
      </c>
      <c r="X13" s="17">
        <v>28</v>
      </c>
      <c r="Y13" s="29" t="e">
        <v>#N/A</v>
      </c>
    </row>
    <row r="14" spans="1:25" x14ac:dyDescent="0.25">
      <c r="A14" s="17">
        <v>84</v>
      </c>
      <c r="B14" s="29" t="e">
        <v>#N/A</v>
      </c>
      <c r="C14" s="17">
        <v>84</v>
      </c>
      <c r="D14" s="29" t="e">
        <v>#N/A</v>
      </c>
      <c r="E14" s="17">
        <v>84</v>
      </c>
      <c r="F14" s="29" t="e">
        <v>#N/A</v>
      </c>
      <c r="G14" s="17">
        <v>84</v>
      </c>
      <c r="H14" s="29" t="e">
        <v>#N/A</v>
      </c>
      <c r="I14" s="17">
        <v>84</v>
      </c>
      <c r="J14" s="29" t="e">
        <v>#N/A</v>
      </c>
      <c r="K14" s="17">
        <v>84</v>
      </c>
      <c r="L14" s="29" t="e">
        <v>#N/A</v>
      </c>
      <c r="N14" s="17">
        <v>84</v>
      </c>
      <c r="O14" s="29" t="e">
        <v>#N/A</v>
      </c>
      <c r="P14" s="17">
        <v>84</v>
      </c>
      <c r="Q14" s="29" t="e">
        <v>#N/A</v>
      </c>
      <c r="R14" s="17">
        <v>84</v>
      </c>
      <c r="S14" s="29" t="e">
        <v>#N/A</v>
      </c>
      <c r="T14" s="17">
        <v>84</v>
      </c>
      <c r="U14" s="29" t="e">
        <v>#N/A</v>
      </c>
      <c r="V14" s="17">
        <v>84</v>
      </c>
      <c r="W14" s="29" t="e">
        <v>#N/A</v>
      </c>
      <c r="X14" s="17">
        <v>84</v>
      </c>
      <c r="Y14" s="29" t="e">
        <v>#N/A</v>
      </c>
    </row>
    <row r="15" spans="1:25" x14ac:dyDescent="0.25">
      <c r="A15" s="17">
        <v>30</v>
      </c>
      <c r="B15" s="29" t="e">
        <v>#N/A</v>
      </c>
      <c r="C15" s="17">
        <v>30</v>
      </c>
      <c r="D15" s="29" t="e">
        <v>#N/A</v>
      </c>
      <c r="E15" s="17">
        <v>30</v>
      </c>
      <c r="F15" s="29" t="e">
        <v>#N/A</v>
      </c>
      <c r="G15" s="17">
        <v>30</v>
      </c>
      <c r="H15" s="29" t="e">
        <v>#N/A</v>
      </c>
      <c r="I15" s="17">
        <v>30</v>
      </c>
      <c r="J15" s="29" t="e">
        <v>#N/A</v>
      </c>
      <c r="K15" s="17">
        <v>30</v>
      </c>
      <c r="L15" s="29" t="e">
        <v>#N/A</v>
      </c>
      <c r="N15" s="17">
        <v>30</v>
      </c>
      <c r="O15" s="29" t="e">
        <v>#N/A</v>
      </c>
      <c r="P15" s="17">
        <v>30</v>
      </c>
      <c r="Q15" s="29" t="e">
        <v>#N/A</v>
      </c>
      <c r="R15" s="17">
        <v>30</v>
      </c>
      <c r="S15" s="29" t="e">
        <v>#N/A</v>
      </c>
      <c r="T15" s="17">
        <v>30</v>
      </c>
      <c r="U15" s="29" t="e">
        <v>#N/A</v>
      </c>
      <c r="V15" s="17">
        <v>30</v>
      </c>
      <c r="W15" s="29" t="e">
        <v>#N/A</v>
      </c>
      <c r="X15" s="17">
        <v>30</v>
      </c>
      <c r="Y15" s="29" t="e">
        <v>#N/A</v>
      </c>
    </row>
    <row r="16" spans="1:25" x14ac:dyDescent="0.25">
      <c r="A16" s="17">
        <v>86</v>
      </c>
      <c r="B16" s="29" t="e">
        <v>#N/A</v>
      </c>
      <c r="C16" s="17">
        <v>86</v>
      </c>
      <c r="D16" s="29" t="e">
        <v>#N/A</v>
      </c>
      <c r="E16" s="17">
        <v>86</v>
      </c>
      <c r="F16" s="29" t="e">
        <v>#N/A</v>
      </c>
      <c r="G16" s="17">
        <v>86</v>
      </c>
      <c r="H16" s="29" t="e">
        <v>#N/A</v>
      </c>
      <c r="I16" s="17">
        <v>86</v>
      </c>
      <c r="J16" s="29" t="e">
        <v>#N/A</v>
      </c>
      <c r="K16" s="17">
        <v>86</v>
      </c>
      <c r="L16" s="29" t="e">
        <v>#N/A</v>
      </c>
      <c r="N16" s="17">
        <v>86</v>
      </c>
      <c r="O16" s="29" t="e">
        <v>#N/A</v>
      </c>
      <c r="P16" s="17">
        <v>86</v>
      </c>
      <c r="Q16" s="29" t="e">
        <v>#N/A</v>
      </c>
      <c r="R16" s="17">
        <v>86</v>
      </c>
      <c r="S16" s="29" t="e">
        <v>#N/A</v>
      </c>
      <c r="T16" s="17">
        <v>86</v>
      </c>
      <c r="U16" s="29" t="e">
        <v>#N/A</v>
      </c>
      <c r="V16" s="17">
        <v>86</v>
      </c>
      <c r="W16" s="29" t="e">
        <v>#N/A</v>
      </c>
      <c r="X16" s="17">
        <v>86</v>
      </c>
      <c r="Y16" s="29" t="e">
        <v>#N/A</v>
      </c>
    </row>
    <row r="17" spans="1:25" x14ac:dyDescent="0.25">
      <c r="A17" s="17">
        <v>32</v>
      </c>
      <c r="B17" s="29" t="e">
        <v>#N/A</v>
      </c>
      <c r="C17" s="17">
        <v>32</v>
      </c>
      <c r="D17" s="29" t="e">
        <v>#N/A</v>
      </c>
      <c r="E17" s="17">
        <v>32</v>
      </c>
      <c r="F17" s="29" t="e">
        <v>#N/A</v>
      </c>
      <c r="G17" s="17">
        <v>32</v>
      </c>
      <c r="H17" s="29" t="e">
        <v>#N/A</v>
      </c>
      <c r="I17" s="17">
        <v>32</v>
      </c>
      <c r="J17" s="29" t="e">
        <v>#N/A</v>
      </c>
      <c r="K17" s="17">
        <v>32</v>
      </c>
      <c r="L17" s="29" t="e">
        <v>#N/A</v>
      </c>
      <c r="N17" s="17">
        <v>32</v>
      </c>
      <c r="O17" s="29" t="e">
        <v>#N/A</v>
      </c>
      <c r="P17" s="17">
        <v>32</v>
      </c>
      <c r="Q17" s="29" t="e">
        <v>#N/A</v>
      </c>
      <c r="R17" s="17">
        <v>32</v>
      </c>
      <c r="S17" s="29" t="e">
        <v>#N/A</v>
      </c>
      <c r="T17" s="17">
        <v>32</v>
      </c>
      <c r="U17" s="29" t="e">
        <v>#N/A</v>
      </c>
      <c r="V17" s="17">
        <v>32</v>
      </c>
      <c r="W17" s="29" t="e">
        <v>#N/A</v>
      </c>
      <c r="X17" s="17">
        <v>32</v>
      </c>
      <c r="Y17" s="29" t="e">
        <v>#N/A</v>
      </c>
    </row>
    <row r="18" spans="1:25" x14ac:dyDescent="0.25">
      <c r="A18" s="17">
        <v>88</v>
      </c>
      <c r="B18" s="29" t="e">
        <v>#N/A</v>
      </c>
      <c r="C18" s="17">
        <v>88</v>
      </c>
      <c r="D18" s="29" t="e">
        <v>#N/A</v>
      </c>
      <c r="E18" s="17">
        <v>88</v>
      </c>
      <c r="F18" s="29" t="e">
        <v>#N/A</v>
      </c>
      <c r="G18" s="17">
        <v>88</v>
      </c>
      <c r="H18" s="29" t="e">
        <v>#N/A</v>
      </c>
      <c r="I18" s="17">
        <v>88</v>
      </c>
      <c r="J18" s="29" t="e">
        <v>#N/A</v>
      </c>
      <c r="K18" s="17">
        <v>88</v>
      </c>
      <c r="L18" s="29" t="e">
        <v>#N/A</v>
      </c>
      <c r="N18" s="17">
        <v>88</v>
      </c>
      <c r="O18" s="29" t="e">
        <v>#N/A</v>
      </c>
      <c r="P18" s="17">
        <v>88</v>
      </c>
      <c r="Q18" s="29" t="e">
        <v>#N/A</v>
      </c>
      <c r="R18" s="17">
        <v>88</v>
      </c>
      <c r="S18" s="29" t="e">
        <v>#N/A</v>
      </c>
      <c r="T18" s="17">
        <v>88</v>
      </c>
      <c r="U18" s="29" t="e">
        <v>#N/A</v>
      </c>
      <c r="V18" s="17">
        <v>88</v>
      </c>
      <c r="W18" s="29" t="e">
        <v>#N/A</v>
      </c>
      <c r="X18" s="17">
        <v>88</v>
      </c>
      <c r="Y18" s="29" t="e">
        <v>#N/A</v>
      </c>
    </row>
    <row r="19" spans="1:25" x14ac:dyDescent="0.25">
      <c r="A19" s="17">
        <v>34</v>
      </c>
      <c r="B19" s="29" t="e">
        <v>#N/A</v>
      </c>
      <c r="C19" s="17">
        <v>34</v>
      </c>
      <c r="D19" s="29" t="e">
        <v>#N/A</v>
      </c>
      <c r="E19" s="17">
        <v>34</v>
      </c>
      <c r="F19" s="29" t="e">
        <v>#N/A</v>
      </c>
      <c r="G19" s="17">
        <v>34</v>
      </c>
      <c r="H19" s="29" t="e">
        <v>#N/A</v>
      </c>
      <c r="I19" s="17">
        <v>34</v>
      </c>
      <c r="J19" s="29" t="e">
        <v>#N/A</v>
      </c>
      <c r="K19" s="17">
        <v>34</v>
      </c>
      <c r="L19" s="29" t="e">
        <v>#N/A</v>
      </c>
      <c r="N19" s="17">
        <v>34</v>
      </c>
      <c r="O19" s="29" t="e">
        <v>#N/A</v>
      </c>
      <c r="P19" s="17">
        <v>34</v>
      </c>
      <c r="Q19" s="29" t="e">
        <v>#N/A</v>
      </c>
      <c r="R19" s="17">
        <v>34</v>
      </c>
      <c r="S19" s="29" t="e">
        <v>#N/A</v>
      </c>
      <c r="T19" s="17">
        <v>34</v>
      </c>
      <c r="U19" s="29" t="e">
        <v>#N/A</v>
      </c>
      <c r="V19" s="17">
        <v>34</v>
      </c>
      <c r="W19" s="29" t="e">
        <v>#N/A</v>
      </c>
      <c r="X19" s="17">
        <v>34</v>
      </c>
      <c r="Y19" s="29" t="e">
        <v>#N/A</v>
      </c>
    </row>
    <row r="20" spans="1:25" x14ac:dyDescent="0.25">
      <c r="A20" s="17">
        <v>90</v>
      </c>
      <c r="B20" s="29" t="e">
        <v>#N/A</v>
      </c>
      <c r="C20" s="17">
        <v>90</v>
      </c>
      <c r="D20" s="29" t="e">
        <v>#N/A</v>
      </c>
      <c r="E20" s="17">
        <v>90</v>
      </c>
      <c r="F20" s="29" t="e">
        <v>#N/A</v>
      </c>
      <c r="G20" s="17">
        <v>90</v>
      </c>
      <c r="H20" s="29" t="e">
        <v>#N/A</v>
      </c>
      <c r="I20" s="17">
        <v>90</v>
      </c>
      <c r="J20" s="29" t="e">
        <v>#N/A</v>
      </c>
      <c r="K20" s="17">
        <v>90</v>
      </c>
      <c r="L20" s="29" t="e">
        <v>#N/A</v>
      </c>
      <c r="N20" s="17">
        <v>90</v>
      </c>
      <c r="O20" s="29" t="e">
        <v>#N/A</v>
      </c>
      <c r="P20" s="17">
        <v>90</v>
      </c>
      <c r="Q20" s="29" t="e">
        <v>#N/A</v>
      </c>
      <c r="R20" s="17">
        <v>90</v>
      </c>
      <c r="S20" s="29" t="e">
        <v>#N/A</v>
      </c>
      <c r="T20" s="17">
        <v>90</v>
      </c>
      <c r="U20" s="29" t="e">
        <v>#N/A</v>
      </c>
      <c r="V20" s="17">
        <v>90</v>
      </c>
      <c r="W20" s="29" t="e">
        <v>#N/A</v>
      </c>
      <c r="X20" s="17">
        <v>90</v>
      </c>
      <c r="Y20" s="29" t="e">
        <v>#N/A</v>
      </c>
    </row>
    <row r="21" spans="1:25" x14ac:dyDescent="0.25">
      <c r="A21" s="17">
        <v>38</v>
      </c>
      <c r="B21" s="29" t="e">
        <v>#N/A</v>
      </c>
      <c r="C21" s="17">
        <v>38</v>
      </c>
      <c r="D21" s="29" t="e">
        <v>#N/A</v>
      </c>
      <c r="E21" s="17">
        <v>38</v>
      </c>
      <c r="F21" s="29" t="e">
        <v>#N/A</v>
      </c>
      <c r="G21" s="17">
        <v>38</v>
      </c>
      <c r="H21" s="29" t="e">
        <v>#N/A</v>
      </c>
      <c r="I21" s="17">
        <v>38</v>
      </c>
      <c r="J21" s="29" t="e">
        <v>#N/A</v>
      </c>
      <c r="K21" s="17">
        <v>38</v>
      </c>
      <c r="L21" s="29" t="e">
        <v>#N/A</v>
      </c>
      <c r="N21" s="17">
        <v>38</v>
      </c>
      <c r="O21" s="29" t="e">
        <v>#N/A</v>
      </c>
      <c r="P21" s="17">
        <v>38</v>
      </c>
      <c r="Q21" s="29" t="e">
        <v>#N/A</v>
      </c>
      <c r="R21" s="17">
        <v>38</v>
      </c>
      <c r="S21" s="29" t="e">
        <v>#N/A</v>
      </c>
      <c r="T21" s="17">
        <v>38</v>
      </c>
      <c r="U21" s="29" t="e">
        <v>#N/A</v>
      </c>
      <c r="V21" s="17">
        <v>38</v>
      </c>
      <c r="W21" s="29" t="e">
        <v>#N/A</v>
      </c>
      <c r="X21" s="17">
        <v>38</v>
      </c>
      <c r="Y21" s="29" t="e">
        <v>#N/A</v>
      </c>
    </row>
    <row r="22" spans="1:25" x14ac:dyDescent="0.25">
      <c r="A22" s="17">
        <v>92</v>
      </c>
      <c r="B22" s="29" t="e">
        <v>#N/A</v>
      </c>
      <c r="C22" s="17">
        <v>92</v>
      </c>
      <c r="D22" s="29" t="e">
        <v>#N/A</v>
      </c>
      <c r="E22" s="17">
        <v>92</v>
      </c>
      <c r="F22" s="29" t="e">
        <v>#N/A</v>
      </c>
      <c r="G22" s="17">
        <v>92</v>
      </c>
      <c r="H22" s="29" t="e">
        <v>#N/A</v>
      </c>
      <c r="I22" s="17">
        <v>92</v>
      </c>
      <c r="J22" s="29" t="e">
        <v>#N/A</v>
      </c>
      <c r="K22" s="17">
        <v>92</v>
      </c>
      <c r="L22" s="29" t="e">
        <v>#N/A</v>
      </c>
      <c r="N22" s="17">
        <v>92</v>
      </c>
      <c r="O22" s="29" t="e">
        <v>#N/A</v>
      </c>
      <c r="P22" s="17">
        <v>92</v>
      </c>
      <c r="Q22" s="29" t="e">
        <v>#N/A</v>
      </c>
      <c r="R22" s="17">
        <v>92</v>
      </c>
      <c r="S22" s="29" t="e">
        <v>#N/A</v>
      </c>
      <c r="T22" s="17">
        <v>92</v>
      </c>
      <c r="U22" s="29" t="e">
        <v>#N/A</v>
      </c>
      <c r="V22" s="17">
        <v>92</v>
      </c>
      <c r="W22" s="29" t="e">
        <v>#N/A</v>
      </c>
      <c r="X22" s="17">
        <v>92</v>
      </c>
      <c r="Y22" s="29" t="e">
        <v>#N/A</v>
      </c>
    </row>
    <row r="23" spans="1:25" x14ac:dyDescent="0.25">
      <c r="A23" s="17">
        <v>41</v>
      </c>
      <c r="B23" s="29" t="e">
        <v>#N/A</v>
      </c>
      <c r="C23" s="17">
        <v>41</v>
      </c>
      <c r="D23" s="29" t="e">
        <v>#N/A</v>
      </c>
      <c r="E23" s="17">
        <v>41</v>
      </c>
      <c r="F23" s="29" t="e">
        <v>#N/A</v>
      </c>
      <c r="G23" s="17">
        <v>41</v>
      </c>
      <c r="H23" s="29" t="e">
        <v>#N/A</v>
      </c>
      <c r="I23" s="17">
        <v>41</v>
      </c>
      <c r="J23" s="29" t="e">
        <v>#N/A</v>
      </c>
      <c r="K23" s="17">
        <v>41</v>
      </c>
      <c r="L23" s="29" t="e">
        <v>#N/A</v>
      </c>
      <c r="N23" s="17">
        <v>41</v>
      </c>
      <c r="O23" s="29" t="e">
        <v>#N/A</v>
      </c>
      <c r="P23" s="17">
        <v>41</v>
      </c>
      <c r="Q23" s="29" t="e">
        <v>#N/A</v>
      </c>
      <c r="R23" s="17">
        <v>41</v>
      </c>
      <c r="S23" s="29" t="e">
        <v>#N/A</v>
      </c>
      <c r="T23" s="17">
        <v>41</v>
      </c>
      <c r="U23" s="29" t="e">
        <v>#N/A</v>
      </c>
      <c r="V23" s="17">
        <v>41</v>
      </c>
      <c r="W23" s="29" t="e">
        <v>#N/A</v>
      </c>
      <c r="X23" s="17">
        <v>41</v>
      </c>
      <c r="Y23" s="29" t="e">
        <v>#N/A</v>
      </c>
    </row>
    <row r="24" spans="1:25" x14ac:dyDescent="0.25">
      <c r="A24" s="17">
        <v>93</v>
      </c>
      <c r="B24" s="29" t="e">
        <v>#N/A</v>
      </c>
      <c r="C24" s="17">
        <v>93</v>
      </c>
      <c r="D24" s="29" t="e">
        <v>#N/A</v>
      </c>
      <c r="E24" s="17">
        <v>93</v>
      </c>
      <c r="F24" s="29" t="e">
        <v>#N/A</v>
      </c>
      <c r="G24" s="17">
        <v>93</v>
      </c>
      <c r="H24" s="29" t="e">
        <v>#N/A</v>
      </c>
      <c r="I24" s="17">
        <v>93</v>
      </c>
      <c r="J24" s="29" t="e">
        <v>#N/A</v>
      </c>
      <c r="K24" s="17">
        <v>93</v>
      </c>
      <c r="L24" s="29" t="e">
        <v>#N/A</v>
      </c>
      <c r="N24" s="17">
        <v>93</v>
      </c>
      <c r="O24" s="29" t="e">
        <v>#N/A</v>
      </c>
      <c r="P24" s="17">
        <v>93</v>
      </c>
      <c r="Q24" s="29" t="e">
        <v>#N/A</v>
      </c>
      <c r="R24" s="17">
        <v>93</v>
      </c>
      <c r="S24" s="29" t="e">
        <v>#N/A</v>
      </c>
      <c r="T24" s="17">
        <v>93</v>
      </c>
      <c r="U24" s="29" t="e">
        <v>#N/A</v>
      </c>
      <c r="V24" s="17">
        <v>93</v>
      </c>
      <c r="W24" s="29" t="e">
        <v>#N/A</v>
      </c>
      <c r="X24" s="17">
        <v>93</v>
      </c>
      <c r="Y24" s="29" t="e">
        <v>#N/A</v>
      </c>
    </row>
    <row r="25" spans="1:25" x14ac:dyDescent="0.25">
      <c r="A25" s="17">
        <v>45</v>
      </c>
      <c r="B25" s="29" t="e">
        <v>#N/A</v>
      </c>
      <c r="C25" s="17">
        <v>45</v>
      </c>
      <c r="D25" s="29" t="e">
        <v>#N/A</v>
      </c>
      <c r="E25" s="17">
        <v>45</v>
      </c>
      <c r="F25" s="29" t="e">
        <v>#N/A</v>
      </c>
      <c r="G25" s="17">
        <v>45</v>
      </c>
      <c r="H25" s="29" t="e">
        <v>#N/A</v>
      </c>
      <c r="I25" s="17">
        <v>45</v>
      </c>
      <c r="J25" s="29" t="e">
        <v>#N/A</v>
      </c>
      <c r="K25" s="17">
        <v>45</v>
      </c>
      <c r="L25" s="29" t="e">
        <v>#N/A</v>
      </c>
      <c r="N25" s="17">
        <v>45</v>
      </c>
      <c r="O25" s="29" t="e">
        <v>#N/A</v>
      </c>
      <c r="P25" s="17">
        <v>45</v>
      </c>
      <c r="Q25" s="29" t="e">
        <v>#N/A</v>
      </c>
      <c r="R25" s="17">
        <v>45</v>
      </c>
      <c r="S25" s="29" t="e">
        <v>#N/A</v>
      </c>
      <c r="T25" s="17">
        <v>45</v>
      </c>
      <c r="U25" s="29" t="e">
        <v>#N/A</v>
      </c>
      <c r="V25" s="17">
        <v>45</v>
      </c>
      <c r="W25" s="29" t="e">
        <v>#N/A</v>
      </c>
      <c r="X25" s="17">
        <v>45</v>
      </c>
      <c r="Y25" s="29" t="e">
        <v>#N/A</v>
      </c>
    </row>
    <row r="26" spans="1:25" x14ac:dyDescent="0.25">
      <c r="A26" s="17">
        <v>94</v>
      </c>
      <c r="B26" s="29" t="e">
        <v>#N/A</v>
      </c>
      <c r="C26" s="17">
        <v>94</v>
      </c>
      <c r="D26" s="29" t="e">
        <v>#N/A</v>
      </c>
      <c r="E26" s="17">
        <v>94</v>
      </c>
      <c r="F26" s="29" t="e">
        <v>#N/A</v>
      </c>
      <c r="G26" s="17">
        <v>94</v>
      </c>
      <c r="H26" s="29" t="e">
        <v>#N/A</v>
      </c>
      <c r="I26" s="17">
        <v>94</v>
      </c>
      <c r="J26" s="29" t="e">
        <v>#N/A</v>
      </c>
      <c r="K26" s="17">
        <v>94</v>
      </c>
      <c r="L26" s="29" t="e">
        <v>#N/A</v>
      </c>
      <c r="N26" s="17">
        <v>94</v>
      </c>
      <c r="O26" s="29" t="e">
        <v>#N/A</v>
      </c>
      <c r="P26" s="17">
        <v>94</v>
      </c>
      <c r="Q26" s="29" t="e">
        <v>#N/A</v>
      </c>
      <c r="R26" s="17">
        <v>94</v>
      </c>
      <c r="S26" s="29" t="e">
        <v>#N/A</v>
      </c>
      <c r="T26" s="17">
        <v>94</v>
      </c>
      <c r="U26" s="29" t="e">
        <v>#N/A</v>
      </c>
      <c r="V26" s="17">
        <v>94</v>
      </c>
      <c r="W26" s="29" t="e">
        <v>#N/A</v>
      </c>
      <c r="X26" s="17">
        <v>94</v>
      </c>
      <c r="Y26" s="29" t="e">
        <v>#N/A</v>
      </c>
    </row>
    <row r="27" spans="1:25" x14ac:dyDescent="0.25">
      <c r="A27" s="17">
        <v>48</v>
      </c>
      <c r="B27" s="29" t="e">
        <v>#N/A</v>
      </c>
      <c r="C27" s="17">
        <v>48</v>
      </c>
      <c r="D27" s="29" t="e">
        <v>#N/A</v>
      </c>
      <c r="E27" s="17">
        <v>48</v>
      </c>
      <c r="F27" s="29" t="e">
        <v>#N/A</v>
      </c>
      <c r="G27" s="17">
        <v>48</v>
      </c>
      <c r="H27" s="29" t="e">
        <v>#N/A</v>
      </c>
      <c r="I27" s="17">
        <v>48</v>
      </c>
      <c r="J27" s="29" t="e">
        <v>#N/A</v>
      </c>
      <c r="K27" s="17">
        <v>48</v>
      </c>
      <c r="L27" s="29" t="e">
        <v>#N/A</v>
      </c>
      <c r="N27" s="17">
        <v>48</v>
      </c>
      <c r="O27" s="29" t="e">
        <v>#N/A</v>
      </c>
      <c r="P27" s="17">
        <v>48</v>
      </c>
      <c r="Q27" s="29" t="e">
        <v>#N/A</v>
      </c>
      <c r="R27" s="17">
        <v>48</v>
      </c>
      <c r="S27" s="29" t="e">
        <v>#N/A</v>
      </c>
      <c r="T27" s="17">
        <v>48</v>
      </c>
      <c r="U27" s="29" t="e">
        <v>#N/A</v>
      </c>
      <c r="V27" s="17">
        <v>48</v>
      </c>
      <c r="W27" s="29" t="e">
        <v>#N/A</v>
      </c>
      <c r="X27" s="17">
        <v>48</v>
      </c>
      <c r="Y27" s="29" t="e">
        <v>#N/A</v>
      </c>
    </row>
    <row r="28" spans="1:25" x14ac:dyDescent="0.25">
      <c r="A28" s="17">
        <v>96</v>
      </c>
      <c r="B28" s="29" t="e">
        <v>#N/A</v>
      </c>
      <c r="C28" s="17">
        <v>96</v>
      </c>
      <c r="D28" s="29" t="e">
        <v>#N/A</v>
      </c>
      <c r="E28" s="17">
        <v>96</v>
      </c>
      <c r="F28" s="29" t="e">
        <v>#N/A</v>
      </c>
      <c r="G28" s="17">
        <v>96</v>
      </c>
      <c r="H28" s="29" t="e">
        <v>#N/A</v>
      </c>
      <c r="I28" s="17">
        <v>96</v>
      </c>
      <c r="J28" s="29" t="e">
        <v>#N/A</v>
      </c>
      <c r="K28" s="17">
        <v>96</v>
      </c>
      <c r="L28" s="29" t="e">
        <v>#N/A</v>
      </c>
      <c r="N28" s="17">
        <v>96</v>
      </c>
      <c r="O28" s="29" t="e">
        <v>#N/A</v>
      </c>
      <c r="P28" s="17">
        <v>96</v>
      </c>
      <c r="Q28" s="29" t="e">
        <v>#N/A</v>
      </c>
      <c r="R28" s="17">
        <v>96</v>
      </c>
      <c r="S28" s="29" t="e">
        <v>#N/A</v>
      </c>
      <c r="T28" s="17">
        <v>96</v>
      </c>
      <c r="U28" s="29" t="e">
        <v>#N/A</v>
      </c>
      <c r="V28" s="17">
        <v>96</v>
      </c>
      <c r="W28" s="29" t="e">
        <v>#N/A</v>
      </c>
      <c r="X28" s="17">
        <v>96</v>
      </c>
      <c r="Y28" s="29" t="e">
        <v>#N/A</v>
      </c>
    </row>
    <row r="29" spans="1:25" x14ac:dyDescent="0.25">
      <c r="A29" s="17">
        <v>67</v>
      </c>
      <c r="B29" s="29" t="e">
        <v>#N/A</v>
      </c>
      <c r="C29" s="17">
        <v>67</v>
      </c>
      <c r="D29" s="29" t="e">
        <v>#N/A</v>
      </c>
      <c r="E29" s="17">
        <v>67</v>
      </c>
      <c r="F29" s="29" t="e">
        <v>#N/A</v>
      </c>
      <c r="G29" s="17">
        <v>67</v>
      </c>
      <c r="H29" s="29" t="e">
        <v>#N/A</v>
      </c>
      <c r="I29" s="17">
        <v>67</v>
      </c>
      <c r="J29" s="29" t="e">
        <v>#N/A</v>
      </c>
      <c r="K29" s="17">
        <v>67</v>
      </c>
      <c r="L29" s="29" t="e">
        <v>#N/A</v>
      </c>
      <c r="N29" s="17">
        <v>67</v>
      </c>
      <c r="O29" s="29" t="e">
        <v>#N/A</v>
      </c>
      <c r="P29" s="17">
        <v>67</v>
      </c>
      <c r="Q29" s="29" t="e">
        <v>#N/A</v>
      </c>
      <c r="R29" s="17">
        <v>67</v>
      </c>
      <c r="S29" s="29" t="e">
        <v>#N/A</v>
      </c>
      <c r="T29" s="17">
        <v>67</v>
      </c>
      <c r="U29" s="29" t="e">
        <v>#N/A</v>
      </c>
      <c r="V29" s="17">
        <v>67</v>
      </c>
      <c r="W29" s="29" t="e">
        <v>#N/A</v>
      </c>
      <c r="X29" s="17">
        <v>67</v>
      </c>
      <c r="Y29" s="29" t="e">
        <v>#N/A</v>
      </c>
    </row>
    <row r="30" spans="1:25" x14ac:dyDescent="0.25">
      <c r="A30" s="17">
        <v>98</v>
      </c>
      <c r="B30" s="29" t="e">
        <v>#N/A</v>
      </c>
      <c r="C30" s="17">
        <v>98</v>
      </c>
      <c r="D30" s="29" t="e">
        <v>#N/A</v>
      </c>
      <c r="E30" s="17">
        <v>98</v>
      </c>
      <c r="F30" s="29" t="e">
        <v>#N/A</v>
      </c>
      <c r="G30" s="17">
        <v>98</v>
      </c>
      <c r="H30" s="29" t="e">
        <v>#N/A</v>
      </c>
      <c r="I30" s="17">
        <v>98</v>
      </c>
      <c r="J30" s="29" t="e">
        <v>#N/A</v>
      </c>
      <c r="K30" s="17">
        <v>98</v>
      </c>
      <c r="L30" s="29" t="e">
        <v>#N/A</v>
      </c>
      <c r="N30" s="17">
        <v>98</v>
      </c>
      <c r="O30" s="29" t="e">
        <v>#N/A</v>
      </c>
      <c r="P30" s="17">
        <v>98</v>
      </c>
      <c r="Q30" s="29" t="e">
        <v>#N/A</v>
      </c>
      <c r="R30" s="17">
        <v>98</v>
      </c>
      <c r="S30" s="29" t="e">
        <v>#N/A</v>
      </c>
      <c r="T30" s="17">
        <v>98</v>
      </c>
      <c r="U30" s="29" t="e">
        <v>#N/A</v>
      </c>
      <c r="V30" s="17">
        <v>98</v>
      </c>
      <c r="W30" s="29" t="e">
        <v>#N/A</v>
      </c>
      <c r="X30" s="17">
        <v>98</v>
      </c>
      <c r="Y30" s="29" t="e">
        <v>#N/A</v>
      </c>
    </row>
    <row r="31" spans="1:25" x14ac:dyDescent="0.25">
      <c r="A31" s="17">
        <v>70</v>
      </c>
      <c r="B31" s="29" t="e">
        <v>#N/A</v>
      </c>
      <c r="C31" s="17">
        <v>70</v>
      </c>
      <c r="D31" s="29" t="e">
        <v>#N/A</v>
      </c>
      <c r="E31" s="17">
        <v>70</v>
      </c>
      <c r="F31" s="29" t="e">
        <v>#N/A</v>
      </c>
      <c r="G31" s="17">
        <v>70</v>
      </c>
      <c r="H31" s="29" t="e">
        <v>#N/A</v>
      </c>
      <c r="I31" s="17">
        <v>70</v>
      </c>
      <c r="J31" s="29" t="e">
        <v>#N/A</v>
      </c>
      <c r="K31" s="17">
        <v>70</v>
      </c>
      <c r="L31" s="29" t="e">
        <v>#N/A</v>
      </c>
      <c r="N31" s="17">
        <v>70</v>
      </c>
      <c r="O31" s="29" t="e">
        <v>#N/A</v>
      </c>
      <c r="P31" s="17">
        <v>70</v>
      </c>
      <c r="Q31" s="29" t="e">
        <v>#N/A</v>
      </c>
      <c r="R31" s="17">
        <v>70</v>
      </c>
      <c r="S31" s="29" t="e">
        <v>#N/A</v>
      </c>
      <c r="T31" s="17">
        <v>70</v>
      </c>
      <c r="U31" s="29" t="e">
        <v>#N/A</v>
      </c>
      <c r="V31" s="17">
        <v>70</v>
      </c>
      <c r="W31" s="29" t="e">
        <v>#N/A</v>
      </c>
      <c r="X31" s="17">
        <v>70</v>
      </c>
      <c r="Y31" s="29" t="e">
        <v>#N/A</v>
      </c>
    </row>
    <row r="32" spans="1:25" x14ac:dyDescent="0.25">
      <c r="A32" s="17">
        <v>99</v>
      </c>
      <c r="B32" s="29" t="e">
        <v>#N/A</v>
      </c>
      <c r="C32" s="17">
        <v>99</v>
      </c>
      <c r="D32" s="29" t="e">
        <v>#N/A</v>
      </c>
      <c r="E32" s="17">
        <v>99</v>
      </c>
      <c r="F32" s="29" t="e">
        <v>#N/A</v>
      </c>
      <c r="G32" s="17">
        <v>99</v>
      </c>
      <c r="H32" s="29" t="e">
        <v>#N/A</v>
      </c>
      <c r="I32" s="17">
        <v>99</v>
      </c>
      <c r="J32" s="29" t="e">
        <v>#N/A</v>
      </c>
      <c r="K32" s="17">
        <v>99</v>
      </c>
      <c r="L32" s="29" t="e">
        <v>#N/A</v>
      </c>
      <c r="N32" s="17">
        <v>99</v>
      </c>
      <c r="O32" s="29" t="e">
        <v>#N/A</v>
      </c>
      <c r="P32" s="17">
        <v>99</v>
      </c>
      <c r="Q32" s="29" t="e">
        <v>#N/A</v>
      </c>
      <c r="R32" s="17">
        <v>99</v>
      </c>
      <c r="S32" s="29" t="e">
        <v>#N/A</v>
      </c>
      <c r="T32" s="17">
        <v>99</v>
      </c>
      <c r="U32" s="29" t="e">
        <v>#N/A</v>
      </c>
      <c r="V32" s="17">
        <v>99</v>
      </c>
      <c r="W32" s="29" t="e">
        <v>#N/A</v>
      </c>
      <c r="X32" s="17">
        <v>99</v>
      </c>
      <c r="Y32" s="29" t="e">
        <v>#N/A</v>
      </c>
    </row>
    <row r="33" spans="1:25" x14ac:dyDescent="0.25">
      <c r="A33" s="17">
        <v>73</v>
      </c>
      <c r="B33" s="29" t="e">
        <v>#N/A</v>
      </c>
      <c r="C33" s="17">
        <v>73</v>
      </c>
      <c r="D33" s="29" t="e">
        <v>#N/A</v>
      </c>
      <c r="E33" s="17">
        <v>73</v>
      </c>
      <c r="F33" s="29" t="e">
        <v>#N/A</v>
      </c>
      <c r="G33" s="17">
        <v>73</v>
      </c>
      <c r="H33" s="29" t="e">
        <v>#N/A</v>
      </c>
      <c r="I33" s="17">
        <v>73</v>
      </c>
      <c r="J33" s="29" t="e">
        <v>#N/A</v>
      </c>
      <c r="K33" s="17">
        <v>73</v>
      </c>
      <c r="L33" s="29" t="e">
        <v>#N/A</v>
      </c>
      <c r="N33" s="17">
        <v>73</v>
      </c>
      <c r="O33" s="29" t="e">
        <v>#N/A</v>
      </c>
      <c r="P33" s="17">
        <v>73</v>
      </c>
      <c r="Q33" s="29" t="e">
        <v>#N/A</v>
      </c>
      <c r="R33" s="17">
        <v>73</v>
      </c>
      <c r="S33" s="29" t="e">
        <v>#N/A</v>
      </c>
      <c r="T33" s="17">
        <v>73</v>
      </c>
      <c r="U33" s="29" t="e">
        <v>#N/A</v>
      </c>
      <c r="V33" s="17">
        <v>73</v>
      </c>
      <c r="W33" s="29" t="e">
        <v>#N/A</v>
      </c>
      <c r="X33" s="17">
        <v>73</v>
      </c>
      <c r="Y33" s="29" t="e">
        <v>#N/A</v>
      </c>
    </row>
    <row r="34" spans="1:25" x14ac:dyDescent="0.25">
      <c r="A34" s="17">
        <v>101</v>
      </c>
      <c r="B34" s="29" t="e">
        <v>#N/A</v>
      </c>
      <c r="C34" s="17">
        <v>101</v>
      </c>
      <c r="D34" s="29" t="e">
        <v>#N/A</v>
      </c>
      <c r="E34" s="17">
        <v>101</v>
      </c>
      <c r="F34" s="29" t="e">
        <v>#N/A</v>
      </c>
      <c r="G34" s="17">
        <v>101</v>
      </c>
      <c r="H34" s="29" t="e">
        <v>#N/A</v>
      </c>
      <c r="I34" s="17">
        <v>101</v>
      </c>
      <c r="J34" s="29" t="e">
        <v>#N/A</v>
      </c>
      <c r="K34" s="17">
        <v>101</v>
      </c>
      <c r="L34" s="29" t="e">
        <v>#N/A</v>
      </c>
      <c r="N34" s="17">
        <v>101</v>
      </c>
      <c r="O34" s="29" t="e">
        <v>#N/A</v>
      </c>
      <c r="P34" s="17">
        <v>101</v>
      </c>
      <c r="Q34" s="29" t="e">
        <v>#N/A</v>
      </c>
      <c r="R34" s="17">
        <v>101</v>
      </c>
      <c r="S34" s="29" t="e">
        <v>#N/A</v>
      </c>
      <c r="T34" s="17">
        <v>101</v>
      </c>
      <c r="U34" s="29" t="e">
        <v>#N/A</v>
      </c>
      <c r="V34" s="17">
        <v>101</v>
      </c>
      <c r="W34" s="29" t="e">
        <v>#N/A</v>
      </c>
      <c r="X34" s="17">
        <v>101</v>
      </c>
      <c r="Y34" s="29" t="e">
        <v>#N/A</v>
      </c>
    </row>
    <row r="35" spans="1:25" x14ac:dyDescent="0.25">
      <c r="A35" s="17">
        <v>76</v>
      </c>
      <c r="B35" s="29" t="e">
        <v>#N/A</v>
      </c>
      <c r="C35" s="17">
        <v>76</v>
      </c>
      <c r="D35" s="29" t="e">
        <v>#N/A</v>
      </c>
      <c r="E35" s="17">
        <v>76</v>
      </c>
      <c r="F35" s="29" t="e">
        <v>#N/A</v>
      </c>
      <c r="G35" s="17">
        <v>76</v>
      </c>
      <c r="H35" s="29" t="e">
        <v>#N/A</v>
      </c>
      <c r="I35" s="17">
        <v>76</v>
      </c>
      <c r="J35" s="29" t="e">
        <v>#N/A</v>
      </c>
      <c r="K35" s="17">
        <v>76</v>
      </c>
      <c r="L35" s="29" t="e">
        <v>#N/A</v>
      </c>
      <c r="N35" s="17">
        <v>76</v>
      </c>
      <c r="O35" s="29" t="e">
        <v>#N/A</v>
      </c>
      <c r="P35" s="17">
        <v>76</v>
      </c>
      <c r="Q35" s="29" t="e">
        <v>#N/A</v>
      </c>
      <c r="R35" s="17">
        <v>76</v>
      </c>
      <c r="S35" s="29" t="e">
        <v>#N/A</v>
      </c>
      <c r="T35" s="17">
        <v>76</v>
      </c>
      <c r="U35" s="29" t="e">
        <v>#N/A</v>
      </c>
      <c r="V35" s="17">
        <v>76</v>
      </c>
      <c r="W35" s="29" t="e">
        <v>#N/A</v>
      </c>
      <c r="X35" s="17">
        <v>76</v>
      </c>
      <c r="Y35" s="29" t="e">
        <v>#N/A</v>
      </c>
    </row>
    <row r="36" spans="1:25" x14ac:dyDescent="0.25">
      <c r="A36" s="17">
        <v>103</v>
      </c>
      <c r="B36" s="29" t="e">
        <v>#N/A</v>
      </c>
      <c r="C36" s="17">
        <v>103</v>
      </c>
      <c r="D36" s="29" t="e">
        <v>#N/A</v>
      </c>
      <c r="E36" s="17">
        <v>103</v>
      </c>
      <c r="F36" s="29" t="e">
        <v>#N/A</v>
      </c>
      <c r="G36" s="17">
        <v>103</v>
      </c>
      <c r="H36" s="29" t="e">
        <v>#N/A</v>
      </c>
      <c r="I36" s="17">
        <v>103</v>
      </c>
      <c r="J36" s="29" t="e">
        <v>#N/A</v>
      </c>
      <c r="K36" s="17">
        <v>103</v>
      </c>
      <c r="L36" s="29" t="e">
        <v>#N/A</v>
      </c>
      <c r="N36" s="17">
        <v>103</v>
      </c>
      <c r="O36" s="29" t="e">
        <v>#N/A</v>
      </c>
      <c r="P36" s="17">
        <v>103</v>
      </c>
      <c r="Q36" s="29" t="e">
        <v>#N/A</v>
      </c>
      <c r="R36" s="17">
        <v>103</v>
      </c>
      <c r="S36" s="29" t="e">
        <v>#N/A</v>
      </c>
      <c r="T36" s="17">
        <v>103</v>
      </c>
      <c r="U36" s="29" t="e">
        <v>#N/A</v>
      </c>
      <c r="V36" s="17">
        <v>103</v>
      </c>
      <c r="W36" s="29" t="e">
        <v>#N/A</v>
      </c>
      <c r="X36" s="17">
        <v>103</v>
      </c>
      <c r="Y36" s="29" t="e">
        <v>#N/A</v>
      </c>
    </row>
    <row r="37" spans="1:25" x14ac:dyDescent="0.25">
      <c r="A37" s="17">
        <v>78</v>
      </c>
      <c r="B37" s="29" t="e">
        <v>#N/A</v>
      </c>
      <c r="C37" s="17">
        <v>78</v>
      </c>
      <c r="D37" s="29" t="e">
        <v>#N/A</v>
      </c>
      <c r="E37" s="17">
        <v>78</v>
      </c>
      <c r="F37" s="29" t="e">
        <v>#N/A</v>
      </c>
      <c r="G37" s="17">
        <v>78</v>
      </c>
      <c r="H37" s="29" t="e">
        <v>#N/A</v>
      </c>
      <c r="I37" s="17">
        <v>78</v>
      </c>
      <c r="J37" s="29" t="e">
        <v>#N/A</v>
      </c>
      <c r="K37" s="17">
        <v>78</v>
      </c>
      <c r="L37" s="29" t="e">
        <v>#N/A</v>
      </c>
      <c r="N37" s="17">
        <v>78</v>
      </c>
      <c r="O37" s="29" t="e">
        <v>#N/A</v>
      </c>
      <c r="P37" s="17">
        <v>78</v>
      </c>
      <c r="Q37" s="29" t="e">
        <v>#N/A</v>
      </c>
      <c r="R37" s="17">
        <v>78</v>
      </c>
      <c r="S37" s="29" t="e">
        <v>#N/A</v>
      </c>
      <c r="T37" s="17">
        <v>78</v>
      </c>
      <c r="U37" s="29" t="e">
        <v>#N/A</v>
      </c>
      <c r="V37" s="17">
        <v>78</v>
      </c>
      <c r="W37" s="29" t="e">
        <v>#N/A</v>
      </c>
      <c r="X37" s="17">
        <v>78</v>
      </c>
      <c r="Y37" s="29" t="e">
        <v>#N/A</v>
      </c>
    </row>
    <row r="38" spans="1:25" x14ac:dyDescent="0.25">
      <c r="A38" s="17">
        <v>105</v>
      </c>
      <c r="B38" s="29" t="e">
        <v>#N/A</v>
      </c>
      <c r="C38" s="17">
        <v>105</v>
      </c>
      <c r="D38" s="29" t="e">
        <v>#N/A</v>
      </c>
      <c r="E38" s="17">
        <v>105</v>
      </c>
      <c r="F38" s="29" t="e">
        <v>#N/A</v>
      </c>
      <c r="G38" s="17">
        <v>105</v>
      </c>
      <c r="H38" s="29" t="e">
        <v>#N/A</v>
      </c>
      <c r="I38" s="17">
        <v>105</v>
      </c>
      <c r="J38" s="29" t="e">
        <v>#N/A</v>
      </c>
      <c r="K38" s="17">
        <v>105</v>
      </c>
      <c r="L38" s="29" t="e">
        <v>#N/A</v>
      </c>
      <c r="N38" s="17">
        <v>105</v>
      </c>
      <c r="O38" s="29" t="e">
        <v>#N/A</v>
      </c>
      <c r="P38" s="17">
        <v>105</v>
      </c>
      <c r="Q38" s="29" t="e">
        <v>#N/A</v>
      </c>
      <c r="R38" s="17">
        <v>105</v>
      </c>
      <c r="S38" s="29" t="e">
        <v>#N/A</v>
      </c>
      <c r="T38" s="17">
        <v>105</v>
      </c>
      <c r="U38" s="29" t="e">
        <v>#N/A</v>
      </c>
      <c r="V38" s="17">
        <v>105</v>
      </c>
      <c r="W38" s="29" t="e">
        <v>#N/A</v>
      </c>
      <c r="X38" s="17">
        <v>105</v>
      </c>
      <c r="Y38" s="29" t="e">
        <v>#N/A</v>
      </c>
    </row>
    <row r="39" spans="1:25" x14ac:dyDescent="0.25">
      <c r="A39" s="17">
        <v>22</v>
      </c>
      <c r="B39" s="29" t="e">
        <v>#N/A</v>
      </c>
      <c r="C39" s="17">
        <v>22</v>
      </c>
      <c r="D39" s="29" t="e">
        <v>#N/A</v>
      </c>
      <c r="E39" s="17">
        <v>22</v>
      </c>
      <c r="F39" s="29" t="e">
        <v>#N/A</v>
      </c>
      <c r="G39" s="17">
        <v>22</v>
      </c>
      <c r="H39" s="29" t="e">
        <v>#N/A</v>
      </c>
      <c r="I39" s="17">
        <v>22</v>
      </c>
      <c r="J39" s="29" t="e">
        <v>#N/A</v>
      </c>
      <c r="K39" s="17">
        <v>22</v>
      </c>
      <c r="L39" s="29" t="e">
        <v>#N/A</v>
      </c>
      <c r="N39" s="17">
        <v>22</v>
      </c>
      <c r="O39" s="29" t="e">
        <v>#N/A</v>
      </c>
      <c r="P39" s="17">
        <v>22</v>
      </c>
      <c r="Q39" s="29" t="e">
        <v>#N/A</v>
      </c>
      <c r="R39" s="17">
        <v>22</v>
      </c>
      <c r="S39" s="29" t="e">
        <v>#N/A</v>
      </c>
      <c r="T39" s="17">
        <v>22</v>
      </c>
      <c r="U39" s="29" t="e">
        <v>#N/A</v>
      </c>
      <c r="V39" s="17">
        <v>22</v>
      </c>
      <c r="W39" s="29" t="e">
        <v>#N/A</v>
      </c>
      <c r="X39" s="17">
        <v>22</v>
      </c>
      <c r="Y39" s="29" t="e">
        <v>#N/A</v>
      </c>
    </row>
    <row r="40" spans="1:25" x14ac:dyDescent="0.25">
      <c r="A40" s="17">
        <v>106</v>
      </c>
      <c r="B40" s="29" t="e">
        <v>#N/A</v>
      </c>
      <c r="C40" s="17">
        <v>106</v>
      </c>
      <c r="D40" s="29" t="e">
        <v>#N/A</v>
      </c>
      <c r="E40" s="17">
        <v>106</v>
      </c>
      <c r="F40" s="29" t="e">
        <v>#N/A</v>
      </c>
      <c r="G40" s="17">
        <v>106</v>
      </c>
      <c r="H40" s="29" t="e">
        <v>#N/A</v>
      </c>
      <c r="I40" s="17">
        <v>106</v>
      </c>
      <c r="J40" s="29" t="e">
        <v>#N/A</v>
      </c>
      <c r="K40" s="17">
        <v>106</v>
      </c>
      <c r="L40" s="29" t="e">
        <v>#N/A</v>
      </c>
      <c r="N40" s="17">
        <v>106</v>
      </c>
      <c r="O40" s="29" t="e">
        <v>#N/A</v>
      </c>
      <c r="P40" s="17">
        <v>106</v>
      </c>
      <c r="Q40" s="29" t="e">
        <v>#N/A</v>
      </c>
      <c r="R40" s="17">
        <v>106</v>
      </c>
      <c r="S40" s="29" t="e">
        <v>#N/A</v>
      </c>
      <c r="T40" s="17">
        <v>106</v>
      </c>
      <c r="U40" s="29" t="e">
        <v>#N/A</v>
      </c>
      <c r="V40" s="17">
        <v>106</v>
      </c>
      <c r="W40" s="29" t="e">
        <v>#N/A</v>
      </c>
      <c r="X40" s="17">
        <v>106</v>
      </c>
      <c r="Y40" s="29" t="e">
        <v>#N/A</v>
      </c>
    </row>
    <row r="41" spans="1:25" x14ac:dyDescent="0.25">
      <c r="A41" s="17">
        <v>27</v>
      </c>
      <c r="B41" s="29" t="e">
        <v>#N/A</v>
      </c>
      <c r="C41" s="17">
        <v>27</v>
      </c>
      <c r="D41" s="29" t="e">
        <v>#N/A</v>
      </c>
      <c r="E41" s="17">
        <v>27</v>
      </c>
      <c r="F41" s="29" t="e">
        <v>#N/A</v>
      </c>
      <c r="G41" s="17">
        <v>27</v>
      </c>
      <c r="H41" s="29" t="e">
        <v>#N/A</v>
      </c>
      <c r="I41" s="17">
        <v>27</v>
      </c>
      <c r="J41" s="29" t="e">
        <v>#N/A</v>
      </c>
      <c r="K41" s="17">
        <v>27</v>
      </c>
      <c r="L41" s="29" t="e">
        <v>#N/A</v>
      </c>
      <c r="N41" s="17">
        <v>27</v>
      </c>
      <c r="O41" s="29" t="e">
        <v>#N/A</v>
      </c>
      <c r="P41" s="17">
        <v>27</v>
      </c>
      <c r="Q41" s="29" t="e">
        <v>#N/A</v>
      </c>
      <c r="R41" s="17">
        <v>27</v>
      </c>
      <c r="S41" s="29" t="e">
        <v>#N/A</v>
      </c>
      <c r="T41" s="17">
        <v>27</v>
      </c>
      <c r="U41" s="29" t="e">
        <v>#N/A</v>
      </c>
      <c r="V41" s="17">
        <v>27</v>
      </c>
      <c r="W41" s="29" t="e">
        <v>#N/A</v>
      </c>
      <c r="X41" s="17">
        <v>27</v>
      </c>
      <c r="Y41" s="29" t="e">
        <v>#N/A</v>
      </c>
    </row>
    <row r="42" spans="1:25" x14ac:dyDescent="0.25">
      <c r="A42" s="17">
        <v>108</v>
      </c>
      <c r="B42" s="29" t="e">
        <v>#N/A</v>
      </c>
      <c r="C42" s="17">
        <v>108</v>
      </c>
      <c r="D42" s="29" t="e">
        <v>#N/A</v>
      </c>
      <c r="E42" s="17">
        <v>108</v>
      </c>
      <c r="F42" s="29" t="e">
        <v>#N/A</v>
      </c>
      <c r="G42" s="17">
        <v>108</v>
      </c>
      <c r="H42" s="29" t="e">
        <v>#N/A</v>
      </c>
      <c r="I42" s="17">
        <v>108</v>
      </c>
      <c r="J42" s="29" t="e">
        <v>#N/A</v>
      </c>
      <c r="K42" s="17">
        <v>108</v>
      </c>
      <c r="L42" s="29" t="e">
        <v>#N/A</v>
      </c>
      <c r="N42" s="17">
        <v>108</v>
      </c>
      <c r="O42" s="29" t="e">
        <v>#N/A</v>
      </c>
      <c r="P42" s="17">
        <v>108</v>
      </c>
      <c r="Q42" s="29" t="e">
        <v>#N/A</v>
      </c>
      <c r="R42" s="17">
        <v>108</v>
      </c>
      <c r="S42" s="29" t="e">
        <v>#N/A</v>
      </c>
      <c r="T42" s="17">
        <v>108</v>
      </c>
      <c r="U42" s="29" t="e">
        <v>#N/A</v>
      </c>
      <c r="V42" s="17">
        <v>108</v>
      </c>
      <c r="W42" s="29" t="e">
        <v>#N/A</v>
      </c>
      <c r="X42" s="17">
        <v>108</v>
      </c>
      <c r="Y42" s="29" t="e">
        <v>#N/A</v>
      </c>
    </row>
    <row r="43" spans="1:25" x14ac:dyDescent="0.25">
      <c r="A43" s="17">
        <v>31</v>
      </c>
      <c r="B43" s="29" t="e">
        <v>#N/A</v>
      </c>
      <c r="C43" s="17">
        <v>31</v>
      </c>
      <c r="D43" s="29" t="e">
        <v>#N/A</v>
      </c>
      <c r="E43" s="17">
        <v>31</v>
      </c>
      <c r="F43" s="29" t="e">
        <v>#N/A</v>
      </c>
      <c r="G43" s="17">
        <v>31</v>
      </c>
      <c r="H43" s="29" t="e">
        <v>#N/A</v>
      </c>
      <c r="I43" s="17">
        <v>31</v>
      </c>
      <c r="J43" s="29" t="e">
        <v>#N/A</v>
      </c>
      <c r="K43" s="17">
        <v>31</v>
      </c>
      <c r="L43" s="29" t="e">
        <v>#N/A</v>
      </c>
      <c r="N43" s="17">
        <v>31</v>
      </c>
      <c r="O43" s="29" t="e">
        <v>#N/A</v>
      </c>
      <c r="P43" s="17">
        <v>31</v>
      </c>
      <c r="Q43" s="29" t="e">
        <v>#N/A</v>
      </c>
      <c r="R43" s="17">
        <v>31</v>
      </c>
      <c r="S43" s="29" t="e">
        <v>#N/A</v>
      </c>
      <c r="T43" s="17">
        <v>31</v>
      </c>
      <c r="U43" s="29" t="e">
        <v>#N/A</v>
      </c>
      <c r="V43" s="17">
        <v>31</v>
      </c>
      <c r="W43" s="29" t="e">
        <v>#N/A</v>
      </c>
      <c r="X43" s="17">
        <v>31</v>
      </c>
      <c r="Y43" s="29" t="e">
        <v>#N/A</v>
      </c>
    </row>
    <row r="44" spans="1:25" x14ac:dyDescent="0.25">
      <c r="A44" s="17">
        <v>109</v>
      </c>
      <c r="B44" s="29" t="e">
        <v>#N/A</v>
      </c>
      <c r="C44" s="17">
        <v>109</v>
      </c>
      <c r="D44" s="29" t="e">
        <v>#N/A</v>
      </c>
      <c r="E44" s="17">
        <v>109</v>
      </c>
      <c r="F44" s="29" t="e">
        <v>#N/A</v>
      </c>
      <c r="G44" s="17">
        <v>109</v>
      </c>
      <c r="H44" s="29" t="e">
        <v>#N/A</v>
      </c>
      <c r="I44" s="17">
        <v>109</v>
      </c>
      <c r="J44" s="29" t="e">
        <v>#N/A</v>
      </c>
      <c r="K44" s="17">
        <v>109</v>
      </c>
      <c r="L44" s="29" t="e">
        <v>#N/A</v>
      </c>
      <c r="N44" s="17">
        <v>109</v>
      </c>
      <c r="O44" s="29" t="e">
        <v>#N/A</v>
      </c>
      <c r="P44" s="17">
        <v>109</v>
      </c>
      <c r="Q44" s="29" t="e">
        <v>#N/A</v>
      </c>
      <c r="R44" s="17">
        <v>109</v>
      </c>
      <c r="S44" s="29" t="e">
        <v>#N/A</v>
      </c>
      <c r="T44" s="17">
        <v>109</v>
      </c>
      <c r="U44" s="29" t="e">
        <v>#N/A</v>
      </c>
      <c r="V44" s="17">
        <v>109</v>
      </c>
      <c r="W44" s="29" t="e">
        <v>#N/A</v>
      </c>
      <c r="X44" s="17">
        <v>109</v>
      </c>
      <c r="Y44" s="29" t="e">
        <v>#N/A</v>
      </c>
    </row>
    <row r="45" spans="1:25" x14ac:dyDescent="0.25">
      <c r="A45" s="17">
        <v>36</v>
      </c>
      <c r="B45" s="29" t="e">
        <v>#N/A</v>
      </c>
      <c r="C45" s="17">
        <v>36</v>
      </c>
      <c r="D45" s="29" t="e">
        <v>#N/A</v>
      </c>
      <c r="E45" s="17">
        <v>36</v>
      </c>
      <c r="F45" s="29" t="e">
        <v>#N/A</v>
      </c>
      <c r="G45" s="17">
        <v>36</v>
      </c>
      <c r="H45" s="29" t="e">
        <v>#N/A</v>
      </c>
      <c r="I45" s="17">
        <v>36</v>
      </c>
      <c r="J45" s="29" t="e">
        <v>#N/A</v>
      </c>
      <c r="K45" s="17">
        <v>36</v>
      </c>
      <c r="L45" s="29" t="e">
        <v>#N/A</v>
      </c>
      <c r="N45" s="17">
        <v>36</v>
      </c>
      <c r="O45" s="29" t="e">
        <v>#N/A</v>
      </c>
      <c r="P45" s="17">
        <v>36</v>
      </c>
      <c r="Q45" s="29" t="e">
        <v>#N/A</v>
      </c>
      <c r="R45" s="17">
        <v>36</v>
      </c>
      <c r="S45" s="29" t="e">
        <v>#N/A</v>
      </c>
      <c r="T45" s="17">
        <v>36</v>
      </c>
      <c r="U45" s="29" t="e">
        <v>#N/A</v>
      </c>
      <c r="V45" s="17">
        <v>36</v>
      </c>
      <c r="W45" s="29" t="e">
        <v>#N/A</v>
      </c>
      <c r="X45" s="17">
        <v>36</v>
      </c>
      <c r="Y45" s="29" t="e">
        <v>#N/A</v>
      </c>
    </row>
    <row r="46" spans="1:25" x14ac:dyDescent="0.25">
      <c r="A46" s="17">
        <v>112</v>
      </c>
      <c r="B46" s="29" t="e">
        <v>#N/A</v>
      </c>
      <c r="C46" s="17">
        <v>112</v>
      </c>
      <c r="D46" s="29" t="e">
        <v>#N/A</v>
      </c>
      <c r="E46" s="17">
        <v>112</v>
      </c>
      <c r="F46" s="29" t="e">
        <v>#N/A</v>
      </c>
      <c r="G46" s="17">
        <v>112</v>
      </c>
      <c r="H46" s="29" t="e">
        <v>#N/A</v>
      </c>
      <c r="I46" s="17">
        <v>112</v>
      </c>
      <c r="J46" s="29" t="e">
        <v>#N/A</v>
      </c>
      <c r="K46" s="17">
        <v>112</v>
      </c>
      <c r="L46" s="29" t="e">
        <v>#N/A</v>
      </c>
      <c r="N46" s="17">
        <v>112</v>
      </c>
      <c r="O46" s="29" t="e">
        <v>#N/A</v>
      </c>
      <c r="P46" s="17">
        <v>112</v>
      </c>
      <c r="Q46" s="29" t="e">
        <v>#N/A</v>
      </c>
      <c r="R46" s="17">
        <v>112</v>
      </c>
      <c r="S46" s="29" t="e">
        <v>#N/A</v>
      </c>
      <c r="T46" s="17">
        <v>112</v>
      </c>
      <c r="U46" s="29" t="e">
        <v>#N/A</v>
      </c>
      <c r="V46" s="17">
        <v>112</v>
      </c>
      <c r="W46" s="29" t="e">
        <v>#N/A</v>
      </c>
      <c r="X46" s="17">
        <v>112</v>
      </c>
      <c r="Y46" s="29" t="e">
        <v>#N/A</v>
      </c>
    </row>
    <row r="47" spans="1:25" x14ac:dyDescent="0.25">
      <c r="A47" s="17">
        <v>43</v>
      </c>
      <c r="B47" s="29" t="e">
        <v>#N/A</v>
      </c>
      <c r="C47" s="17">
        <v>43</v>
      </c>
      <c r="D47" s="29" t="e">
        <v>#N/A</v>
      </c>
      <c r="E47" s="17">
        <v>43</v>
      </c>
      <c r="F47" s="29" t="e">
        <v>#N/A</v>
      </c>
      <c r="G47" s="17">
        <v>43</v>
      </c>
      <c r="H47" s="29" t="e">
        <v>#N/A</v>
      </c>
      <c r="I47" s="17">
        <v>43</v>
      </c>
      <c r="J47" s="29" t="e">
        <v>#N/A</v>
      </c>
      <c r="K47" s="17">
        <v>43</v>
      </c>
      <c r="L47" s="29" t="e">
        <v>#N/A</v>
      </c>
      <c r="N47" s="17">
        <v>43</v>
      </c>
      <c r="O47" s="29" t="e">
        <v>#N/A</v>
      </c>
      <c r="P47" s="17">
        <v>43</v>
      </c>
      <c r="Q47" s="29" t="e">
        <v>#N/A</v>
      </c>
      <c r="R47" s="17">
        <v>43</v>
      </c>
      <c r="S47" s="29" t="e">
        <v>#N/A</v>
      </c>
      <c r="T47" s="17">
        <v>43</v>
      </c>
      <c r="U47" s="29" t="e">
        <v>#N/A</v>
      </c>
      <c r="V47" s="17">
        <v>43</v>
      </c>
      <c r="W47" s="29" t="e">
        <v>#N/A</v>
      </c>
      <c r="X47" s="17">
        <v>43</v>
      </c>
      <c r="Y47" s="29" t="e">
        <v>#N/A</v>
      </c>
    </row>
    <row r="48" spans="1:25" x14ac:dyDescent="0.25">
      <c r="A48" s="17">
        <v>114</v>
      </c>
      <c r="B48" s="29" t="e">
        <v>#N/A</v>
      </c>
      <c r="C48" s="17">
        <v>114</v>
      </c>
      <c r="D48" s="29" t="e">
        <v>#N/A</v>
      </c>
      <c r="E48" s="17">
        <v>114</v>
      </c>
      <c r="F48" s="29" t="e">
        <v>#N/A</v>
      </c>
      <c r="G48" s="17">
        <v>114</v>
      </c>
      <c r="H48" s="29" t="e">
        <v>#N/A</v>
      </c>
      <c r="I48" s="17">
        <v>114</v>
      </c>
      <c r="J48" s="29" t="e">
        <v>#N/A</v>
      </c>
      <c r="K48" s="17">
        <v>114</v>
      </c>
      <c r="L48" s="29" t="e">
        <v>#N/A</v>
      </c>
      <c r="N48" s="17">
        <v>114</v>
      </c>
      <c r="O48" s="29" t="e">
        <v>#N/A</v>
      </c>
      <c r="P48" s="17">
        <v>114</v>
      </c>
      <c r="Q48" s="29" t="e">
        <v>#N/A</v>
      </c>
      <c r="R48" s="17">
        <v>114</v>
      </c>
      <c r="S48" s="29" t="e">
        <v>#N/A</v>
      </c>
      <c r="T48" s="17">
        <v>114</v>
      </c>
      <c r="U48" s="29" t="e">
        <v>#N/A</v>
      </c>
      <c r="V48" s="17">
        <v>114</v>
      </c>
      <c r="W48" s="29" t="e">
        <v>#N/A</v>
      </c>
      <c r="X48" s="17">
        <v>114</v>
      </c>
      <c r="Y48" s="29" t="e">
        <v>#N/A</v>
      </c>
    </row>
    <row r="49" spans="1:25" x14ac:dyDescent="0.25">
      <c r="A49" s="17">
        <v>49</v>
      </c>
      <c r="B49" s="29" t="e">
        <v>#N/A</v>
      </c>
      <c r="C49" s="17">
        <v>49</v>
      </c>
      <c r="D49" s="29" t="e">
        <v>#N/A</v>
      </c>
      <c r="E49" s="17">
        <v>49</v>
      </c>
      <c r="F49" s="29" t="e">
        <v>#N/A</v>
      </c>
      <c r="G49" s="17">
        <v>49</v>
      </c>
      <c r="H49" s="29" t="e">
        <v>#N/A</v>
      </c>
      <c r="I49" s="17">
        <v>49</v>
      </c>
      <c r="J49" s="29" t="e">
        <v>#N/A</v>
      </c>
      <c r="K49" s="17">
        <v>49</v>
      </c>
      <c r="L49" s="29" t="e">
        <v>#N/A</v>
      </c>
      <c r="N49" s="17">
        <v>49</v>
      </c>
      <c r="O49" s="29" t="e">
        <v>#N/A</v>
      </c>
      <c r="P49" s="17">
        <v>49</v>
      </c>
      <c r="Q49" s="29" t="e">
        <v>#N/A</v>
      </c>
      <c r="R49" s="17">
        <v>49</v>
      </c>
      <c r="S49" s="29" t="e">
        <v>#N/A</v>
      </c>
      <c r="T49" s="17">
        <v>49</v>
      </c>
      <c r="U49" s="29" t="e">
        <v>#N/A</v>
      </c>
      <c r="V49" s="17">
        <v>49</v>
      </c>
      <c r="W49" s="29" t="e">
        <v>#N/A</v>
      </c>
      <c r="X49" s="17">
        <v>49</v>
      </c>
      <c r="Y49" s="29" t="e">
        <v>#N/A</v>
      </c>
    </row>
    <row r="50" spans="1:25" x14ac:dyDescent="0.25">
      <c r="A50" s="17">
        <v>115</v>
      </c>
      <c r="B50" s="29" t="e">
        <v>#N/A</v>
      </c>
      <c r="C50" s="17">
        <v>115</v>
      </c>
      <c r="D50" s="29" t="e">
        <v>#N/A</v>
      </c>
      <c r="E50" s="17">
        <v>115</v>
      </c>
      <c r="F50" s="29" t="e">
        <v>#N/A</v>
      </c>
      <c r="G50" s="17">
        <v>115</v>
      </c>
      <c r="H50" s="29" t="e">
        <v>#N/A</v>
      </c>
      <c r="I50" s="17">
        <v>115</v>
      </c>
      <c r="J50" s="29" t="e">
        <v>#N/A</v>
      </c>
      <c r="K50" s="17">
        <v>115</v>
      </c>
      <c r="L50" s="29" t="e">
        <v>#N/A</v>
      </c>
      <c r="N50" s="17">
        <v>115</v>
      </c>
      <c r="O50" s="29" t="e">
        <v>#N/A</v>
      </c>
      <c r="P50" s="17">
        <v>115</v>
      </c>
      <c r="Q50" s="29" t="e">
        <v>#N/A</v>
      </c>
      <c r="R50" s="17">
        <v>115</v>
      </c>
      <c r="S50" s="29" t="e">
        <v>#N/A</v>
      </c>
      <c r="T50" s="17">
        <v>115</v>
      </c>
      <c r="U50" s="29" t="e">
        <v>#N/A</v>
      </c>
      <c r="V50" s="17">
        <v>115</v>
      </c>
      <c r="W50" s="29" t="e">
        <v>#N/A</v>
      </c>
      <c r="X50" s="17">
        <v>115</v>
      </c>
      <c r="Y50" s="29" t="e">
        <v>#N/A</v>
      </c>
    </row>
    <row r="51" spans="1:25" x14ac:dyDescent="0.25">
      <c r="A51" s="17">
        <v>72</v>
      </c>
      <c r="B51" s="29" t="e">
        <v>#N/A</v>
      </c>
      <c r="C51" s="17">
        <v>72</v>
      </c>
      <c r="D51" s="29" t="e">
        <v>#N/A</v>
      </c>
      <c r="E51" s="17">
        <v>72</v>
      </c>
      <c r="F51" s="29" t="e">
        <v>#N/A</v>
      </c>
      <c r="G51" s="17">
        <v>72</v>
      </c>
      <c r="H51" s="29" t="e">
        <v>#N/A</v>
      </c>
      <c r="I51" s="17">
        <v>72</v>
      </c>
      <c r="J51" s="29" t="e">
        <v>#N/A</v>
      </c>
      <c r="K51" s="17">
        <v>72</v>
      </c>
      <c r="L51" s="29" t="e">
        <v>#N/A</v>
      </c>
      <c r="N51" s="17">
        <v>72</v>
      </c>
      <c r="O51" s="29" t="e">
        <v>#N/A</v>
      </c>
      <c r="P51" s="17">
        <v>72</v>
      </c>
      <c r="Q51" s="29" t="e">
        <v>#N/A</v>
      </c>
      <c r="R51" s="17">
        <v>72</v>
      </c>
      <c r="S51" s="29" t="e">
        <v>#N/A</v>
      </c>
      <c r="T51" s="17">
        <v>72</v>
      </c>
      <c r="U51" s="29" t="e">
        <v>#N/A</v>
      </c>
      <c r="V51" s="17">
        <v>72</v>
      </c>
      <c r="W51" s="29" t="e">
        <v>#N/A</v>
      </c>
      <c r="X51" s="17">
        <v>72</v>
      </c>
      <c r="Y51" s="29" t="e">
        <v>#N/A</v>
      </c>
    </row>
    <row r="52" spans="1:25" x14ac:dyDescent="0.25">
      <c r="A52" s="17">
        <v>118</v>
      </c>
      <c r="B52" s="29" t="e">
        <v>#N/A</v>
      </c>
      <c r="C52" s="17">
        <v>118</v>
      </c>
      <c r="D52" s="29" t="e">
        <v>#N/A</v>
      </c>
      <c r="E52" s="17">
        <v>118</v>
      </c>
      <c r="F52" s="29" t="e">
        <v>#N/A</v>
      </c>
      <c r="G52" s="17">
        <v>118</v>
      </c>
      <c r="H52" s="29" t="e">
        <v>#N/A</v>
      </c>
      <c r="I52" s="17">
        <v>118</v>
      </c>
      <c r="J52" s="29" t="e">
        <v>#N/A</v>
      </c>
      <c r="K52" s="17">
        <v>118</v>
      </c>
      <c r="L52" s="29" t="e">
        <v>#N/A</v>
      </c>
      <c r="N52" s="17">
        <v>118</v>
      </c>
      <c r="O52" s="29" t="e">
        <v>#N/A</v>
      </c>
      <c r="P52" s="17">
        <v>118</v>
      </c>
      <c r="Q52" s="29" t="e">
        <v>#N/A</v>
      </c>
      <c r="R52" s="17">
        <v>118</v>
      </c>
      <c r="S52" s="29" t="e">
        <v>#N/A</v>
      </c>
      <c r="T52" s="17">
        <v>118</v>
      </c>
      <c r="U52" s="29" t="e">
        <v>#N/A</v>
      </c>
      <c r="V52" s="17">
        <v>118</v>
      </c>
      <c r="W52" s="29" t="e">
        <v>#N/A</v>
      </c>
      <c r="X52" s="17">
        <v>118</v>
      </c>
      <c r="Y52" s="29" t="e">
        <v>#N/A</v>
      </c>
    </row>
    <row r="53" spans="1:25" x14ac:dyDescent="0.25">
      <c r="A53" s="17">
        <v>77</v>
      </c>
      <c r="B53" s="29" t="e">
        <v>#N/A</v>
      </c>
      <c r="C53" s="17">
        <v>77</v>
      </c>
      <c r="D53" s="29" t="e">
        <v>#N/A</v>
      </c>
      <c r="E53" s="17">
        <v>77</v>
      </c>
      <c r="F53" s="29" t="e">
        <v>#N/A</v>
      </c>
      <c r="G53" s="17">
        <v>77</v>
      </c>
      <c r="H53" s="29" t="e">
        <v>#N/A</v>
      </c>
      <c r="I53" s="17">
        <v>77</v>
      </c>
      <c r="J53" s="29" t="e">
        <v>#N/A</v>
      </c>
      <c r="K53" s="17">
        <v>77</v>
      </c>
      <c r="L53" s="29" t="e">
        <v>#N/A</v>
      </c>
      <c r="N53" s="17">
        <v>77</v>
      </c>
      <c r="O53" s="29" t="e">
        <v>#N/A</v>
      </c>
      <c r="P53" s="17">
        <v>77</v>
      </c>
      <c r="Q53" s="29" t="e">
        <v>#N/A</v>
      </c>
      <c r="R53" s="17">
        <v>77</v>
      </c>
      <c r="S53" s="29" t="e">
        <v>#N/A</v>
      </c>
      <c r="T53" s="17">
        <v>77</v>
      </c>
      <c r="U53" s="29" t="e">
        <v>#N/A</v>
      </c>
      <c r="V53" s="17">
        <v>77</v>
      </c>
      <c r="W53" s="29" t="e">
        <v>#N/A</v>
      </c>
      <c r="X53" s="17">
        <v>77</v>
      </c>
      <c r="Y53" s="29" t="e">
        <v>#N/A</v>
      </c>
    </row>
    <row r="54" spans="1:25" x14ac:dyDescent="0.25">
      <c r="A54" s="17">
        <v>119</v>
      </c>
      <c r="B54" s="29" t="e">
        <v>#N/A</v>
      </c>
      <c r="C54" s="17">
        <v>119</v>
      </c>
      <c r="D54" s="29" t="e">
        <v>#N/A</v>
      </c>
      <c r="E54" s="17">
        <v>119</v>
      </c>
      <c r="F54" s="29" t="e">
        <v>#N/A</v>
      </c>
      <c r="G54" s="17">
        <v>119</v>
      </c>
      <c r="H54" s="29" t="e">
        <v>#N/A</v>
      </c>
      <c r="I54" s="17">
        <v>119</v>
      </c>
      <c r="J54" s="29" t="e">
        <v>#N/A</v>
      </c>
      <c r="K54" s="17">
        <v>119</v>
      </c>
      <c r="L54" s="29" t="e">
        <v>#N/A</v>
      </c>
      <c r="N54" s="17">
        <v>119</v>
      </c>
      <c r="O54" s="29" t="e">
        <v>#N/A</v>
      </c>
      <c r="P54" s="17">
        <v>119</v>
      </c>
      <c r="Q54" s="29" t="e">
        <v>#N/A</v>
      </c>
      <c r="R54" s="17">
        <v>119</v>
      </c>
      <c r="S54" s="29" t="e">
        <v>#N/A</v>
      </c>
      <c r="T54" s="17">
        <v>119</v>
      </c>
      <c r="U54" s="29" t="e">
        <v>#N/A</v>
      </c>
      <c r="V54" s="17">
        <v>119</v>
      </c>
      <c r="W54" s="29" t="e">
        <v>#N/A</v>
      </c>
      <c r="X54" s="17">
        <v>119</v>
      </c>
      <c r="Y54" s="29" t="e">
        <v>#N/A</v>
      </c>
    </row>
    <row r="55" spans="1:25" x14ac:dyDescent="0.25">
      <c r="A55" s="17">
        <v>25</v>
      </c>
      <c r="B55" s="29" t="e">
        <v>#N/A</v>
      </c>
      <c r="C55" s="17">
        <v>25</v>
      </c>
      <c r="D55" s="29" t="e">
        <v>#N/A</v>
      </c>
      <c r="E55" s="17">
        <v>25</v>
      </c>
      <c r="F55" s="29" t="e">
        <v>#N/A</v>
      </c>
      <c r="G55" s="17">
        <v>25</v>
      </c>
      <c r="H55" s="29" t="e">
        <v>#N/A</v>
      </c>
      <c r="I55" s="17">
        <v>25</v>
      </c>
      <c r="J55" s="29" t="e">
        <v>#N/A</v>
      </c>
      <c r="K55" s="17">
        <v>25</v>
      </c>
      <c r="L55" s="29" t="e">
        <v>#N/A</v>
      </c>
      <c r="N55" s="17">
        <v>25</v>
      </c>
      <c r="O55" s="29" t="e">
        <v>#N/A</v>
      </c>
      <c r="P55" s="17">
        <v>25</v>
      </c>
      <c r="Q55" s="29" t="e">
        <v>#N/A</v>
      </c>
      <c r="R55" s="17">
        <v>25</v>
      </c>
      <c r="S55" s="29" t="e">
        <v>#N/A</v>
      </c>
      <c r="T55" s="17">
        <v>25</v>
      </c>
      <c r="U55" s="29" t="e">
        <v>#N/A</v>
      </c>
      <c r="V55" s="17">
        <v>25</v>
      </c>
      <c r="W55" s="29" t="e">
        <v>#N/A</v>
      </c>
      <c r="X55" s="17">
        <v>25</v>
      </c>
      <c r="Y55" s="29" t="e">
        <v>#N/A</v>
      </c>
    </row>
    <row r="56" spans="1:25" x14ac:dyDescent="0.25">
      <c r="A56" s="17">
        <v>121</v>
      </c>
      <c r="B56" s="29" t="e">
        <v>#N/A</v>
      </c>
      <c r="C56" s="17">
        <v>121</v>
      </c>
      <c r="D56" s="29" t="e">
        <v>#N/A</v>
      </c>
      <c r="E56" s="17">
        <v>121</v>
      </c>
      <c r="F56" s="29" t="e">
        <v>#N/A</v>
      </c>
      <c r="G56" s="17">
        <v>121</v>
      </c>
      <c r="H56" s="29" t="e">
        <v>#N/A</v>
      </c>
      <c r="I56" s="17">
        <v>121</v>
      </c>
      <c r="J56" s="29" t="e">
        <v>#N/A</v>
      </c>
      <c r="K56" s="17">
        <v>121</v>
      </c>
      <c r="L56" s="29" t="e">
        <v>#N/A</v>
      </c>
      <c r="N56" s="17">
        <v>121</v>
      </c>
      <c r="O56" s="29" t="e">
        <v>#N/A</v>
      </c>
      <c r="P56" s="17">
        <v>121</v>
      </c>
      <c r="Q56" s="29" t="e">
        <v>#N/A</v>
      </c>
      <c r="R56" s="17">
        <v>121</v>
      </c>
      <c r="S56" s="29" t="e">
        <v>#N/A</v>
      </c>
      <c r="T56" s="17">
        <v>121</v>
      </c>
      <c r="U56" s="29" t="e">
        <v>#N/A</v>
      </c>
      <c r="V56" s="17">
        <v>121</v>
      </c>
      <c r="W56" s="29" t="e">
        <v>#N/A</v>
      </c>
      <c r="X56" s="17">
        <v>121</v>
      </c>
      <c r="Y56" s="29" t="e">
        <v>#N/A</v>
      </c>
    </row>
    <row r="57" spans="1:25" x14ac:dyDescent="0.25">
      <c r="A57" s="17">
        <v>33</v>
      </c>
      <c r="B57" s="29" t="e">
        <v>#N/A</v>
      </c>
      <c r="C57" s="17">
        <v>33</v>
      </c>
      <c r="D57" s="29" t="e">
        <v>#N/A</v>
      </c>
      <c r="E57" s="17">
        <v>33</v>
      </c>
      <c r="F57" s="29" t="e">
        <v>#N/A</v>
      </c>
      <c r="G57" s="17">
        <v>33</v>
      </c>
      <c r="H57" s="29" t="e">
        <v>#N/A</v>
      </c>
      <c r="I57" s="17">
        <v>33</v>
      </c>
      <c r="J57" s="29" t="e">
        <v>#N/A</v>
      </c>
      <c r="K57" s="17">
        <v>33</v>
      </c>
      <c r="L57" s="29" t="e">
        <v>#N/A</v>
      </c>
      <c r="N57" s="17">
        <v>33</v>
      </c>
      <c r="O57" s="29" t="e">
        <v>#N/A</v>
      </c>
      <c r="P57" s="17">
        <v>33</v>
      </c>
      <c r="Q57" s="29" t="e">
        <v>#N/A</v>
      </c>
      <c r="R57" s="17">
        <v>33</v>
      </c>
      <c r="S57" s="29" t="e">
        <v>#N/A</v>
      </c>
      <c r="T57" s="17">
        <v>33</v>
      </c>
      <c r="U57" s="29" t="e">
        <v>#N/A</v>
      </c>
      <c r="V57" s="17">
        <v>33</v>
      </c>
      <c r="W57" s="29" t="e">
        <v>#N/A</v>
      </c>
      <c r="X57" s="17">
        <v>33</v>
      </c>
      <c r="Y57" s="29" t="e">
        <v>#N/A</v>
      </c>
    </row>
    <row r="58" spans="1:25" x14ac:dyDescent="0.25">
      <c r="A58" s="17">
        <v>123</v>
      </c>
      <c r="B58" s="29" t="e">
        <v>#N/A</v>
      </c>
      <c r="C58" s="17">
        <v>123</v>
      </c>
      <c r="D58" s="29" t="e">
        <v>#N/A</v>
      </c>
      <c r="E58" s="17">
        <v>123</v>
      </c>
      <c r="F58" s="29" t="e">
        <v>#N/A</v>
      </c>
      <c r="G58" s="17">
        <v>123</v>
      </c>
      <c r="H58" s="29" t="e">
        <v>#N/A</v>
      </c>
      <c r="I58" s="17">
        <v>123</v>
      </c>
      <c r="J58" s="29" t="e">
        <v>#N/A</v>
      </c>
      <c r="K58" s="17">
        <v>123</v>
      </c>
      <c r="L58" s="29" t="e">
        <v>#N/A</v>
      </c>
      <c r="N58" s="17">
        <v>123</v>
      </c>
      <c r="O58" s="29" t="e">
        <v>#N/A</v>
      </c>
      <c r="P58" s="17">
        <v>123</v>
      </c>
      <c r="Q58" s="29" t="e">
        <v>#N/A</v>
      </c>
      <c r="R58" s="17">
        <v>123</v>
      </c>
      <c r="S58" s="29" t="e">
        <v>#N/A</v>
      </c>
      <c r="T58" s="17">
        <v>123</v>
      </c>
      <c r="U58" s="29" t="e">
        <v>#N/A</v>
      </c>
      <c r="V58" s="17">
        <v>123</v>
      </c>
      <c r="W58" s="29" t="e">
        <v>#N/A</v>
      </c>
      <c r="X58" s="17">
        <v>123</v>
      </c>
      <c r="Y58" s="29" t="e">
        <v>#N/A</v>
      </c>
    </row>
    <row r="59" spans="1:25" x14ac:dyDescent="0.25">
      <c r="A59" s="17">
        <v>46</v>
      </c>
      <c r="B59" s="29" t="e">
        <v>#N/A</v>
      </c>
      <c r="C59" s="17">
        <v>46</v>
      </c>
      <c r="D59" s="29" t="e">
        <v>#N/A</v>
      </c>
      <c r="E59" s="17">
        <v>46</v>
      </c>
      <c r="F59" s="29" t="e">
        <v>#N/A</v>
      </c>
      <c r="G59" s="17">
        <v>46</v>
      </c>
      <c r="H59" s="29" t="e">
        <v>#N/A</v>
      </c>
      <c r="I59" s="17">
        <v>46</v>
      </c>
      <c r="J59" s="29" t="e">
        <v>#N/A</v>
      </c>
      <c r="K59" s="17">
        <v>46</v>
      </c>
      <c r="L59" s="29" t="e">
        <v>#N/A</v>
      </c>
      <c r="N59" s="17">
        <v>46</v>
      </c>
      <c r="O59" s="29" t="e">
        <v>#N/A</v>
      </c>
      <c r="P59" s="17">
        <v>46</v>
      </c>
      <c r="Q59" s="29" t="e">
        <v>#N/A</v>
      </c>
      <c r="R59" s="17">
        <v>46</v>
      </c>
      <c r="S59" s="29" t="e">
        <v>#N/A</v>
      </c>
      <c r="T59" s="17">
        <v>46</v>
      </c>
      <c r="U59" s="29" t="e">
        <v>#N/A</v>
      </c>
      <c r="V59" s="17">
        <v>46</v>
      </c>
      <c r="W59" s="29" t="e">
        <v>#N/A</v>
      </c>
      <c r="X59" s="17">
        <v>46</v>
      </c>
      <c r="Y59" s="29" t="e">
        <v>#N/A</v>
      </c>
    </row>
    <row r="60" spans="1:25" x14ac:dyDescent="0.25">
      <c r="A60" s="17">
        <v>125</v>
      </c>
      <c r="B60" s="29" t="e">
        <v>#N/A</v>
      </c>
      <c r="C60" s="17">
        <v>125</v>
      </c>
      <c r="D60" s="29" t="e">
        <v>#N/A</v>
      </c>
      <c r="E60" s="17">
        <v>125</v>
      </c>
      <c r="F60" s="29" t="e">
        <v>#N/A</v>
      </c>
      <c r="G60" s="17">
        <v>125</v>
      </c>
      <c r="H60" s="29" t="e">
        <v>#N/A</v>
      </c>
      <c r="I60" s="17">
        <v>125</v>
      </c>
      <c r="J60" s="29" t="e">
        <v>#N/A</v>
      </c>
      <c r="K60" s="17">
        <v>125</v>
      </c>
      <c r="L60" s="29" t="e">
        <v>#N/A</v>
      </c>
      <c r="N60" s="17">
        <v>125</v>
      </c>
      <c r="O60" s="29" t="e">
        <v>#N/A</v>
      </c>
      <c r="P60" s="17">
        <v>125</v>
      </c>
      <c r="Q60" s="29" t="e">
        <v>#N/A</v>
      </c>
      <c r="R60" s="17">
        <v>125</v>
      </c>
      <c r="S60" s="29" t="e">
        <v>#N/A</v>
      </c>
      <c r="T60" s="17">
        <v>125</v>
      </c>
      <c r="U60" s="29" t="e">
        <v>#N/A</v>
      </c>
      <c r="V60" s="17">
        <v>125</v>
      </c>
      <c r="W60" s="29" t="e">
        <v>#N/A</v>
      </c>
      <c r="X60" s="17">
        <v>125</v>
      </c>
      <c r="Y60" s="29" t="e">
        <v>#N/A</v>
      </c>
    </row>
    <row r="61" spans="1:25" x14ac:dyDescent="0.25">
      <c r="A61" s="17">
        <v>75</v>
      </c>
      <c r="B61" s="29" t="e">
        <v>#N/A</v>
      </c>
      <c r="C61" s="17">
        <v>75</v>
      </c>
      <c r="D61" s="29" t="e">
        <v>#N/A</v>
      </c>
      <c r="E61" s="17">
        <v>75</v>
      </c>
      <c r="F61" s="29" t="e">
        <v>#N/A</v>
      </c>
      <c r="G61" s="17">
        <v>75</v>
      </c>
      <c r="H61" s="29" t="e">
        <v>#N/A</v>
      </c>
      <c r="I61" s="17">
        <v>75</v>
      </c>
      <c r="J61" s="29" t="e">
        <v>#N/A</v>
      </c>
      <c r="K61" s="17">
        <v>75</v>
      </c>
      <c r="L61" s="29" t="e">
        <v>#N/A</v>
      </c>
      <c r="N61" s="17">
        <v>75</v>
      </c>
      <c r="O61" s="29" t="e">
        <v>#N/A</v>
      </c>
      <c r="P61" s="17">
        <v>75</v>
      </c>
      <c r="Q61" s="29" t="e">
        <v>#N/A</v>
      </c>
      <c r="R61" s="17">
        <v>75</v>
      </c>
      <c r="S61" s="29" t="e">
        <v>#N/A</v>
      </c>
      <c r="T61" s="17">
        <v>75</v>
      </c>
      <c r="U61" s="29" t="e">
        <v>#N/A</v>
      </c>
      <c r="V61" s="17">
        <v>75</v>
      </c>
      <c r="W61" s="29" t="e">
        <v>#N/A</v>
      </c>
      <c r="X61" s="17">
        <v>75</v>
      </c>
      <c r="Y61" s="29" t="e">
        <v>#N/A</v>
      </c>
    </row>
    <row r="62" spans="1:25" x14ac:dyDescent="0.25">
      <c r="A62" s="17">
        <v>126</v>
      </c>
      <c r="B62" s="29" t="e">
        <v>#N/A</v>
      </c>
      <c r="C62" s="17">
        <v>126</v>
      </c>
      <c r="D62" s="29" t="e">
        <v>#N/A</v>
      </c>
      <c r="E62" s="17">
        <v>126</v>
      </c>
      <c r="F62" s="29" t="e">
        <v>#N/A</v>
      </c>
      <c r="G62" s="17">
        <v>126</v>
      </c>
      <c r="H62" s="29" t="e">
        <v>#N/A</v>
      </c>
      <c r="I62" s="17">
        <v>126</v>
      </c>
      <c r="J62" s="29" t="e">
        <v>#N/A</v>
      </c>
      <c r="K62" s="17">
        <v>126</v>
      </c>
      <c r="L62" s="29" t="e">
        <v>#N/A</v>
      </c>
      <c r="N62" s="17">
        <v>126</v>
      </c>
      <c r="O62" s="29" t="e">
        <v>#N/A</v>
      </c>
      <c r="P62" s="17">
        <v>126</v>
      </c>
      <c r="Q62" s="29" t="e">
        <v>#N/A</v>
      </c>
      <c r="R62" s="17">
        <v>126</v>
      </c>
      <c r="S62" s="29" t="e">
        <v>#N/A</v>
      </c>
      <c r="T62" s="17">
        <v>126</v>
      </c>
      <c r="U62" s="29" t="e">
        <v>#N/A</v>
      </c>
      <c r="V62" s="17">
        <v>126</v>
      </c>
      <c r="W62" s="29" t="e">
        <v>#N/A</v>
      </c>
      <c r="X62" s="17">
        <v>126</v>
      </c>
      <c r="Y62" s="29" t="e">
        <v>#N/A</v>
      </c>
    </row>
    <row r="63" spans="1:25" x14ac:dyDescent="0.25">
      <c r="A63" s="17">
        <v>29</v>
      </c>
      <c r="B63" s="29" t="e">
        <v>#N/A</v>
      </c>
      <c r="C63" s="17">
        <v>29</v>
      </c>
      <c r="D63" s="29" t="e">
        <v>#N/A</v>
      </c>
      <c r="E63" s="17">
        <v>29</v>
      </c>
      <c r="F63" s="29" t="e">
        <v>#N/A</v>
      </c>
      <c r="G63" s="17">
        <v>29</v>
      </c>
      <c r="H63" s="29" t="e">
        <v>#N/A</v>
      </c>
      <c r="I63" s="17">
        <v>29</v>
      </c>
      <c r="J63" s="29" t="e">
        <v>#N/A</v>
      </c>
      <c r="K63" s="17">
        <v>29</v>
      </c>
      <c r="L63" s="29" t="e">
        <v>#N/A</v>
      </c>
      <c r="N63" s="17">
        <v>29</v>
      </c>
      <c r="O63" s="29" t="e">
        <v>#N/A</v>
      </c>
      <c r="P63" s="17">
        <v>29</v>
      </c>
      <c r="Q63" s="29" t="e">
        <v>#N/A</v>
      </c>
      <c r="R63" s="17">
        <v>29</v>
      </c>
      <c r="S63" s="29" t="e">
        <v>#N/A</v>
      </c>
      <c r="T63" s="17">
        <v>29</v>
      </c>
      <c r="U63" s="29" t="e">
        <v>#N/A</v>
      </c>
      <c r="V63" s="17">
        <v>29</v>
      </c>
      <c r="W63" s="29" t="e">
        <v>#N/A</v>
      </c>
      <c r="X63" s="17">
        <v>29</v>
      </c>
      <c r="Y63" s="29" t="e">
        <v>#N/A</v>
      </c>
    </row>
    <row r="64" spans="1:25" x14ac:dyDescent="0.25">
      <c r="A64" s="17">
        <v>128</v>
      </c>
      <c r="B64" s="29" t="e">
        <v>#N/A</v>
      </c>
      <c r="C64" s="17">
        <v>128</v>
      </c>
      <c r="D64" s="29" t="e">
        <v>#N/A</v>
      </c>
      <c r="E64" s="17">
        <v>128</v>
      </c>
      <c r="F64" s="29" t="e">
        <v>#N/A</v>
      </c>
      <c r="G64" s="17">
        <v>128</v>
      </c>
      <c r="H64" s="29" t="e">
        <v>#N/A</v>
      </c>
      <c r="I64" s="17">
        <v>128</v>
      </c>
      <c r="J64" s="29" t="e">
        <v>#N/A</v>
      </c>
      <c r="K64" s="17">
        <v>128</v>
      </c>
      <c r="L64" s="29" t="e">
        <v>#N/A</v>
      </c>
      <c r="N64" s="17">
        <v>128</v>
      </c>
      <c r="O64" s="29" t="e">
        <v>#N/A</v>
      </c>
      <c r="P64" s="17">
        <v>128</v>
      </c>
      <c r="Q64" s="29" t="e">
        <v>#N/A</v>
      </c>
      <c r="R64" s="17">
        <v>128</v>
      </c>
      <c r="S64" s="29" t="e">
        <v>#N/A</v>
      </c>
      <c r="T64" s="17">
        <v>128</v>
      </c>
      <c r="U64" s="29" t="e">
        <v>#N/A</v>
      </c>
      <c r="V64" s="17">
        <v>128</v>
      </c>
      <c r="W64" s="29" t="e">
        <v>#N/A</v>
      </c>
      <c r="X64" s="17">
        <v>128</v>
      </c>
      <c r="Y64" s="29" t="e">
        <v>#N/A</v>
      </c>
    </row>
    <row r="65" spans="1:25" x14ac:dyDescent="0.25">
      <c r="A65" s="17">
        <v>69</v>
      </c>
      <c r="B65" s="29" t="e">
        <v>#N/A</v>
      </c>
      <c r="C65" s="17">
        <v>69</v>
      </c>
      <c r="D65" s="29" t="e">
        <v>#N/A</v>
      </c>
      <c r="E65" s="17">
        <v>69</v>
      </c>
      <c r="F65" s="29" t="e">
        <v>#N/A</v>
      </c>
      <c r="G65" s="17">
        <v>69</v>
      </c>
      <c r="H65" s="29" t="e">
        <v>#N/A</v>
      </c>
      <c r="I65" s="17">
        <v>69</v>
      </c>
      <c r="J65" s="29" t="e">
        <v>#N/A</v>
      </c>
      <c r="K65" s="17">
        <v>69</v>
      </c>
      <c r="L65" s="29" t="e">
        <v>#N/A</v>
      </c>
      <c r="N65" s="17">
        <v>69</v>
      </c>
      <c r="O65" s="29" t="e">
        <v>#N/A</v>
      </c>
      <c r="P65" s="17">
        <v>69</v>
      </c>
      <c r="Q65" s="29" t="e">
        <v>#N/A</v>
      </c>
      <c r="R65" s="17">
        <v>69</v>
      </c>
      <c r="S65" s="29" t="e">
        <v>#N/A</v>
      </c>
      <c r="T65" s="17">
        <v>69</v>
      </c>
      <c r="U65" s="29" t="e">
        <v>#N/A</v>
      </c>
      <c r="V65" s="17">
        <v>69</v>
      </c>
      <c r="W65" s="29" t="e">
        <v>#N/A</v>
      </c>
      <c r="X65" s="17">
        <v>69</v>
      </c>
      <c r="Y65" s="29" t="e">
        <v>#N/A</v>
      </c>
    </row>
    <row r="66" spans="1:25" x14ac:dyDescent="0.25">
      <c r="A66" s="17">
        <v>129</v>
      </c>
      <c r="B66" s="29" t="e">
        <v>#N/A</v>
      </c>
      <c r="C66" s="17">
        <v>129</v>
      </c>
      <c r="D66" s="29" t="e">
        <v>#N/A</v>
      </c>
      <c r="E66" s="17">
        <v>129</v>
      </c>
      <c r="F66" s="29" t="e">
        <v>#N/A</v>
      </c>
      <c r="G66" s="17">
        <v>129</v>
      </c>
      <c r="H66" s="29" t="e">
        <v>#N/A</v>
      </c>
      <c r="I66" s="17">
        <v>129</v>
      </c>
      <c r="J66" s="29" t="e">
        <v>#N/A</v>
      </c>
      <c r="K66" s="17">
        <v>129</v>
      </c>
      <c r="L66" s="29" t="e">
        <v>#N/A</v>
      </c>
      <c r="N66" s="17">
        <v>129</v>
      </c>
      <c r="O66" s="29" t="e">
        <v>#N/A</v>
      </c>
      <c r="P66" s="17">
        <v>129</v>
      </c>
      <c r="Q66" s="29" t="e">
        <v>#N/A</v>
      </c>
      <c r="R66" s="17">
        <v>129</v>
      </c>
      <c r="S66" s="29" t="e">
        <v>#N/A</v>
      </c>
      <c r="T66" s="17">
        <v>129</v>
      </c>
      <c r="U66" s="29" t="e">
        <v>#N/A</v>
      </c>
      <c r="V66" s="17">
        <v>129</v>
      </c>
      <c r="W66" s="29" t="e">
        <v>#N/A</v>
      </c>
      <c r="X66" s="17">
        <v>129</v>
      </c>
      <c r="Y66" s="29" t="e">
        <v>#N/A</v>
      </c>
    </row>
    <row r="67" spans="1:25" x14ac:dyDescent="0.25">
      <c r="A67" s="17">
        <v>40</v>
      </c>
      <c r="B67" s="29" t="e">
        <v>#N/A</v>
      </c>
      <c r="C67" s="17">
        <v>40</v>
      </c>
      <c r="D67" s="29" t="e">
        <v>#N/A</v>
      </c>
      <c r="E67" s="17">
        <v>40</v>
      </c>
      <c r="F67" s="29" t="e">
        <v>#N/A</v>
      </c>
      <c r="G67" s="17">
        <v>40</v>
      </c>
      <c r="H67" s="29" t="e">
        <v>#N/A</v>
      </c>
      <c r="I67" s="17">
        <v>40</v>
      </c>
      <c r="J67" s="29" t="e">
        <v>#N/A</v>
      </c>
      <c r="K67" s="17">
        <v>40</v>
      </c>
      <c r="L67" s="29" t="e">
        <v>#N/A</v>
      </c>
      <c r="N67" s="17">
        <v>40</v>
      </c>
      <c r="O67" s="29" t="e">
        <v>#N/A</v>
      </c>
      <c r="P67" s="17">
        <v>40</v>
      </c>
      <c r="Q67" s="29" t="e">
        <v>#N/A</v>
      </c>
      <c r="R67" s="17">
        <v>40</v>
      </c>
      <c r="S67" s="29" t="e">
        <v>#N/A</v>
      </c>
      <c r="T67" s="17">
        <v>40</v>
      </c>
      <c r="U67" s="29" t="e">
        <v>#N/A</v>
      </c>
      <c r="V67" s="17">
        <v>40</v>
      </c>
      <c r="W67" s="29" t="e">
        <v>#N/A</v>
      </c>
      <c r="X67" s="17">
        <v>40</v>
      </c>
      <c r="Y67" s="29" t="e">
        <v>#N/A</v>
      </c>
    </row>
    <row r="68" spans="1:25" x14ac:dyDescent="0.25">
      <c r="A68" s="17">
        <v>131</v>
      </c>
      <c r="B68" s="29" t="e">
        <v>#N/A</v>
      </c>
      <c r="C68" s="17">
        <v>131</v>
      </c>
      <c r="D68" s="29" t="e">
        <v>#N/A</v>
      </c>
      <c r="E68" s="17">
        <v>131</v>
      </c>
      <c r="F68" s="29" t="e">
        <v>#N/A</v>
      </c>
      <c r="G68" s="17">
        <v>131</v>
      </c>
      <c r="H68" s="29" t="e">
        <v>#N/A</v>
      </c>
      <c r="I68" s="17">
        <v>131</v>
      </c>
      <c r="J68" s="29" t="e">
        <v>#N/A</v>
      </c>
      <c r="K68" s="17">
        <v>131</v>
      </c>
      <c r="L68" s="29" t="e">
        <v>#N/A</v>
      </c>
      <c r="N68" s="17">
        <v>131</v>
      </c>
      <c r="O68" s="29" t="e">
        <v>#N/A</v>
      </c>
      <c r="P68" s="17">
        <v>131</v>
      </c>
      <c r="Q68" s="29" t="e">
        <v>#N/A</v>
      </c>
      <c r="R68" s="17">
        <v>131</v>
      </c>
      <c r="S68" s="29" t="e">
        <v>#N/A</v>
      </c>
      <c r="T68" s="17">
        <v>131</v>
      </c>
      <c r="U68" s="29" t="e">
        <v>#N/A</v>
      </c>
      <c r="V68" s="17">
        <v>131</v>
      </c>
      <c r="W68" s="29" t="e">
        <v>#N/A</v>
      </c>
      <c r="X68" s="17">
        <v>131</v>
      </c>
      <c r="Y68" s="29" t="e">
        <v>#N/A</v>
      </c>
    </row>
    <row r="69" spans="1:25" x14ac:dyDescent="0.25">
      <c r="A69" s="17">
        <v>19</v>
      </c>
      <c r="B69" s="29" t="e">
        <v>#N/A</v>
      </c>
      <c r="C69" s="17">
        <v>19</v>
      </c>
      <c r="D69" s="29" t="e">
        <v>#N/A</v>
      </c>
      <c r="E69" s="17">
        <v>19</v>
      </c>
      <c r="F69" s="29" t="e">
        <v>#N/A</v>
      </c>
      <c r="G69" s="17">
        <v>19</v>
      </c>
      <c r="H69" s="29" t="e">
        <v>#N/A</v>
      </c>
      <c r="I69" s="17">
        <v>19</v>
      </c>
      <c r="J69" s="29" t="e">
        <v>#N/A</v>
      </c>
      <c r="K69" s="17">
        <v>19</v>
      </c>
      <c r="L69" s="29" t="e">
        <v>#N/A</v>
      </c>
      <c r="N69" s="17">
        <v>19</v>
      </c>
      <c r="O69" s="29" t="e">
        <v>#N/A</v>
      </c>
      <c r="P69" s="17">
        <v>19</v>
      </c>
      <c r="Q69" s="29" t="e">
        <v>#N/A</v>
      </c>
      <c r="R69" s="17">
        <v>19</v>
      </c>
      <c r="S69" s="29" t="e">
        <v>#N/A</v>
      </c>
      <c r="T69" s="17">
        <v>19</v>
      </c>
      <c r="U69" s="29" t="e">
        <v>#N/A</v>
      </c>
      <c r="V69" s="17">
        <v>19</v>
      </c>
      <c r="W69" s="29" t="e">
        <v>#N/A</v>
      </c>
      <c r="X69" s="17">
        <v>19</v>
      </c>
      <c r="Y69" s="29" t="e">
        <v>#N/A</v>
      </c>
    </row>
    <row r="70" spans="1:25" x14ac:dyDescent="0.25">
      <c r="A70" s="17">
        <v>132</v>
      </c>
      <c r="B70" s="29" t="e">
        <v>#N/A</v>
      </c>
      <c r="C70" s="17">
        <v>132</v>
      </c>
      <c r="D70" s="29" t="e">
        <v>#N/A</v>
      </c>
      <c r="E70" s="17">
        <v>132</v>
      </c>
      <c r="F70" s="29" t="e">
        <v>#N/A</v>
      </c>
      <c r="G70" s="17">
        <v>132</v>
      </c>
      <c r="H70" s="29" t="e">
        <v>#N/A</v>
      </c>
      <c r="I70" s="17">
        <v>132</v>
      </c>
      <c r="J70" s="29" t="e">
        <v>#N/A</v>
      </c>
      <c r="K70" s="17">
        <v>132</v>
      </c>
      <c r="L70" s="29" t="e">
        <v>#N/A</v>
      </c>
      <c r="N70" s="17">
        <v>132</v>
      </c>
      <c r="O70" s="29" t="e">
        <v>#N/A</v>
      </c>
      <c r="P70" s="17">
        <v>132</v>
      </c>
      <c r="Q70" s="29" t="e">
        <v>#N/A</v>
      </c>
      <c r="R70" s="17">
        <v>132</v>
      </c>
      <c r="S70" s="29" t="e">
        <v>#N/A</v>
      </c>
      <c r="T70" s="17">
        <v>132</v>
      </c>
      <c r="U70" s="29" t="e">
        <v>#N/A</v>
      </c>
      <c r="V70" s="17">
        <v>132</v>
      </c>
      <c r="W70" s="29" t="e">
        <v>#N/A</v>
      </c>
      <c r="X70" s="17">
        <v>132</v>
      </c>
      <c r="Y70" s="29" t="e">
        <v>#N/A</v>
      </c>
    </row>
    <row r="71" spans="1:25" x14ac:dyDescent="0.25">
      <c r="A71" s="17" t="s">
        <v>84</v>
      </c>
      <c r="B71" s="29" t="e">
        <v>#N/A</v>
      </c>
      <c r="C71" s="17" t="s">
        <v>84</v>
      </c>
      <c r="D71" s="29" t="e">
        <v>#N/A</v>
      </c>
      <c r="E71" s="17" t="s">
        <v>84</v>
      </c>
      <c r="F71" s="29" t="e">
        <v>#N/A</v>
      </c>
      <c r="G71" s="17" t="s">
        <v>84</v>
      </c>
      <c r="H71" s="29" t="e">
        <v>#N/A</v>
      </c>
      <c r="I71" s="17" t="s">
        <v>84</v>
      </c>
      <c r="J71" s="29" t="e">
        <v>#N/A</v>
      </c>
      <c r="K71" s="17" t="s">
        <v>84</v>
      </c>
      <c r="L71" s="29" t="e">
        <v>#N/A</v>
      </c>
      <c r="N71" s="17" t="s">
        <v>84</v>
      </c>
      <c r="O71" s="29" t="e">
        <v>#N/A</v>
      </c>
      <c r="P71" s="17" t="s">
        <v>84</v>
      </c>
      <c r="Q71" s="29" t="e">
        <v>#N/A</v>
      </c>
      <c r="R71" s="17" t="s">
        <v>84</v>
      </c>
      <c r="S71" s="29" t="e">
        <v>#N/A</v>
      </c>
      <c r="T71" s="17" t="s">
        <v>84</v>
      </c>
      <c r="U71" s="29" t="e">
        <v>#N/A</v>
      </c>
      <c r="V71" s="17" t="s">
        <v>84</v>
      </c>
      <c r="W71" s="29" t="e">
        <v>#N/A</v>
      </c>
      <c r="X71" s="17" t="s">
        <v>84</v>
      </c>
      <c r="Y71" s="29" t="e">
        <v>#N/A</v>
      </c>
    </row>
  </sheetData>
  <conditionalFormatting sqref="A4:L70 N4:Y70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727E-57D1-4D36-8096-9DD55CE387D0}">
  <dimension ref="A1:AB69"/>
  <sheetViews>
    <sheetView topLeftCell="F2" zoomScale="85" zoomScaleNormal="85" workbookViewId="0">
      <selection activeCell="P18" sqref="P18"/>
    </sheetView>
  </sheetViews>
  <sheetFormatPr defaultRowHeight="15" x14ac:dyDescent="0.25"/>
  <cols>
    <col min="1" max="1" width="4.42578125" customWidth="1"/>
    <col min="2" max="7" width="10.85546875" bestFit="1" customWidth="1"/>
    <col min="8" max="13" width="11" bestFit="1" customWidth="1"/>
    <col min="15" max="15" width="8.42578125" customWidth="1"/>
  </cols>
  <sheetData>
    <row r="1" spans="1:28" x14ac:dyDescent="0.25">
      <c r="B1" s="30" t="s">
        <v>97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P1" s="30" t="s">
        <v>99</v>
      </c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1:28" x14ac:dyDescent="0.25">
      <c r="B2" s="13" t="s">
        <v>72</v>
      </c>
      <c r="C2" s="13" t="s">
        <v>73</v>
      </c>
      <c r="D2" s="13" t="s">
        <v>74</v>
      </c>
      <c r="E2" s="13" t="s">
        <v>75</v>
      </c>
      <c r="F2" s="13" t="s">
        <v>76</v>
      </c>
      <c r="G2" s="13" t="s">
        <v>77</v>
      </c>
      <c r="H2" s="13" t="s">
        <v>78</v>
      </c>
      <c r="I2" s="13" t="s">
        <v>79</v>
      </c>
      <c r="J2" s="13" t="s">
        <v>80</v>
      </c>
      <c r="K2" s="13" t="s">
        <v>81</v>
      </c>
      <c r="L2" s="13" t="s">
        <v>82</v>
      </c>
      <c r="M2" s="13" t="s">
        <v>83</v>
      </c>
      <c r="N2" s="13" t="s">
        <v>98</v>
      </c>
      <c r="P2" s="13" t="s">
        <v>72</v>
      </c>
      <c r="Q2" s="13" t="s">
        <v>73</v>
      </c>
      <c r="R2" s="13" t="s">
        <v>74</v>
      </c>
      <c r="S2" s="13" t="s">
        <v>75</v>
      </c>
      <c r="T2" s="13" t="s">
        <v>76</v>
      </c>
      <c r="U2" s="13" t="s">
        <v>77</v>
      </c>
      <c r="V2" s="13" t="s">
        <v>78</v>
      </c>
      <c r="W2" s="13" t="s">
        <v>79</v>
      </c>
      <c r="X2" s="13" t="s">
        <v>80</v>
      </c>
      <c r="Y2" s="13" t="s">
        <v>81</v>
      </c>
      <c r="Z2" s="13" t="s">
        <v>82</v>
      </c>
      <c r="AA2" s="13" t="s">
        <v>83</v>
      </c>
      <c r="AB2" s="13" t="s">
        <v>98</v>
      </c>
    </row>
    <row r="3" spans="1:28" x14ac:dyDescent="0.25">
      <c r="A3">
        <v>1</v>
      </c>
      <c r="B3" t="e">
        <f>IF(OR(Sorting!B4=0,Sorting!B4="Grand Total"),"",Sorting!B4)</f>
        <v>#N/A</v>
      </c>
      <c r="C3" t="e">
        <f>IF(OR(Sorting!D4=0,Sorting!D4="Grand Total"),"",Sorting!D4)</f>
        <v>#N/A</v>
      </c>
      <c r="D3" t="e">
        <f>IF(OR(Sorting!F4=0,Sorting!F4="Grand Total"),"",Sorting!F4)</f>
        <v>#N/A</v>
      </c>
      <c r="E3" t="e">
        <f>IF(OR(Sorting!H4=0,Sorting!H4="Grand Total"),"",Sorting!H4)</f>
        <v>#N/A</v>
      </c>
      <c r="F3" t="e">
        <f>IF(OR(Sorting!J4=0,Sorting!J4="Grand Total"),"",Sorting!J4)</f>
        <v>#N/A</v>
      </c>
      <c r="G3" t="e">
        <f>IF(OR(Sorting!L4=0,Sorting!L4="Grand Total"),"",Sorting!L4)</f>
        <v>#N/A</v>
      </c>
      <c r="H3" t="e">
        <f>IF(OR(Sorting!O4=0,Sorting!O4="Grand Total"),"",Sorting!O4)</f>
        <v>#N/A</v>
      </c>
      <c r="I3" t="e">
        <f>IF(OR(Sorting!Q4=0,Sorting!Q4="Grand Total"),"",Sorting!Q4)</f>
        <v>#N/A</v>
      </c>
      <c r="J3" t="e">
        <f>IF(OR(Sorting!S4=0,Sorting!S4="Grand Total"),"",Sorting!S4)</f>
        <v>#N/A</v>
      </c>
      <c r="K3" t="e">
        <f>IF(OR(Sorting!U4=0,Sorting!U4="Grand Total"),"",Sorting!U4)</f>
        <v>#N/A</v>
      </c>
      <c r="L3" t="e">
        <f>IF(OR(Sorting!W4=0,Sorting!W4="Grand Total"),"",Sorting!W4)</f>
        <v>#N/A</v>
      </c>
      <c r="M3" t="e">
        <f>IF(OR(Sorting!Y4=0,Sorting!Y4="Grand Total"),"",Sorting!Y4)</f>
        <v>#N/A</v>
      </c>
      <c r="N3" t="e">
        <f>MIN(B3,C3,D3,E3,F3,G3,H3,I3,J3,K3,L3,M3)</f>
        <v>#N/A</v>
      </c>
      <c r="O3">
        <v>1</v>
      </c>
      <c r="P3" t="e">
        <f>LOG10(SUM(B$3:B3))</f>
        <v>#N/A</v>
      </c>
      <c r="Q3" t="e">
        <f>LOG10(SUM(C$3:C3))</f>
        <v>#N/A</v>
      </c>
      <c r="R3" t="e">
        <f>LOG10(SUM(D$3:D3))</f>
        <v>#N/A</v>
      </c>
      <c r="S3" t="e">
        <f>LOG10(SUM(E$3:E3))</f>
        <v>#N/A</v>
      </c>
      <c r="T3" t="e">
        <f>LOG10(SUM(F$3:F3))</f>
        <v>#N/A</v>
      </c>
      <c r="U3" t="e">
        <f>LOG10(SUM(G$3:G3))</f>
        <v>#N/A</v>
      </c>
      <c r="V3" t="e">
        <f>LOG10(SUM(H$3:H3))</f>
        <v>#N/A</v>
      </c>
      <c r="W3" t="e">
        <f>LOG10(SUM(I$3:I3))</f>
        <v>#N/A</v>
      </c>
      <c r="X3" t="e">
        <f>LOG10(SUM(J$3:J3))</f>
        <v>#N/A</v>
      </c>
      <c r="Y3" t="e">
        <f>LOG10(SUM(K$3:K3))</f>
        <v>#N/A</v>
      </c>
      <c r="Z3" t="e">
        <f>LOG10(SUM(L$3:L3))</f>
        <v>#N/A</v>
      </c>
      <c r="AA3" t="e">
        <f>LOG10(SUM(M$3:M3))</f>
        <v>#N/A</v>
      </c>
      <c r="AB3" t="e">
        <f>LOG10(SUM(N$3:N3))</f>
        <v>#N/A</v>
      </c>
    </row>
    <row r="4" spans="1:28" x14ac:dyDescent="0.25">
      <c r="A4">
        <v>2</v>
      </c>
      <c r="B4" t="e">
        <f>IF(OR(Sorting!B5=0,Sorting!B5="Grand Total"),"",Sorting!B5)</f>
        <v>#N/A</v>
      </c>
      <c r="C4" t="e">
        <f>IF(OR(Sorting!D5=0,Sorting!D5="Grand Total"),"",Sorting!D5)</f>
        <v>#N/A</v>
      </c>
      <c r="D4" t="e">
        <f>IF(OR(Sorting!F5=0,Sorting!F5="Grand Total"),"",Sorting!F5)</f>
        <v>#N/A</v>
      </c>
      <c r="E4" t="e">
        <f>IF(OR(Sorting!H5=0,Sorting!H5="Grand Total"),"",Sorting!H5)</f>
        <v>#N/A</v>
      </c>
      <c r="F4" t="e">
        <f>IF(OR(Sorting!J5=0,Sorting!J5="Grand Total"),"",Sorting!J5)</f>
        <v>#N/A</v>
      </c>
      <c r="G4" t="e">
        <f>IF(OR(Sorting!L5=0,Sorting!L5="Grand Total"),"",Sorting!L5)</f>
        <v>#N/A</v>
      </c>
      <c r="H4" t="e">
        <f>IF(OR(Sorting!O5=0,Sorting!O5="Grand Total"),"",Sorting!O5)</f>
        <v>#N/A</v>
      </c>
      <c r="I4" t="e">
        <f>IF(OR(Sorting!Q5=0,Sorting!Q5="Grand Total"),"",Sorting!Q5)</f>
        <v>#N/A</v>
      </c>
      <c r="J4" t="e">
        <f>IF(OR(Sorting!S5=0,Sorting!S5="Grand Total"),"",Sorting!S5)</f>
        <v>#N/A</v>
      </c>
      <c r="K4" t="e">
        <f>IF(OR(Sorting!U5=0,Sorting!U5="Grand Total"),"",Sorting!U5)</f>
        <v>#N/A</v>
      </c>
      <c r="L4" t="e">
        <f>IF(OR(Sorting!W5=0,Sorting!W5="Grand Total"),"",Sorting!W5)</f>
        <v>#N/A</v>
      </c>
      <c r="M4" t="e">
        <f>IF(OR(Sorting!Y5=0,Sorting!Y5="Grand Total"),"",Sorting!Y5)</f>
        <v>#N/A</v>
      </c>
      <c r="N4" t="e">
        <f>MIN(B4,C4,D4,E4,F4,G4,H4,I4,J4,K4,L4,M4)</f>
        <v>#N/A</v>
      </c>
      <c r="O4">
        <v>2</v>
      </c>
      <c r="P4" t="e">
        <f>IF(OR(LOG10(SUM(B$3:B4))=P3,P3=""),"",LOG10(SUM(B$3:B4)))</f>
        <v>#N/A</v>
      </c>
      <c r="Q4" t="e">
        <f>IF(OR(LOG10(SUM(C$3:C4))=Q3,Q3=""),"",LOG10(SUM(C$3:C4)))</f>
        <v>#N/A</v>
      </c>
      <c r="R4" t="e">
        <f>IF(OR(LOG10(SUM(D$3:D4))=R3,R3=""),"",LOG10(SUM(D$3:D4)))</f>
        <v>#N/A</v>
      </c>
      <c r="S4" t="e">
        <f>IF(OR(LOG10(SUM(E$3:E4))=S3,S3=""),"",LOG10(SUM(E$3:E4)))</f>
        <v>#N/A</v>
      </c>
      <c r="T4" t="e">
        <f>IF(OR(LOG10(SUM(F$3:F4))=T3,T3=""),"",LOG10(SUM(F$3:F4)))</f>
        <v>#N/A</v>
      </c>
      <c r="U4" t="e">
        <f>IF(OR(LOG10(SUM(G$3:G4))=U3,U3=""),"",LOG10(SUM(G$3:G4)))</f>
        <v>#N/A</v>
      </c>
      <c r="V4" t="e">
        <f>IF(OR(LOG10(SUM(H$3:H4))=V3,V3=""),"",LOG10(SUM(H$3:H4)))</f>
        <v>#N/A</v>
      </c>
      <c r="W4" t="e">
        <f>IF(OR(LOG10(SUM(I$3:I4))=W3,W3=""),"",LOG10(SUM(I$3:I4)))</f>
        <v>#N/A</v>
      </c>
      <c r="X4" t="e">
        <f>IF(OR(LOG10(SUM(J$3:J4))=X3,X3=""),"",LOG10(SUM(J$3:J4)))</f>
        <v>#N/A</v>
      </c>
      <c r="Y4" t="e">
        <f>IF(OR(LOG10(SUM(K$3:K4))=Y3,Y3=""),"",LOG10(SUM(K$3:K4)))</f>
        <v>#N/A</v>
      </c>
      <c r="Z4" t="e">
        <f>IF(OR(LOG10(SUM(L$3:L4))=Z3,Z3=""),"",LOG10(SUM(L$3:L4)))</f>
        <v>#N/A</v>
      </c>
      <c r="AA4" t="e">
        <f>IF(OR(LOG10(SUM(M$3:M4))=AA3,AA3=""),"",LOG10(SUM(M$3:M4)))</f>
        <v>#N/A</v>
      </c>
      <c r="AB4" t="e">
        <f>IF(OR(LOG10(SUM(N$3:N4))=AB3,AB3=""),"",LOG10(SUM(N$3:N4)))</f>
        <v>#N/A</v>
      </c>
    </row>
    <row r="5" spans="1:28" x14ac:dyDescent="0.25">
      <c r="A5">
        <v>3</v>
      </c>
      <c r="B5" t="e">
        <f>IF(OR(Sorting!B6=0,Sorting!B6="Grand Total"),"",Sorting!B6)</f>
        <v>#N/A</v>
      </c>
      <c r="C5" t="e">
        <f>IF(OR(Sorting!D6=0,Sorting!D6="Grand Total"),"",Sorting!D6)</f>
        <v>#N/A</v>
      </c>
      <c r="D5" t="e">
        <f>IF(OR(Sorting!F6=0,Sorting!F6="Grand Total"),"",Sorting!F6)</f>
        <v>#N/A</v>
      </c>
      <c r="E5" t="e">
        <f>IF(OR(Sorting!H6=0,Sorting!H6="Grand Total"),"",Sorting!H6)</f>
        <v>#N/A</v>
      </c>
      <c r="F5" t="e">
        <f>IF(OR(Sorting!J6=0,Sorting!J6="Grand Total"),"",Sorting!J6)</f>
        <v>#N/A</v>
      </c>
      <c r="G5" t="e">
        <f>IF(OR(Sorting!L6=0,Sorting!L6="Grand Total"),"",Sorting!L6)</f>
        <v>#N/A</v>
      </c>
      <c r="H5" t="e">
        <f>IF(OR(Sorting!O6=0,Sorting!O6="Grand Total"),"",Sorting!O6)</f>
        <v>#N/A</v>
      </c>
      <c r="I5" t="e">
        <f>IF(OR(Sorting!Q6=0,Sorting!Q6="Grand Total"),"",Sorting!Q6)</f>
        <v>#N/A</v>
      </c>
      <c r="J5" t="e">
        <f>IF(OR(Sorting!S6=0,Sorting!S6="Grand Total"),"",Sorting!S6)</f>
        <v>#N/A</v>
      </c>
      <c r="K5" t="e">
        <f>IF(OR(Sorting!U6=0,Sorting!U6="Grand Total"),"",Sorting!U6)</f>
        <v>#N/A</v>
      </c>
      <c r="L5" t="e">
        <f>IF(OR(Sorting!W6=0,Sorting!W6="Grand Total"),"",Sorting!W6)</f>
        <v>#N/A</v>
      </c>
      <c r="M5" t="e">
        <f>IF(OR(Sorting!Y6=0,Sorting!Y6="Grand Total"),"",Sorting!Y6)</f>
        <v>#N/A</v>
      </c>
      <c r="N5" t="e">
        <f>MIN(B5,C5,D5,E5,F5,G5,H5,I5,J5,K5,L5,M5)</f>
        <v>#N/A</v>
      </c>
      <c r="O5">
        <v>3</v>
      </c>
      <c r="P5" t="e">
        <f>IF(OR(LOG10(SUM(B$3:B5))=P4,P4=""),"",LOG10(SUM(B$3:B5)))</f>
        <v>#N/A</v>
      </c>
      <c r="Q5" t="e">
        <f>IF(OR(LOG10(SUM(C$3:C5))=Q4,Q4=""),"",LOG10(SUM(C$3:C5)))</f>
        <v>#N/A</v>
      </c>
      <c r="R5" t="e">
        <f>IF(OR(LOG10(SUM(D$3:D5))=R4,R4=""),"",LOG10(SUM(D$3:D5)))</f>
        <v>#N/A</v>
      </c>
      <c r="S5" t="e">
        <f>IF(OR(LOG10(SUM(E$3:E5))=S4,S4=""),"",LOG10(SUM(E$3:E5)))</f>
        <v>#N/A</v>
      </c>
      <c r="T5" t="e">
        <f>IF(OR(LOG10(SUM(F$3:F5))=T4,T4=""),"",LOG10(SUM(F$3:F5)))</f>
        <v>#N/A</v>
      </c>
      <c r="U5" t="e">
        <f>IF(OR(LOG10(SUM(G$3:G5))=U4,U4=""),"",LOG10(SUM(G$3:G5)))</f>
        <v>#N/A</v>
      </c>
      <c r="V5" t="e">
        <f>IF(OR(LOG10(SUM(H$3:H5))=V4,V4=""),"",LOG10(SUM(H$3:H5)))</f>
        <v>#N/A</v>
      </c>
      <c r="W5" t="e">
        <f>IF(OR(LOG10(SUM(I$3:I5))=W4,W4=""),"",LOG10(SUM(I$3:I5)))</f>
        <v>#N/A</v>
      </c>
      <c r="X5" t="e">
        <f>IF(OR(LOG10(SUM(J$3:J5))=X4,X4=""),"",LOG10(SUM(J$3:J5)))</f>
        <v>#N/A</v>
      </c>
      <c r="Y5" t="e">
        <f>IF(OR(LOG10(SUM(K$3:K5))=Y4,Y4=""),"",LOG10(SUM(K$3:K5)))</f>
        <v>#N/A</v>
      </c>
      <c r="Z5" t="e">
        <f>IF(OR(LOG10(SUM(L$3:L5))=Z4,Z4=""),"",LOG10(SUM(L$3:L5)))</f>
        <v>#N/A</v>
      </c>
      <c r="AA5" t="e">
        <f>IF(OR(LOG10(SUM(M$3:M5))=AA4,AA4=""),"",LOG10(SUM(M$3:M5)))</f>
        <v>#N/A</v>
      </c>
      <c r="AB5" t="e">
        <f>IF(OR(LOG10(SUM(N$3:N5))=AB4,AB4=""),"",LOG10(SUM(N$3:N5)))</f>
        <v>#N/A</v>
      </c>
    </row>
    <row r="6" spans="1:28" x14ac:dyDescent="0.25">
      <c r="A6">
        <v>4</v>
      </c>
      <c r="B6" t="e">
        <f>IF(OR(Sorting!B7=0,Sorting!B7="Grand Total"),"",Sorting!B7)</f>
        <v>#N/A</v>
      </c>
      <c r="C6" t="e">
        <f>IF(OR(Sorting!D7=0,Sorting!D7="Grand Total"),"",Sorting!D7)</f>
        <v>#N/A</v>
      </c>
      <c r="D6" t="e">
        <f>IF(OR(Sorting!F7=0,Sorting!F7="Grand Total"),"",Sorting!F7)</f>
        <v>#N/A</v>
      </c>
      <c r="E6" t="e">
        <f>IF(OR(Sorting!H7=0,Sorting!H7="Grand Total"),"",Sorting!H7)</f>
        <v>#N/A</v>
      </c>
      <c r="F6" t="e">
        <f>IF(OR(Sorting!J7=0,Sorting!J7="Grand Total"),"",Sorting!J7)</f>
        <v>#N/A</v>
      </c>
      <c r="G6" t="e">
        <f>IF(OR(Sorting!L7=0,Sorting!L7="Grand Total"),"",Sorting!L7)</f>
        <v>#N/A</v>
      </c>
      <c r="H6" t="e">
        <f>IF(OR(Sorting!O7=0,Sorting!O7="Grand Total"),"",Sorting!O7)</f>
        <v>#N/A</v>
      </c>
      <c r="I6" t="e">
        <f>IF(OR(Sorting!Q7=0,Sorting!Q7="Grand Total"),"",Sorting!Q7)</f>
        <v>#N/A</v>
      </c>
      <c r="J6" t="e">
        <f>IF(OR(Sorting!S7=0,Sorting!S7="Grand Total"),"",Sorting!S7)</f>
        <v>#N/A</v>
      </c>
      <c r="K6" t="e">
        <f>IF(OR(Sorting!U7=0,Sorting!U7="Grand Total"),"",Sorting!U7)</f>
        <v>#N/A</v>
      </c>
      <c r="L6" t="e">
        <f>IF(OR(Sorting!W7=0,Sorting!W7="Grand Total"),"",Sorting!W7)</f>
        <v>#N/A</v>
      </c>
      <c r="M6" t="e">
        <f>IF(OR(Sorting!Y7=0,Sorting!Y7="Grand Total"),"",Sorting!Y7)</f>
        <v>#N/A</v>
      </c>
      <c r="N6" t="e">
        <f>MIN(B6,C6,D6,E6,F6,G6,H6,I6,J6,K6,L6,M6)</f>
        <v>#N/A</v>
      </c>
      <c r="O6">
        <v>4</v>
      </c>
      <c r="P6" t="e">
        <f>IF(OR(LOG10(SUM(B$3:B6))=P5,P5=""),"",LOG10(SUM(B$3:B6)))</f>
        <v>#N/A</v>
      </c>
      <c r="Q6" t="e">
        <f>IF(OR(LOG10(SUM(C$3:C6))=Q5,Q5=""),"",LOG10(SUM(C$3:C6)))</f>
        <v>#N/A</v>
      </c>
      <c r="R6" t="e">
        <f>IF(OR(LOG10(SUM(D$3:D6))=R5,R5=""),"",LOG10(SUM(D$3:D6)))</f>
        <v>#N/A</v>
      </c>
      <c r="S6" t="e">
        <f>IF(OR(LOG10(SUM(E$3:E6))=S5,S5=""),"",LOG10(SUM(E$3:E6)))</f>
        <v>#N/A</v>
      </c>
      <c r="T6" t="e">
        <f>IF(OR(LOG10(SUM(F$3:F6))=T5,T5=""),"",LOG10(SUM(F$3:F6)))</f>
        <v>#N/A</v>
      </c>
      <c r="U6" t="e">
        <f>IF(OR(LOG10(SUM(G$3:G6))=U5,U5=""),"",LOG10(SUM(G$3:G6)))</f>
        <v>#N/A</v>
      </c>
      <c r="V6" t="e">
        <f>IF(OR(LOG10(SUM(H$3:H6))=V5,V5=""),"",LOG10(SUM(H$3:H6)))</f>
        <v>#N/A</v>
      </c>
      <c r="W6" t="e">
        <f>IF(OR(LOG10(SUM(I$3:I6))=W5,W5=""),"",LOG10(SUM(I$3:I6)))</f>
        <v>#N/A</v>
      </c>
      <c r="X6" t="e">
        <f>IF(OR(LOG10(SUM(J$3:J6))=X5,X5=""),"",LOG10(SUM(J$3:J6)))</f>
        <v>#N/A</v>
      </c>
      <c r="Y6" t="e">
        <f>IF(OR(LOG10(SUM(K$3:K6))=Y5,Y5=""),"",LOG10(SUM(K$3:K6)))</f>
        <v>#N/A</v>
      </c>
      <c r="Z6" t="e">
        <f>IF(OR(LOG10(SUM(L$3:L6))=Z5,Z5=""),"",LOG10(SUM(L$3:L6)))</f>
        <v>#N/A</v>
      </c>
      <c r="AA6" t="e">
        <f>IF(OR(LOG10(SUM(M$3:M6))=AA5,AA5=""),"",LOG10(SUM(M$3:M6)))</f>
        <v>#N/A</v>
      </c>
      <c r="AB6" t="e">
        <f>IF(OR(LOG10(SUM(N$3:N6))=AB5,AB5=""),"",LOG10(SUM(N$3:N6)))</f>
        <v>#N/A</v>
      </c>
    </row>
    <row r="7" spans="1:28" x14ac:dyDescent="0.25">
      <c r="A7">
        <v>5</v>
      </c>
      <c r="B7" t="e">
        <f>IF(OR(Sorting!B8=0,Sorting!B8="Grand Total"),"",Sorting!B8)</f>
        <v>#N/A</v>
      </c>
      <c r="C7" t="e">
        <f>IF(OR(Sorting!D8=0,Sorting!D8="Grand Total"),"",Sorting!D8)</f>
        <v>#N/A</v>
      </c>
      <c r="D7" t="e">
        <f>IF(OR(Sorting!F8=0,Sorting!F8="Grand Total"),"",Sorting!F8)</f>
        <v>#N/A</v>
      </c>
      <c r="E7" t="e">
        <f>IF(OR(Sorting!H8=0,Sorting!H8="Grand Total"),"",Sorting!H8)</f>
        <v>#N/A</v>
      </c>
      <c r="F7" t="e">
        <f>IF(OR(Sorting!J8=0,Sorting!J8="Grand Total"),"",Sorting!J8)</f>
        <v>#N/A</v>
      </c>
      <c r="G7" t="e">
        <f>IF(OR(Sorting!L8=0,Sorting!L8="Grand Total"),"",Sorting!L8)</f>
        <v>#N/A</v>
      </c>
      <c r="H7" t="e">
        <f>IF(OR(Sorting!O8=0,Sorting!O8="Grand Total"),"",Sorting!O8)</f>
        <v>#N/A</v>
      </c>
      <c r="I7" t="e">
        <f>IF(OR(Sorting!Q8=0,Sorting!Q8="Grand Total"),"",Sorting!Q8)</f>
        <v>#N/A</v>
      </c>
      <c r="J7" t="e">
        <f>IF(OR(Sorting!S8=0,Sorting!S8="Grand Total"),"",Sorting!S8)</f>
        <v>#N/A</v>
      </c>
      <c r="K7" t="e">
        <f>IF(OR(Sorting!U8=0,Sorting!U8="Grand Total"),"",Sorting!U8)</f>
        <v>#N/A</v>
      </c>
      <c r="L7" t="e">
        <f>IF(OR(Sorting!W8=0,Sorting!W8="Grand Total"),"",Sorting!W8)</f>
        <v>#N/A</v>
      </c>
      <c r="M7" t="e">
        <f>IF(OR(Sorting!Y8=0,Sorting!Y8="Grand Total"),"",Sorting!Y8)</f>
        <v>#N/A</v>
      </c>
      <c r="N7" t="e">
        <f>MIN(B7,C7,D7,E7,F7,G7,H7,I7,J7,K7,L7,M7)</f>
        <v>#N/A</v>
      </c>
      <c r="O7">
        <v>5</v>
      </c>
      <c r="P7" t="e">
        <f>IF(OR(LOG10(SUM(B$3:B7))=P6,P6=""),"",LOG10(SUM(B$3:B7)))</f>
        <v>#N/A</v>
      </c>
      <c r="Q7" t="e">
        <f>IF(OR(LOG10(SUM(C$3:C7))=Q6,Q6=""),"",LOG10(SUM(C$3:C7)))</f>
        <v>#N/A</v>
      </c>
      <c r="R7" t="e">
        <f>IF(OR(LOG10(SUM(D$3:D7))=R6,R6=""),"",LOG10(SUM(D$3:D7)))</f>
        <v>#N/A</v>
      </c>
      <c r="S7" t="e">
        <f>IF(OR(LOG10(SUM(E$3:E7))=S6,S6=""),"",LOG10(SUM(E$3:E7)))</f>
        <v>#N/A</v>
      </c>
      <c r="T7" t="e">
        <f>IF(OR(LOG10(SUM(F$3:F7))=T6,T6=""),"",LOG10(SUM(F$3:F7)))</f>
        <v>#N/A</v>
      </c>
      <c r="U7" t="e">
        <f>IF(OR(LOG10(SUM(G$3:G7))=U6,U6=""),"",LOG10(SUM(G$3:G7)))</f>
        <v>#N/A</v>
      </c>
      <c r="V7" t="e">
        <f>IF(OR(LOG10(SUM(H$3:H7))=V6,V6=""),"",LOG10(SUM(H$3:H7)))</f>
        <v>#N/A</v>
      </c>
      <c r="W7" t="e">
        <f>IF(OR(LOG10(SUM(I$3:I7))=W6,W6=""),"",LOG10(SUM(I$3:I7)))</f>
        <v>#N/A</v>
      </c>
      <c r="X7" t="e">
        <f>IF(OR(LOG10(SUM(J$3:J7))=X6,X6=""),"",LOG10(SUM(J$3:J7)))</f>
        <v>#N/A</v>
      </c>
      <c r="Y7" t="e">
        <f>IF(OR(LOG10(SUM(K$3:K7))=Y6,Y6=""),"",LOG10(SUM(K$3:K7)))</f>
        <v>#N/A</v>
      </c>
      <c r="Z7" t="e">
        <f>IF(OR(LOG10(SUM(L$3:L7))=Z6,Z6=""),"",LOG10(SUM(L$3:L7)))</f>
        <v>#N/A</v>
      </c>
      <c r="AA7" t="e">
        <f>IF(OR(LOG10(SUM(M$3:M7))=AA6,AA6=""),"",LOG10(SUM(M$3:M7)))</f>
        <v>#N/A</v>
      </c>
      <c r="AB7" t="e">
        <f>IF(OR(LOG10(SUM(N$3:N7))=AB6,AB6=""),"",LOG10(SUM(N$3:N7)))</f>
        <v>#N/A</v>
      </c>
    </row>
    <row r="8" spans="1:28" x14ac:dyDescent="0.25">
      <c r="A8">
        <v>6</v>
      </c>
      <c r="B8" t="e">
        <f>IF(OR(Sorting!B9=0,Sorting!B9="Grand Total"),"",Sorting!B9)</f>
        <v>#N/A</v>
      </c>
      <c r="C8" t="e">
        <f>IF(OR(Sorting!D9=0,Sorting!D9="Grand Total"),"",Sorting!D9)</f>
        <v>#N/A</v>
      </c>
      <c r="D8" t="e">
        <f>IF(OR(Sorting!F9=0,Sorting!F9="Grand Total"),"",Sorting!F9)</f>
        <v>#N/A</v>
      </c>
      <c r="E8" t="e">
        <f>IF(OR(Sorting!H9=0,Sorting!H9="Grand Total"),"",Sorting!H9)</f>
        <v>#N/A</v>
      </c>
      <c r="F8" t="e">
        <f>IF(OR(Sorting!J9=0,Sorting!J9="Grand Total"),"",Sorting!J9)</f>
        <v>#N/A</v>
      </c>
      <c r="G8" t="e">
        <f>IF(OR(Sorting!L9=0,Sorting!L9="Grand Total"),"",Sorting!L9)</f>
        <v>#N/A</v>
      </c>
      <c r="H8" t="e">
        <f>IF(OR(Sorting!O9=0,Sorting!O9="Grand Total"),"",Sorting!O9)</f>
        <v>#N/A</v>
      </c>
      <c r="I8" t="e">
        <f>IF(OR(Sorting!Q9=0,Sorting!Q9="Grand Total"),"",Sorting!Q9)</f>
        <v>#N/A</v>
      </c>
      <c r="J8" t="e">
        <f>IF(OR(Sorting!S9=0,Sorting!S9="Grand Total"),"",Sorting!S9)</f>
        <v>#N/A</v>
      </c>
      <c r="K8" t="e">
        <f>IF(OR(Sorting!U9=0,Sorting!U9="Grand Total"),"",Sorting!U9)</f>
        <v>#N/A</v>
      </c>
      <c r="L8" t="e">
        <f>IF(OR(Sorting!W9=0,Sorting!W9="Grand Total"),"",Sorting!W9)</f>
        <v>#N/A</v>
      </c>
      <c r="M8" t="e">
        <f>IF(OR(Sorting!Y9=0,Sorting!Y9="Grand Total"),"",Sorting!Y9)</f>
        <v>#N/A</v>
      </c>
      <c r="N8" t="e">
        <f>MIN(B8,C8,D8,E8,F8,G8,H8,I8,J8,K8,L8,M8)</f>
        <v>#N/A</v>
      </c>
      <c r="O8">
        <v>6</v>
      </c>
      <c r="P8" t="e">
        <f>IF(OR(LOG10(SUM(B$3:B8))=P7,P7=""),"",LOG10(SUM(B$3:B8)))</f>
        <v>#N/A</v>
      </c>
      <c r="Q8" t="e">
        <f>IF(OR(LOG10(SUM(C$3:C8))=Q7,Q7=""),"",LOG10(SUM(C$3:C8)))</f>
        <v>#N/A</v>
      </c>
      <c r="R8" t="e">
        <f>IF(OR(LOG10(SUM(D$3:D8))=R7,R7=""),"",LOG10(SUM(D$3:D8)))</f>
        <v>#N/A</v>
      </c>
      <c r="S8" t="e">
        <f>IF(OR(LOG10(SUM(E$3:E8))=S7,S7=""),"",LOG10(SUM(E$3:E8)))</f>
        <v>#N/A</v>
      </c>
      <c r="T8" t="e">
        <f>IF(OR(LOG10(SUM(F$3:F8))=T7,T7=""),"",LOG10(SUM(F$3:F8)))</f>
        <v>#N/A</v>
      </c>
      <c r="U8" t="e">
        <f>IF(OR(LOG10(SUM(G$3:G8))=U7,U7=""),"",LOG10(SUM(G$3:G8)))</f>
        <v>#N/A</v>
      </c>
      <c r="V8" t="e">
        <f>IF(OR(LOG10(SUM(H$3:H8))=V7,V7=""),"",LOG10(SUM(H$3:H8)))</f>
        <v>#N/A</v>
      </c>
      <c r="W8" t="e">
        <f>IF(OR(LOG10(SUM(I$3:I8))=W7,W7=""),"",LOG10(SUM(I$3:I8)))</f>
        <v>#N/A</v>
      </c>
      <c r="X8" t="e">
        <f>IF(OR(LOG10(SUM(J$3:J8))=X7,X7=""),"",LOG10(SUM(J$3:J8)))</f>
        <v>#N/A</v>
      </c>
      <c r="Y8" t="e">
        <f>IF(OR(LOG10(SUM(K$3:K8))=Y7,Y7=""),"",LOG10(SUM(K$3:K8)))</f>
        <v>#N/A</v>
      </c>
      <c r="Z8" t="e">
        <f>IF(OR(LOG10(SUM(L$3:L8))=Z7,Z7=""),"",LOG10(SUM(L$3:L8)))</f>
        <v>#N/A</v>
      </c>
      <c r="AA8" t="e">
        <f>IF(OR(LOG10(SUM(M$3:M8))=AA7,AA7=""),"",LOG10(SUM(M$3:M8)))</f>
        <v>#N/A</v>
      </c>
      <c r="AB8" t="e">
        <f>IF(OR(LOG10(SUM(N$3:N8))=AB7,AB7=""),"",LOG10(SUM(N$3:N8)))</f>
        <v>#N/A</v>
      </c>
    </row>
    <row r="9" spans="1:28" x14ac:dyDescent="0.25">
      <c r="A9">
        <v>7</v>
      </c>
      <c r="B9" t="e">
        <f>IF(OR(Sorting!B10=0,Sorting!B10="Grand Total"),"",Sorting!B10)</f>
        <v>#N/A</v>
      </c>
      <c r="C9" t="e">
        <f>IF(OR(Sorting!D10=0,Sorting!D10="Grand Total"),"",Sorting!D10)</f>
        <v>#N/A</v>
      </c>
      <c r="D9" t="e">
        <f>IF(OR(Sorting!F10=0,Sorting!F10="Grand Total"),"",Sorting!F10)</f>
        <v>#N/A</v>
      </c>
      <c r="E9" t="e">
        <f>IF(OR(Sorting!H10=0,Sorting!H10="Grand Total"),"",Sorting!H10)</f>
        <v>#N/A</v>
      </c>
      <c r="F9" t="e">
        <f>IF(OR(Sorting!J10=0,Sorting!J10="Grand Total"),"",Sorting!J10)</f>
        <v>#N/A</v>
      </c>
      <c r="G9" t="e">
        <f>IF(OR(Sorting!L10=0,Sorting!L10="Grand Total"),"",Sorting!L10)</f>
        <v>#N/A</v>
      </c>
      <c r="H9" t="e">
        <f>IF(OR(Sorting!O10=0,Sorting!O10="Grand Total"),"",Sorting!O10)</f>
        <v>#N/A</v>
      </c>
      <c r="I9" t="e">
        <f>IF(OR(Sorting!Q10=0,Sorting!Q10="Grand Total"),"",Sorting!Q10)</f>
        <v>#N/A</v>
      </c>
      <c r="J9" t="e">
        <f>IF(OR(Sorting!S10=0,Sorting!S10="Grand Total"),"",Sorting!S10)</f>
        <v>#N/A</v>
      </c>
      <c r="K9" t="e">
        <f>IF(OR(Sorting!U10=0,Sorting!U10="Grand Total"),"",Sorting!U10)</f>
        <v>#N/A</v>
      </c>
      <c r="L9" t="e">
        <f>IF(OR(Sorting!W10=0,Sorting!W10="Grand Total"),"",Sorting!W10)</f>
        <v>#N/A</v>
      </c>
      <c r="M9" t="e">
        <f>IF(OR(Sorting!Y10=0,Sorting!Y10="Grand Total"),"",Sorting!Y10)</f>
        <v>#N/A</v>
      </c>
      <c r="N9" t="e">
        <f>MIN(B9,C9,D9,E9,F9,G9,H9,I9,J9,K9,L9,M9)</f>
        <v>#N/A</v>
      </c>
      <c r="O9">
        <v>7</v>
      </c>
      <c r="P9" t="e">
        <f>IF(OR(LOG10(SUM(B$3:B9))=P8,P8=""),"",LOG10(SUM(B$3:B9)))</f>
        <v>#N/A</v>
      </c>
      <c r="Q9" t="e">
        <f>IF(OR(LOG10(SUM(C$3:C9))=Q8,Q8=""),"",LOG10(SUM(C$3:C9)))</f>
        <v>#N/A</v>
      </c>
      <c r="R9" t="e">
        <f>IF(OR(LOG10(SUM(D$3:D9))=R8,R8=""),"",LOG10(SUM(D$3:D9)))</f>
        <v>#N/A</v>
      </c>
      <c r="S9" t="e">
        <f>IF(OR(LOG10(SUM(E$3:E9))=S8,S8=""),"",LOG10(SUM(E$3:E9)))</f>
        <v>#N/A</v>
      </c>
      <c r="T9" t="e">
        <f>IF(OR(LOG10(SUM(F$3:F9))=T8,T8=""),"",LOG10(SUM(F$3:F9)))</f>
        <v>#N/A</v>
      </c>
      <c r="U9" t="e">
        <f>IF(OR(LOG10(SUM(G$3:G9))=U8,U8=""),"",LOG10(SUM(G$3:G9)))</f>
        <v>#N/A</v>
      </c>
      <c r="V9" t="e">
        <f>IF(OR(LOG10(SUM(H$3:H9))=V8,V8=""),"",LOG10(SUM(H$3:H9)))</f>
        <v>#N/A</v>
      </c>
      <c r="W9" t="e">
        <f>IF(OR(LOG10(SUM(I$3:I9))=W8,W8=""),"",LOG10(SUM(I$3:I9)))</f>
        <v>#N/A</v>
      </c>
      <c r="X9" t="e">
        <f>IF(OR(LOG10(SUM(J$3:J9))=X8,X8=""),"",LOG10(SUM(J$3:J9)))</f>
        <v>#N/A</v>
      </c>
      <c r="Y9" t="e">
        <f>IF(OR(LOG10(SUM(K$3:K9))=Y8,Y8=""),"",LOG10(SUM(K$3:K9)))</f>
        <v>#N/A</v>
      </c>
      <c r="Z9" t="e">
        <f>IF(OR(LOG10(SUM(L$3:L9))=Z8,Z8=""),"",LOG10(SUM(L$3:L9)))</f>
        <v>#N/A</v>
      </c>
      <c r="AA9" t="e">
        <f>IF(OR(LOG10(SUM(M$3:M9))=AA8,AA8=""),"",LOG10(SUM(M$3:M9)))</f>
        <v>#N/A</v>
      </c>
      <c r="AB9" t="e">
        <f>IF(OR(LOG10(SUM(N$3:N9))=AB8,AB8=""),"",LOG10(SUM(N$3:N9)))</f>
        <v>#N/A</v>
      </c>
    </row>
    <row r="10" spans="1:28" x14ac:dyDescent="0.25">
      <c r="A10">
        <v>8</v>
      </c>
      <c r="B10" t="e">
        <f>IF(OR(Sorting!B11=0,Sorting!B11="Grand Total"),"",Sorting!B11)</f>
        <v>#N/A</v>
      </c>
      <c r="C10" t="e">
        <f>IF(OR(Sorting!D11=0,Sorting!D11="Grand Total"),"",Sorting!D11)</f>
        <v>#N/A</v>
      </c>
      <c r="D10" t="e">
        <f>IF(OR(Sorting!F11=0,Sorting!F11="Grand Total"),"",Sorting!F11)</f>
        <v>#N/A</v>
      </c>
      <c r="E10" t="e">
        <f>IF(OR(Sorting!H11=0,Sorting!H11="Grand Total"),"",Sorting!H11)</f>
        <v>#N/A</v>
      </c>
      <c r="F10" t="e">
        <f>IF(OR(Sorting!J11=0,Sorting!J11="Grand Total"),"",Sorting!J11)</f>
        <v>#N/A</v>
      </c>
      <c r="G10" t="e">
        <f>IF(OR(Sorting!L11=0,Sorting!L11="Grand Total"),"",Sorting!L11)</f>
        <v>#N/A</v>
      </c>
      <c r="H10" t="e">
        <f>IF(OR(Sorting!O11=0,Sorting!O11="Grand Total"),"",Sorting!O11)</f>
        <v>#N/A</v>
      </c>
      <c r="I10" t="e">
        <f>IF(OR(Sorting!Q11=0,Sorting!Q11="Grand Total"),"",Sorting!Q11)</f>
        <v>#N/A</v>
      </c>
      <c r="J10" t="e">
        <f>IF(OR(Sorting!S11=0,Sorting!S11="Grand Total"),"",Sorting!S11)</f>
        <v>#N/A</v>
      </c>
      <c r="K10" t="e">
        <f>IF(OR(Sorting!U11=0,Sorting!U11="Grand Total"),"",Sorting!U11)</f>
        <v>#N/A</v>
      </c>
      <c r="L10" t="e">
        <f>IF(OR(Sorting!W11=0,Sorting!W11="Grand Total"),"",Sorting!W11)</f>
        <v>#N/A</v>
      </c>
      <c r="M10" t="e">
        <f>IF(OR(Sorting!Y11=0,Sorting!Y11="Grand Total"),"",Sorting!Y11)</f>
        <v>#N/A</v>
      </c>
      <c r="N10" t="e">
        <f>MIN(B10,C10,D10,E10,F10,G10,H10,I10,J10,K10,L10,M10)</f>
        <v>#N/A</v>
      </c>
      <c r="O10">
        <v>8</v>
      </c>
      <c r="P10" t="e">
        <f>IF(OR(LOG10(SUM(B$3:B10))=P9,P9=""),"",LOG10(SUM(B$3:B10)))</f>
        <v>#N/A</v>
      </c>
      <c r="Q10" t="e">
        <f>IF(OR(LOG10(SUM(C$3:C10))=Q9,Q9=""),"",LOG10(SUM(C$3:C10)))</f>
        <v>#N/A</v>
      </c>
      <c r="R10" t="e">
        <f>IF(OR(LOG10(SUM(D$3:D10))=R9,R9=""),"",LOG10(SUM(D$3:D10)))</f>
        <v>#N/A</v>
      </c>
      <c r="S10" t="e">
        <f>IF(OR(LOG10(SUM(E$3:E10))=S9,S9=""),"",LOG10(SUM(E$3:E10)))</f>
        <v>#N/A</v>
      </c>
      <c r="T10" t="e">
        <f>IF(OR(LOG10(SUM(F$3:F10))=T9,T9=""),"",LOG10(SUM(F$3:F10)))</f>
        <v>#N/A</v>
      </c>
      <c r="U10" t="e">
        <f>IF(OR(LOG10(SUM(G$3:G10))=U9,U9=""),"",LOG10(SUM(G$3:G10)))</f>
        <v>#N/A</v>
      </c>
      <c r="V10" t="e">
        <f>IF(OR(LOG10(SUM(H$3:H10))=V9,V9=""),"",LOG10(SUM(H$3:H10)))</f>
        <v>#N/A</v>
      </c>
      <c r="W10" t="e">
        <f>IF(OR(LOG10(SUM(I$3:I10))=W9,W9=""),"",LOG10(SUM(I$3:I10)))</f>
        <v>#N/A</v>
      </c>
      <c r="X10" t="e">
        <f>IF(OR(LOG10(SUM(J$3:J10))=X9,X9=""),"",LOG10(SUM(J$3:J10)))</f>
        <v>#N/A</v>
      </c>
      <c r="Y10" t="e">
        <f>IF(OR(LOG10(SUM(K$3:K10))=Y9,Y9=""),"",LOG10(SUM(K$3:K10)))</f>
        <v>#N/A</v>
      </c>
      <c r="Z10" t="e">
        <f>IF(OR(LOG10(SUM(L$3:L10))=Z9,Z9=""),"",LOG10(SUM(L$3:L10)))</f>
        <v>#N/A</v>
      </c>
      <c r="AA10" t="e">
        <f>IF(OR(LOG10(SUM(M$3:M10))=AA9,AA9=""),"",LOG10(SUM(M$3:M10)))</f>
        <v>#N/A</v>
      </c>
      <c r="AB10" t="e">
        <f>IF(OR(LOG10(SUM(N$3:N10))=AB9,AB9=""),"",LOG10(SUM(N$3:N10)))</f>
        <v>#N/A</v>
      </c>
    </row>
    <row r="11" spans="1:28" x14ac:dyDescent="0.25">
      <c r="A11">
        <v>9</v>
      </c>
      <c r="B11" t="e">
        <f>IF(OR(Sorting!B12=0,Sorting!B12="Grand Total"),"",Sorting!B12)</f>
        <v>#N/A</v>
      </c>
      <c r="C11" t="e">
        <f>IF(OR(Sorting!D12=0,Sorting!D12="Grand Total"),"",Sorting!D12)</f>
        <v>#N/A</v>
      </c>
      <c r="D11" t="e">
        <f>IF(OR(Sorting!F12=0,Sorting!F12="Grand Total"),"",Sorting!F12)</f>
        <v>#N/A</v>
      </c>
      <c r="E11" t="e">
        <f>IF(OR(Sorting!H12=0,Sorting!H12="Grand Total"),"",Sorting!H12)</f>
        <v>#N/A</v>
      </c>
      <c r="F11" t="e">
        <f>IF(OR(Sorting!J12=0,Sorting!J12="Grand Total"),"",Sorting!J12)</f>
        <v>#N/A</v>
      </c>
      <c r="G11" t="e">
        <f>IF(OR(Sorting!L12=0,Sorting!L12="Grand Total"),"",Sorting!L12)</f>
        <v>#N/A</v>
      </c>
      <c r="H11" t="e">
        <f>IF(OR(Sorting!O12=0,Sorting!O12="Grand Total"),"",Sorting!O12)</f>
        <v>#N/A</v>
      </c>
      <c r="I11" t="e">
        <f>IF(OR(Sorting!Q12=0,Sorting!Q12="Grand Total"),"",Sorting!Q12)</f>
        <v>#N/A</v>
      </c>
      <c r="J11" t="e">
        <f>IF(OR(Sorting!S12=0,Sorting!S12="Grand Total"),"",Sorting!S12)</f>
        <v>#N/A</v>
      </c>
      <c r="K11" t="e">
        <f>IF(OR(Sorting!U12=0,Sorting!U12="Grand Total"),"",Sorting!U12)</f>
        <v>#N/A</v>
      </c>
      <c r="L11" t="e">
        <f>IF(OR(Sorting!W12=0,Sorting!W12="Grand Total"),"",Sorting!W12)</f>
        <v>#N/A</v>
      </c>
      <c r="M11" t="e">
        <f>IF(OR(Sorting!Y12=0,Sorting!Y12="Grand Total"),"",Sorting!Y12)</f>
        <v>#N/A</v>
      </c>
      <c r="N11" t="e">
        <f>MIN(B11,C11,D11,E11,F11,G11,H11,I11,J11,K11,L11,M11)</f>
        <v>#N/A</v>
      </c>
      <c r="O11">
        <v>9</v>
      </c>
      <c r="P11" t="e">
        <f>IF(OR(LOG10(SUM(B$3:B11))=P10,P10=""),"",LOG10(SUM(B$3:B11)))</f>
        <v>#N/A</v>
      </c>
      <c r="Q11" t="e">
        <f>IF(OR(LOG10(SUM(C$3:C11))=Q10,Q10=""),"",LOG10(SUM(C$3:C11)))</f>
        <v>#N/A</v>
      </c>
      <c r="R11" t="e">
        <f>IF(OR(LOG10(SUM(D$3:D11))=R10,R10=""),"",LOG10(SUM(D$3:D11)))</f>
        <v>#N/A</v>
      </c>
      <c r="S11" t="e">
        <f>IF(OR(LOG10(SUM(E$3:E11))=S10,S10=""),"",LOG10(SUM(E$3:E11)))</f>
        <v>#N/A</v>
      </c>
      <c r="T11" t="e">
        <f>IF(OR(LOG10(SUM(F$3:F11))=T10,T10=""),"",LOG10(SUM(F$3:F11)))</f>
        <v>#N/A</v>
      </c>
      <c r="U11" t="e">
        <f>IF(OR(LOG10(SUM(G$3:G11))=U10,U10=""),"",LOG10(SUM(G$3:G11)))</f>
        <v>#N/A</v>
      </c>
      <c r="V11" t="e">
        <f>IF(OR(LOG10(SUM(H$3:H11))=V10,V10=""),"",LOG10(SUM(H$3:H11)))</f>
        <v>#N/A</v>
      </c>
      <c r="W11" t="e">
        <f>IF(OR(LOG10(SUM(I$3:I11))=W10,W10=""),"",LOG10(SUM(I$3:I11)))</f>
        <v>#N/A</v>
      </c>
      <c r="X11" t="e">
        <f>IF(OR(LOG10(SUM(J$3:J11))=X10,X10=""),"",LOG10(SUM(J$3:J11)))</f>
        <v>#N/A</v>
      </c>
      <c r="Y11" t="e">
        <f>IF(OR(LOG10(SUM(K$3:K11))=Y10,Y10=""),"",LOG10(SUM(K$3:K11)))</f>
        <v>#N/A</v>
      </c>
      <c r="Z11" t="e">
        <f>IF(OR(LOG10(SUM(L$3:L11))=Z10,Z10=""),"",LOG10(SUM(L$3:L11)))</f>
        <v>#N/A</v>
      </c>
      <c r="AA11" t="e">
        <f>IF(OR(LOG10(SUM(M$3:M11))=AA10,AA10=""),"",LOG10(SUM(M$3:M11)))</f>
        <v>#N/A</v>
      </c>
      <c r="AB11" t="e">
        <f>IF(OR(LOG10(SUM(N$3:N11))=AB10,AB10=""),"",LOG10(SUM(N$3:N11)))</f>
        <v>#N/A</v>
      </c>
    </row>
    <row r="12" spans="1:28" x14ac:dyDescent="0.25">
      <c r="A12">
        <v>10</v>
      </c>
      <c r="B12" t="e">
        <f>IF(OR(Sorting!B13=0,Sorting!B13="Grand Total"),"",Sorting!B13)</f>
        <v>#N/A</v>
      </c>
      <c r="C12" t="e">
        <f>IF(OR(Sorting!D13=0,Sorting!D13="Grand Total"),"",Sorting!D13)</f>
        <v>#N/A</v>
      </c>
      <c r="D12" t="e">
        <f>IF(OR(Sorting!F13=0,Sorting!F13="Grand Total"),"",Sorting!F13)</f>
        <v>#N/A</v>
      </c>
      <c r="E12" t="e">
        <f>IF(OR(Sorting!H13=0,Sorting!H13="Grand Total"),"",Sorting!H13)</f>
        <v>#N/A</v>
      </c>
      <c r="F12" t="e">
        <f>IF(OR(Sorting!J13=0,Sorting!J13="Grand Total"),"",Sorting!J13)</f>
        <v>#N/A</v>
      </c>
      <c r="G12" t="e">
        <f>IF(OR(Sorting!L13=0,Sorting!L13="Grand Total"),"",Sorting!L13)</f>
        <v>#N/A</v>
      </c>
      <c r="H12" t="e">
        <f>IF(OR(Sorting!O13=0,Sorting!O13="Grand Total"),"",Sorting!O13)</f>
        <v>#N/A</v>
      </c>
      <c r="I12" t="e">
        <f>IF(OR(Sorting!Q13=0,Sorting!Q13="Grand Total"),"",Sorting!Q13)</f>
        <v>#N/A</v>
      </c>
      <c r="J12" t="e">
        <f>IF(OR(Sorting!S13=0,Sorting!S13="Grand Total"),"",Sorting!S13)</f>
        <v>#N/A</v>
      </c>
      <c r="K12" t="e">
        <f>IF(OR(Sorting!U13=0,Sorting!U13="Grand Total"),"",Sorting!U13)</f>
        <v>#N/A</v>
      </c>
      <c r="L12" t="e">
        <f>IF(OR(Sorting!W13=0,Sorting!W13="Grand Total"),"",Sorting!W13)</f>
        <v>#N/A</v>
      </c>
      <c r="M12" t="e">
        <f>IF(OR(Sorting!Y13=0,Sorting!Y13="Grand Total"),"",Sorting!Y13)</f>
        <v>#N/A</v>
      </c>
      <c r="N12" t="e">
        <f>MIN(B12,C12,D12,E12,F12,G12,H12,I12,J12,K12,L12,M12)</f>
        <v>#N/A</v>
      </c>
      <c r="O12">
        <v>10</v>
      </c>
      <c r="P12" t="e">
        <f>IF(OR(LOG10(SUM(B$3:B12))=P11,P11=""),"",LOG10(SUM(B$3:B12)))</f>
        <v>#N/A</v>
      </c>
      <c r="Q12" t="e">
        <f>IF(OR(LOG10(SUM(C$3:C12))=Q11,Q11=""),"",LOG10(SUM(C$3:C12)))</f>
        <v>#N/A</v>
      </c>
      <c r="R12" t="e">
        <f>IF(OR(LOG10(SUM(D$3:D12))=R11,R11=""),"",LOG10(SUM(D$3:D12)))</f>
        <v>#N/A</v>
      </c>
      <c r="S12" t="e">
        <f>IF(OR(LOG10(SUM(E$3:E12))=S11,S11=""),"",LOG10(SUM(E$3:E12)))</f>
        <v>#N/A</v>
      </c>
      <c r="T12" t="e">
        <f>IF(OR(LOG10(SUM(F$3:F12))=T11,T11=""),"",LOG10(SUM(F$3:F12)))</f>
        <v>#N/A</v>
      </c>
      <c r="U12" t="e">
        <f>IF(OR(LOG10(SUM(G$3:G12))=U11,U11=""),"",LOG10(SUM(G$3:G12)))</f>
        <v>#N/A</v>
      </c>
      <c r="V12" t="e">
        <f>IF(OR(LOG10(SUM(H$3:H12))=V11,V11=""),"",LOG10(SUM(H$3:H12)))</f>
        <v>#N/A</v>
      </c>
      <c r="W12" t="e">
        <f>IF(OR(LOG10(SUM(I$3:I12))=W11,W11=""),"",LOG10(SUM(I$3:I12)))</f>
        <v>#N/A</v>
      </c>
      <c r="X12" t="e">
        <f>IF(OR(LOG10(SUM(J$3:J12))=X11,X11=""),"",LOG10(SUM(J$3:J12)))</f>
        <v>#N/A</v>
      </c>
      <c r="Y12" t="e">
        <f>IF(OR(LOG10(SUM(K$3:K12))=Y11,Y11=""),"",LOG10(SUM(K$3:K12)))</f>
        <v>#N/A</v>
      </c>
      <c r="Z12" t="e">
        <f>IF(OR(LOG10(SUM(L$3:L12))=Z11,Z11=""),"",LOG10(SUM(L$3:L12)))</f>
        <v>#N/A</v>
      </c>
      <c r="AA12" t="e">
        <f>IF(OR(LOG10(SUM(M$3:M12))=AA11,AA11=""),"",LOG10(SUM(M$3:M12)))</f>
        <v>#N/A</v>
      </c>
      <c r="AB12" t="e">
        <f>IF(OR(LOG10(SUM(N$3:N12))=AB11,AB11=""),"",LOG10(SUM(N$3:N12)))</f>
        <v>#N/A</v>
      </c>
    </row>
    <row r="13" spans="1:28" x14ac:dyDescent="0.25">
      <c r="A13">
        <v>11</v>
      </c>
      <c r="B13" t="e">
        <f>IF(OR(Sorting!B14=0,Sorting!B14="Grand Total"),"",Sorting!B14)</f>
        <v>#N/A</v>
      </c>
      <c r="C13" t="e">
        <f>IF(OR(Sorting!D14=0,Sorting!D14="Grand Total"),"",Sorting!D14)</f>
        <v>#N/A</v>
      </c>
      <c r="D13" t="e">
        <f>IF(OR(Sorting!F14=0,Sorting!F14="Grand Total"),"",Sorting!F14)</f>
        <v>#N/A</v>
      </c>
      <c r="E13" t="e">
        <f>IF(OR(Sorting!H14=0,Sorting!H14="Grand Total"),"",Sorting!H14)</f>
        <v>#N/A</v>
      </c>
      <c r="F13" t="e">
        <f>IF(OR(Sorting!J14=0,Sorting!J14="Grand Total"),"",Sorting!J14)</f>
        <v>#N/A</v>
      </c>
      <c r="G13" t="e">
        <f>IF(OR(Sorting!L14=0,Sorting!L14="Grand Total"),"",Sorting!L14)</f>
        <v>#N/A</v>
      </c>
      <c r="H13" t="e">
        <f>IF(OR(Sorting!O14=0,Sorting!O14="Grand Total"),"",Sorting!O14)</f>
        <v>#N/A</v>
      </c>
      <c r="I13" t="e">
        <f>IF(OR(Sorting!Q14=0,Sorting!Q14="Grand Total"),"",Sorting!Q14)</f>
        <v>#N/A</v>
      </c>
      <c r="J13" t="e">
        <f>IF(OR(Sorting!S14=0,Sorting!S14="Grand Total"),"",Sorting!S14)</f>
        <v>#N/A</v>
      </c>
      <c r="K13" t="e">
        <f>IF(OR(Sorting!U14=0,Sorting!U14="Grand Total"),"",Sorting!U14)</f>
        <v>#N/A</v>
      </c>
      <c r="L13" t="e">
        <f>IF(OR(Sorting!W14=0,Sorting!W14="Grand Total"),"",Sorting!W14)</f>
        <v>#N/A</v>
      </c>
      <c r="M13" t="e">
        <f>IF(OR(Sorting!Y14=0,Sorting!Y14="Grand Total"),"",Sorting!Y14)</f>
        <v>#N/A</v>
      </c>
      <c r="N13" t="e">
        <f>MIN(B13,C13,D13,E13,F13,G13,H13,I13,J13,K13,L13,M13)</f>
        <v>#N/A</v>
      </c>
      <c r="O13">
        <v>11</v>
      </c>
      <c r="P13" t="e">
        <f>IF(OR(LOG10(SUM(B$3:B13))=P12,P12=""),"",LOG10(SUM(B$3:B13)))</f>
        <v>#N/A</v>
      </c>
      <c r="Q13" t="e">
        <f>IF(OR(LOG10(SUM(C$3:C13))=Q12,Q12=""),"",LOG10(SUM(C$3:C13)))</f>
        <v>#N/A</v>
      </c>
      <c r="R13" t="e">
        <f>IF(OR(LOG10(SUM(D$3:D13))=R12,R12=""),"",LOG10(SUM(D$3:D13)))</f>
        <v>#N/A</v>
      </c>
      <c r="S13" t="e">
        <f>IF(OR(LOG10(SUM(E$3:E13))=S12,S12=""),"",LOG10(SUM(E$3:E13)))</f>
        <v>#N/A</v>
      </c>
      <c r="T13" t="e">
        <f>IF(OR(LOG10(SUM(F$3:F13))=T12,T12=""),"",LOG10(SUM(F$3:F13)))</f>
        <v>#N/A</v>
      </c>
      <c r="U13" t="e">
        <f>IF(OR(LOG10(SUM(G$3:G13))=U12,U12=""),"",LOG10(SUM(G$3:G13)))</f>
        <v>#N/A</v>
      </c>
      <c r="V13" t="e">
        <f>IF(OR(LOG10(SUM(H$3:H13))=V12,V12=""),"",LOG10(SUM(H$3:H13)))</f>
        <v>#N/A</v>
      </c>
      <c r="W13" t="e">
        <f>IF(OR(LOG10(SUM(I$3:I13))=W12,W12=""),"",LOG10(SUM(I$3:I13)))</f>
        <v>#N/A</v>
      </c>
      <c r="X13" t="e">
        <f>IF(OR(LOG10(SUM(J$3:J13))=X12,X12=""),"",LOG10(SUM(J$3:J13)))</f>
        <v>#N/A</v>
      </c>
      <c r="Y13" t="e">
        <f>IF(OR(LOG10(SUM(K$3:K13))=Y12,Y12=""),"",LOG10(SUM(K$3:K13)))</f>
        <v>#N/A</v>
      </c>
      <c r="Z13" t="e">
        <f>IF(OR(LOG10(SUM(L$3:L13))=Z12,Z12=""),"",LOG10(SUM(L$3:L13)))</f>
        <v>#N/A</v>
      </c>
      <c r="AA13" t="e">
        <f>IF(OR(LOG10(SUM(M$3:M13))=AA12,AA12=""),"",LOG10(SUM(M$3:M13)))</f>
        <v>#N/A</v>
      </c>
      <c r="AB13" t="e">
        <f>IF(OR(LOG10(SUM(N$3:N13))=AB12,AB12=""),"",LOG10(SUM(N$3:N13)))</f>
        <v>#N/A</v>
      </c>
    </row>
    <row r="14" spans="1:28" x14ac:dyDescent="0.25">
      <c r="A14">
        <v>12</v>
      </c>
      <c r="B14" t="e">
        <f>IF(OR(Sorting!B15=0,Sorting!B15="Grand Total"),"",Sorting!B15)</f>
        <v>#N/A</v>
      </c>
      <c r="C14" t="e">
        <f>IF(OR(Sorting!D15=0,Sorting!D15="Grand Total"),"",Sorting!D15)</f>
        <v>#N/A</v>
      </c>
      <c r="D14" t="e">
        <f>IF(OR(Sorting!F15=0,Sorting!F15="Grand Total"),"",Sorting!F15)</f>
        <v>#N/A</v>
      </c>
      <c r="E14" t="e">
        <f>IF(OR(Sorting!H15=0,Sorting!H15="Grand Total"),"",Sorting!H15)</f>
        <v>#N/A</v>
      </c>
      <c r="F14" t="e">
        <f>IF(OR(Sorting!J15=0,Sorting!J15="Grand Total"),"",Sorting!J15)</f>
        <v>#N/A</v>
      </c>
      <c r="G14" t="e">
        <f>IF(OR(Sorting!L15=0,Sorting!L15="Grand Total"),"",Sorting!L15)</f>
        <v>#N/A</v>
      </c>
      <c r="H14" t="e">
        <f>IF(OR(Sorting!O15=0,Sorting!O15="Grand Total"),"",Sorting!O15)</f>
        <v>#N/A</v>
      </c>
      <c r="I14" t="e">
        <f>IF(OR(Sorting!Q15=0,Sorting!Q15="Grand Total"),"",Sorting!Q15)</f>
        <v>#N/A</v>
      </c>
      <c r="J14" t="e">
        <f>IF(OR(Sorting!S15=0,Sorting!S15="Grand Total"),"",Sorting!S15)</f>
        <v>#N/A</v>
      </c>
      <c r="K14" t="e">
        <f>IF(OR(Sorting!U15=0,Sorting!U15="Grand Total"),"",Sorting!U15)</f>
        <v>#N/A</v>
      </c>
      <c r="L14" t="e">
        <f>IF(OR(Sorting!W15=0,Sorting!W15="Grand Total"),"",Sorting!W15)</f>
        <v>#N/A</v>
      </c>
      <c r="M14" t="e">
        <f>IF(OR(Sorting!Y15=0,Sorting!Y15="Grand Total"),"",Sorting!Y15)</f>
        <v>#N/A</v>
      </c>
      <c r="N14" t="e">
        <f>MIN(B14,C14,D14,E14,F14,G14,H14,I14,J14,K14,L14,M14)</f>
        <v>#N/A</v>
      </c>
      <c r="O14">
        <v>12</v>
      </c>
      <c r="P14" t="e">
        <f>IF(OR(LOG10(SUM(B$3:B14))=P13,P13=""),"",LOG10(SUM(B$3:B14)))</f>
        <v>#N/A</v>
      </c>
      <c r="Q14" t="e">
        <f>IF(OR(LOG10(SUM(C$3:C14))=Q13,Q13=""),"",LOG10(SUM(C$3:C14)))</f>
        <v>#N/A</v>
      </c>
      <c r="R14" t="e">
        <f>IF(OR(LOG10(SUM(D$3:D14))=R13,R13=""),"",LOG10(SUM(D$3:D14)))</f>
        <v>#N/A</v>
      </c>
      <c r="S14" t="e">
        <f>IF(OR(LOG10(SUM(E$3:E14))=S13,S13=""),"",LOG10(SUM(E$3:E14)))</f>
        <v>#N/A</v>
      </c>
      <c r="T14" t="e">
        <f>IF(OR(LOG10(SUM(F$3:F14))=T13,T13=""),"",LOG10(SUM(F$3:F14)))</f>
        <v>#N/A</v>
      </c>
      <c r="U14" t="e">
        <f>IF(OR(LOG10(SUM(G$3:G14))=U13,U13=""),"",LOG10(SUM(G$3:G14)))</f>
        <v>#N/A</v>
      </c>
      <c r="V14" t="e">
        <f>IF(OR(LOG10(SUM(H$3:H14))=V13,V13=""),"",LOG10(SUM(H$3:H14)))</f>
        <v>#N/A</v>
      </c>
      <c r="W14" t="e">
        <f>IF(OR(LOG10(SUM(I$3:I14))=W13,W13=""),"",LOG10(SUM(I$3:I14)))</f>
        <v>#N/A</v>
      </c>
      <c r="X14" t="e">
        <f>IF(OR(LOG10(SUM(J$3:J14))=X13,X13=""),"",LOG10(SUM(J$3:J14)))</f>
        <v>#N/A</v>
      </c>
      <c r="Y14" t="e">
        <f>IF(OR(LOG10(SUM(K$3:K14))=Y13,Y13=""),"",LOG10(SUM(K$3:K14)))</f>
        <v>#N/A</v>
      </c>
      <c r="Z14" t="e">
        <f>IF(OR(LOG10(SUM(L$3:L14))=Z13,Z13=""),"",LOG10(SUM(L$3:L14)))</f>
        <v>#N/A</v>
      </c>
      <c r="AA14" t="e">
        <f>IF(OR(LOG10(SUM(M$3:M14))=AA13,AA13=""),"",LOG10(SUM(M$3:M14)))</f>
        <v>#N/A</v>
      </c>
      <c r="AB14" t="e">
        <f>IF(OR(LOG10(SUM(N$3:N14))=AB13,AB13=""),"",LOG10(SUM(N$3:N14)))</f>
        <v>#N/A</v>
      </c>
    </row>
    <row r="15" spans="1:28" x14ac:dyDescent="0.25">
      <c r="A15">
        <v>13</v>
      </c>
      <c r="B15" t="e">
        <f>IF(OR(Sorting!B16=0,Sorting!B16="Grand Total"),"",Sorting!B16)</f>
        <v>#N/A</v>
      </c>
      <c r="C15" t="e">
        <f>IF(OR(Sorting!D16=0,Sorting!D16="Grand Total"),"",Sorting!D16)</f>
        <v>#N/A</v>
      </c>
      <c r="D15" t="e">
        <f>IF(OR(Sorting!F16=0,Sorting!F16="Grand Total"),"",Sorting!F16)</f>
        <v>#N/A</v>
      </c>
      <c r="E15" t="e">
        <f>IF(OR(Sorting!H16=0,Sorting!H16="Grand Total"),"",Sorting!H16)</f>
        <v>#N/A</v>
      </c>
      <c r="F15" t="e">
        <f>IF(OR(Sorting!J16=0,Sorting!J16="Grand Total"),"",Sorting!J16)</f>
        <v>#N/A</v>
      </c>
      <c r="G15" t="e">
        <f>IF(OR(Sorting!L16=0,Sorting!L16="Grand Total"),"",Sorting!L16)</f>
        <v>#N/A</v>
      </c>
      <c r="H15" t="e">
        <f>IF(OR(Sorting!O16=0,Sorting!O16="Grand Total"),"",Sorting!O16)</f>
        <v>#N/A</v>
      </c>
      <c r="I15" t="e">
        <f>IF(OR(Sorting!Q16=0,Sorting!Q16="Grand Total"),"",Sorting!Q16)</f>
        <v>#N/A</v>
      </c>
      <c r="J15" t="e">
        <f>IF(OR(Sorting!S16=0,Sorting!S16="Grand Total"),"",Sorting!S16)</f>
        <v>#N/A</v>
      </c>
      <c r="K15" t="e">
        <f>IF(OR(Sorting!U16=0,Sorting!U16="Grand Total"),"",Sorting!U16)</f>
        <v>#N/A</v>
      </c>
      <c r="L15" t="e">
        <f>IF(OR(Sorting!W16=0,Sorting!W16="Grand Total"),"",Sorting!W16)</f>
        <v>#N/A</v>
      </c>
      <c r="M15" t="e">
        <f>IF(OR(Sorting!Y16=0,Sorting!Y16="Grand Total"),"",Sorting!Y16)</f>
        <v>#N/A</v>
      </c>
      <c r="N15" t="e">
        <f>MIN(B15,C15,D15,E15,F15,G15,H15,I15,J15,K15,L15,M15)</f>
        <v>#N/A</v>
      </c>
      <c r="O15">
        <v>13</v>
      </c>
      <c r="P15" t="e">
        <f>IF(OR(LOG10(SUM(B$3:B15))=P14,P14=""),"",LOG10(SUM(B$3:B15)))</f>
        <v>#N/A</v>
      </c>
      <c r="Q15" t="e">
        <f>IF(OR(LOG10(SUM(C$3:C15))=Q14,Q14=""),"",LOG10(SUM(C$3:C15)))</f>
        <v>#N/A</v>
      </c>
      <c r="R15" t="e">
        <f>IF(OR(LOG10(SUM(D$3:D15))=R14,R14=""),"",LOG10(SUM(D$3:D15)))</f>
        <v>#N/A</v>
      </c>
      <c r="S15" t="e">
        <f>IF(OR(LOG10(SUM(E$3:E15))=S14,S14=""),"",LOG10(SUM(E$3:E15)))</f>
        <v>#N/A</v>
      </c>
      <c r="T15" t="e">
        <f>IF(OR(LOG10(SUM(F$3:F15))=T14,T14=""),"",LOG10(SUM(F$3:F15)))</f>
        <v>#N/A</v>
      </c>
      <c r="U15" t="e">
        <f>IF(OR(LOG10(SUM(G$3:G15))=U14,U14=""),"",LOG10(SUM(G$3:G15)))</f>
        <v>#N/A</v>
      </c>
      <c r="V15" t="e">
        <f>IF(OR(LOG10(SUM(H$3:H15))=V14,V14=""),"",LOG10(SUM(H$3:H15)))</f>
        <v>#N/A</v>
      </c>
      <c r="W15" t="e">
        <f>IF(OR(LOG10(SUM(I$3:I15))=W14,W14=""),"",LOG10(SUM(I$3:I15)))</f>
        <v>#N/A</v>
      </c>
      <c r="X15" t="e">
        <f>IF(OR(LOG10(SUM(J$3:J15))=X14,X14=""),"",LOG10(SUM(J$3:J15)))</f>
        <v>#N/A</v>
      </c>
      <c r="Y15" t="e">
        <f>IF(OR(LOG10(SUM(K$3:K15))=Y14,Y14=""),"",LOG10(SUM(K$3:K15)))</f>
        <v>#N/A</v>
      </c>
      <c r="Z15" t="e">
        <f>IF(OR(LOG10(SUM(L$3:L15))=Z14,Z14=""),"",LOG10(SUM(L$3:L15)))</f>
        <v>#N/A</v>
      </c>
      <c r="AA15" t="e">
        <f>IF(OR(LOG10(SUM(M$3:M15))=AA14,AA14=""),"",LOG10(SUM(M$3:M15)))</f>
        <v>#N/A</v>
      </c>
      <c r="AB15" t="e">
        <f>IF(OR(LOG10(SUM(N$3:N15))=AB14,AB14=""),"",LOG10(SUM(N$3:N15)))</f>
        <v>#N/A</v>
      </c>
    </row>
    <row r="16" spans="1:28" x14ac:dyDescent="0.25">
      <c r="A16">
        <v>14</v>
      </c>
      <c r="B16" t="e">
        <f>IF(OR(Sorting!B17=0,Sorting!B17="Grand Total"),"",Sorting!B17)</f>
        <v>#N/A</v>
      </c>
      <c r="C16" t="e">
        <f>IF(OR(Sorting!D17=0,Sorting!D17="Grand Total"),"",Sorting!D17)</f>
        <v>#N/A</v>
      </c>
      <c r="D16" t="e">
        <f>IF(OR(Sorting!F17=0,Sorting!F17="Grand Total"),"",Sorting!F17)</f>
        <v>#N/A</v>
      </c>
      <c r="E16" t="e">
        <f>IF(OR(Sorting!H17=0,Sorting!H17="Grand Total"),"",Sorting!H17)</f>
        <v>#N/A</v>
      </c>
      <c r="F16" t="e">
        <f>IF(OR(Sorting!J17=0,Sorting!J17="Grand Total"),"",Sorting!J17)</f>
        <v>#N/A</v>
      </c>
      <c r="G16" t="e">
        <f>IF(OR(Sorting!L17=0,Sorting!L17="Grand Total"),"",Sorting!L17)</f>
        <v>#N/A</v>
      </c>
      <c r="H16" t="e">
        <f>IF(OR(Sorting!O17=0,Sorting!O17="Grand Total"),"",Sorting!O17)</f>
        <v>#N/A</v>
      </c>
      <c r="I16" t="e">
        <f>IF(OR(Sorting!Q17=0,Sorting!Q17="Grand Total"),"",Sorting!Q17)</f>
        <v>#N/A</v>
      </c>
      <c r="J16" t="e">
        <f>IF(OR(Sorting!S17=0,Sorting!S17="Grand Total"),"",Sorting!S17)</f>
        <v>#N/A</v>
      </c>
      <c r="K16" t="e">
        <f>IF(OR(Sorting!U17=0,Sorting!U17="Grand Total"),"",Sorting!U17)</f>
        <v>#N/A</v>
      </c>
      <c r="L16" t="e">
        <f>IF(OR(Sorting!W17=0,Sorting!W17="Grand Total"),"",Sorting!W17)</f>
        <v>#N/A</v>
      </c>
      <c r="M16" t="e">
        <f>IF(OR(Sorting!Y17=0,Sorting!Y17="Grand Total"),"",Sorting!Y17)</f>
        <v>#N/A</v>
      </c>
      <c r="N16" t="e">
        <f>MIN(B16,C16,D16,E16,F16,G16,H16,I16,J16,K16,L16,M16)</f>
        <v>#N/A</v>
      </c>
      <c r="O16">
        <v>14</v>
      </c>
      <c r="P16" t="e">
        <f>IF(OR(LOG10(SUM(B$3:B16))=P15,P15=""),"",LOG10(SUM(B$3:B16)))</f>
        <v>#N/A</v>
      </c>
      <c r="Q16" t="e">
        <f>IF(OR(LOG10(SUM(C$3:C16))=Q15,Q15=""),"",LOG10(SUM(C$3:C16)))</f>
        <v>#N/A</v>
      </c>
      <c r="R16" t="e">
        <f>IF(OR(LOG10(SUM(D$3:D16))=R15,R15=""),"",LOG10(SUM(D$3:D16)))</f>
        <v>#N/A</v>
      </c>
      <c r="S16" t="e">
        <f>IF(OR(LOG10(SUM(E$3:E16))=S15,S15=""),"",LOG10(SUM(E$3:E16)))</f>
        <v>#N/A</v>
      </c>
      <c r="T16" t="e">
        <f>IF(OR(LOG10(SUM(F$3:F16))=T15,T15=""),"",LOG10(SUM(F$3:F16)))</f>
        <v>#N/A</v>
      </c>
      <c r="U16" t="e">
        <f>IF(OR(LOG10(SUM(G$3:G16))=U15,U15=""),"",LOG10(SUM(G$3:G16)))</f>
        <v>#N/A</v>
      </c>
      <c r="V16" t="e">
        <f>IF(OR(LOG10(SUM(H$3:H16))=V15,V15=""),"",LOG10(SUM(H$3:H16)))</f>
        <v>#N/A</v>
      </c>
      <c r="W16" t="e">
        <f>IF(OR(LOG10(SUM(I$3:I16))=W15,W15=""),"",LOG10(SUM(I$3:I16)))</f>
        <v>#N/A</v>
      </c>
      <c r="X16" t="e">
        <f>IF(OR(LOG10(SUM(J$3:J16))=X15,X15=""),"",LOG10(SUM(J$3:J16)))</f>
        <v>#N/A</v>
      </c>
      <c r="Y16" t="e">
        <f>IF(OR(LOG10(SUM(K$3:K16))=Y15,Y15=""),"",LOG10(SUM(K$3:K16)))</f>
        <v>#N/A</v>
      </c>
      <c r="Z16" t="e">
        <f>IF(OR(LOG10(SUM(L$3:L16))=Z15,Z15=""),"",LOG10(SUM(L$3:L16)))</f>
        <v>#N/A</v>
      </c>
      <c r="AA16" t="e">
        <f>IF(OR(LOG10(SUM(M$3:M16))=AA15,AA15=""),"",LOG10(SUM(M$3:M16)))</f>
        <v>#N/A</v>
      </c>
      <c r="AB16" t="e">
        <f>IF(OR(LOG10(SUM(N$3:N16))=AB15,AB15=""),"",LOG10(SUM(N$3:N16)))</f>
        <v>#N/A</v>
      </c>
    </row>
    <row r="17" spans="1:28" x14ac:dyDescent="0.25">
      <c r="A17">
        <v>15</v>
      </c>
      <c r="B17" t="e">
        <f>IF(OR(Sorting!B18=0,Sorting!B18="Grand Total"),"",Sorting!B18)</f>
        <v>#N/A</v>
      </c>
      <c r="C17" t="e">
        <f>IF(OR(Sorting!D18=0,Sorting!D18="Grand Total"),"",Sorting!D18)</f>
        <v>#N/A</v>
      </c>
      <c r="D17" t="e">
        <f>IF(OR(Sorting!F18=0,Sorting!F18="Grand Total"),"",Sorting!F18)</f>
        <v>#N/A</v>
      </c>
      <c r="E17" t="e">
        <f>IF(OR(Sorting!H18=0,Sorting!H18="Grand Total"),"",Sorting!H18)</f>
        <v>#N/A</v>
      </c>
      <c r="F17" t="e">
        <f>IF(OR(Sorting!J18=0,Sorting!J18="Grand Total"),"",Sorting!J18)</f>
        <v>#N/A</v>
      </c>
      <c r="G17" t="e">
        <f>IF(OR(Sorting!L18=0,Sorting!L18="Grand Total"),"",Sorting!L18)</f>
        <v>#N/A</v>
      </c>
      <c r="H17" t="e">
        <f>IF(OR(Sorting!O18=0,Sorting!O18="Grand Total"),"",Sorting!O18)</f>
        <v>#N/A</v>
      </c>
      <c r="I17" t="e">
        <f>IF(OR(Sorting!Q18=0,Sorting!Q18="Grand Total"),"",Sorting!Q18)</f>
        <v>#N/A</v>
      </c>
      <c r="J17" t="e">
        <f>IF(OR(Sorting!S18=0,Sorting!S18="Grand Total"),"",Sorting!S18)</f>
        <v>#N/A</v>
      </c>
      <c r="K17" t="e">
        <f>IF(OR(Sorting!U18=0,Sorting!U18="Grand Total"),"",Sorting!U18)</f>
        <v>#N/A</v>
      </c>
      <c r="L17" t="e">
        <f>IF(OR(Sorting!W18=0,Sorting!W18="Grand Total"),"",Sorting!W18)</f>
        <v>#N/A</v>
      </c>
      <c r="M17" t="e">
        <f>IF(OR(Sorting!Y18=0,Sorting!Y18="Grand Total"),"",Sorting!Y18)</f>
        <v>#N/A</v>
      </c>
      <c r="N17" t="e">
        <f>MIN(B17,C17,D17,E17,F17,G17,H17,I17,J17,K17,L17,M17)</f>
        <v>#N/A</v>
      </c>
      <c r="O17">
        <v>15</v>
      </c>
      <c r="P17" t="e">
        <f>IF(OR(LOG10(SUM(B$3:B17))=P16,P16=""),"",LOG10(SUM(B$3:B17)))</f>
        <v>#N/A</v>
      </c>
      <c r="Q17" t="e">
        <f>IF(OR(LOG10(SUM(C$3:C17))=Q16,Q16=""),"",LOG10(SUM(C$3:C17)))</f>
        <v>#N/A</v>
      </c>
      <c r="R17" t="e">
        <f>IF(OR(LOG10(SUM(D$3:D17))=R16,R16=""),"",LOG10(SUM(D$3:D17)))</f>
        <v>#N/A</v>
      </c>
      <c r="S17" t="e">
        <f>IF(OR(LOG10(SUM(E$3:E17))=S16,S16=""),"",LOG10(SUM(E$3:E17)))</f>
        <v>#N/A</v>
      </c>
      <c r="T17" t="e">
        <f>IF(OR(LOG10(SUM(F$3:F17))=T16,T16=""),"",LOG10(SUM(F$3:F17)))</f>
        <v>#N/A</v>
      </c>
      <c r="U17" t="e">
        <f>IF(OR(LOG10(SUM(G$3:G17))=U16,U16=""),"",LOG10(SUM(G$3:G17)))</f>
        <v>#N/A</v>
      </c>
      <c r="V17" t="e">
        <f>IF(OR(LOG10(SUM(H$3:H17))=V16,V16=""),"",LOG10(SUM(H$3:H17)))</f>
        <v>#N/A</v>
      </c>
      <c r="W17" t="e">
        <f>IF(OR(LOG10(SUM(I$3:I17))=W16,W16=""),"",LOG10(SUM(I$3:I17)))</f>
        <v>#N/A</v>
      </c>
      <c r="X17" t="e">
        <f>IF(OR(LOG10(SUM(J$3:J17))=X16,X16=""),"",LOG10(SUM(J$3:J17)))</f>
        <v>#N/A</v>
      </c>
      <c r="Y17" t="e">
        <f>IF(OR(LOG10(SUM(K$3:K17))=Y16,Y16=""),"",LOG10(SUM(K$3:K17)))</f>
        <v>#N/A</v>
      </c>
      <c r="Z17" t="e">
        <f>IF(OR(LOG10(SUM(L$3:L17))=Z16,Z16=""),"",LOG10(SUM(L$3:L17)))</f>
        <v>#N/A</v>
      </c>
      <c r="AA17" t="e">
        <f>IF(OR(LOG10(SUM(M$3:M17))=AA16,AA16=""),"",LOG10(SUM(M$3:M17)))</f>
        <v>#N/A</v>
      </c>
      <c r="AB17" t="e">
        <f>IF(OR(LOG10(SUM(N$3:N17))=AB16,AB16=""),"",LOG10(SUM(N$3:N17)))</f>
        <v>#N/A</v>
      </c>
    </row>
    <row r="18" spans="1:28" x14ac:dyDescent="0.25">
      <c r="A18">
        <v>16</v>
      </c>
      <c r="B18" t="e">
        <f>IF(OR(Sorting!B19=0,Sorting!B19="Grand Total"),"",Sorting!B19)</f>
        <v>#N/A</v>
      </c>
      <c r="C18" t="e">
        <f>IF(OR(Sorting!D19=0,Sorting!D19="Grand Total"),"",Sorting!D19)</f>
        <v>#N/A</v>
      </c>
      <c r="D18" t="e">
        <f>IF(OR(Sorting!F19=0,Sorting!F19="Grand Total"),"",Sorting!F19)</f>
        <v>#N/A</v>
      </c>
      <c r="E18" t="e">
        <f>IF(OR(Sorting!H19=0,Sorting!H19="Grand Total"),"",Sorting!H19)</f>
        <v>#N/A</v>
      </c>
      <c r="F18" t="e">
        <f>IF(OR(Sorting!J19=0,Sorting!J19="Grand Total"),"",Sorting!J19)</f>
        <v>#N/A</v>
      </c>
      <c r="G18" t="e">
        <f>IF(OR(Sorting!L19=0,Sorting!L19="Grand Total"),"",Sorting!L19)</f>
        <v>#N/A</v>
      </c>
      <c r="H18" t="e">
        <f>IF(OR(Sorting!O19=0,Sorting!O19="Grand Total"),"",Sorting!O19)</f>
        <v>#N/A</v>
      </c>
      <c r="I18" t="e">
        <f>IF(OR(Sorting!Q19=0,Sorting!Q19="Grand Total"),"",Sorting!Q19)</f>
        <v>#N/A</v>
      </c>
      <c r="J18" t="e">
        <f>IF(OR(Sorting!S19=0,Sorting!S19="Grand Total"),"",Sorting!S19)</f>
        <v>#N/A</v>
      </c>
      <c r="K18" t="e">
        <f>IF(OR(Sorting!U19=0,Sorting!U19="Grand Total"),"",Sorting!U19)</f>
        <v>#N/A</v>
      </c>
      <c r="L18" t="e">
        <f>IF(OR(Sorting!W19=0,Sorting!W19="Grand Total"),"",Sorting!W19)</f>
        <v>#N/A</v>
      </c>
      <c r="M18" t="e">
        <f>IF(OR(Sorting!Y19=0,Sorting!Y19="Grand Total"),"",Sorting!Y19)</f>
        <v>#N/A</v>
      </c>
      <c r="N18" t="e">
        <f>MIN(B18,C18,D18,E18,F18,G18,H18,I18,J18,K18,L18,M18)</f>
        <v>#N/A</v>
      </c>
      <c r="O18">
        <v>16</v>
      </c>
      <c r="P18" t="e">
        <f>IF(OR(LOG10(SUM(B$3:B18))=P17,P17=""),"",LOG10(SUM(B$3:B18)))</f>
        <v>#N/A</v>
      </c>
      <c r="Q18" t="e">
        <f>IF(OR(LOG10(SUM(C$3:C18))=Q17,Q17=""),"",LOG10(SUM(C$3:C18)))</f>
        <v>#N/A</v>
      </c>
      <c r="R18" t="e">
        <f>IF(OR(LOG10(SUM(D$3:D18))=R17,R17=""),"",LOG10(SUM(D$3:D18)))</f>
        <v>#N/A</v>
      </c>
      <c r="S18" t="e">
        <f>IF(OR(LOG10(SUM(E$3:E18))=S17,S17=""),"",LOG10(SUM(E$3:E18)))</f>
        <v>#N/A</v>
      </c>
      <c r="T18" t="e">
        <f>IF(OR(LOG10(SUM(F$3:F18))=T17,T17=""),"",LOG10(SUM(F$3:F18)))</f>
        <v>#N/A</v>
      </c>
      <c r="U18" t="e">
        <f>IF(OR(LOG10(SUM(G$3:G18))=U17,U17=""),"",LOG10(SUM(G$3:G18)))</f>
        <v>#N/A</v>
      </c>
      <c r="V18" t="e">
        <f>IF(OR(LOG10(SUM(H$3:H18))=V17,V17=""),"",LOG10(SUM(H$3:H18)))</f>
        <v>#N/A</v>
      </c>
      <c r="W18" t="e">
        <f>IF(OR(LOG10(SUM(I$3:I18))=W17,W17=""),"",LOG10(SUM(I$3:I18)))</f>
        <v>#N/A</v>
      </c>
      <c r="X18" t="e">
        <f>IF(OR(LOG10(SUM(J$3:J18))=X17,X17=""),"",LOG10(SUM(J$3:J18)))</f>
        <v>#N/A</v>
      </c>
      <c r="Y18" t="e">
        <f>IF(OR(LOG10(SUM(K$3:K18))=Y17,Y17=""),"",LOG10(SUM(K$3:K18)))</f>
        <v>#N/A</v>
      </c>
      <c r="Z18" t="e">
        <f>IF(OR(LOG10(SUM(L$3:L18))=Z17,Z17=""),"",LOG10(SUM(L$3:L18)))</f>
        <v>#N/A</v>
      </c>
      <c r="AA18" t="e">
        <f>IF(OR(LOG10(SUM(M$3:M18))=AA17,AA17=""),"",LOG10(SUM(M$3:M18)))</f>
        <v>#N/A</v>
      </c>
      <c r="AB18" t="e">
        <f>IF(OR(LOG10(SUM(N$3:N18))=AB17,AB17=""),"",LOG10(SUM(N$3:N18)))</f>
        <v>#N/A</v>
      </c>
    </row>
    <row r="19" spans="1:28" x14ac:dyDescent="0.25">
      <c r="A19">
        <v>17</v>
      </c>
      <c r="B19" t="e">
        <f>IF(OR(Sorting!B20=0,Sorting!B20="Grand Total"),"",Sorting!B20)</f>
        <v>#N/A</v>
      </c>
      <c r="C19" t="e">
        <f>IF(OR(Sorting!D20=0,Sorting!D20="Grand Total"),"",Sorting!D20)</f>
        <v>#N/A</v>
      </c>
      <c r="D19" t="e">
        <f>IF(OR(Sorting!F20=0,Sorting!F20="Grand Total"),"",Sorting!F20)</f>
        <v>#N/A</v>
      </c>
      <c r="E19" t="e">
        <f>IF(OR(Sorting!H20=0,Sorting!H20="Grand Total"),"",Sorting!H20)</f>
        <v>#N/A</v>
      </c>
      <c r="F19" t="e">
        <f>IF(OR(Sorting!J20=0,Sorting!J20="Grand Total"),"",Sorting!J20)</f>
        <v>#N/A</v>
      </c>
      <c r="G19" t="e">
        <f>IF(OR(Sorting!L20=0,Sorting!L20="Grand Total"),"",Sorting!L20)</f>
        <v>#N/A</v>
      </c>
      <c r="H19" t="e">
        <f>IF(OR(Sorting!O20=0,Sorting!O20="Grand Total"),"",Sorting!O20)</f>
        <v>#N/A</v>
      </c>
      <c r="I19" t="e">
        <f>IF(OR(Sorting!Q20=0,Sorting!Q20="Grand Total"),"",Sorting!Q20)</f>
        <v>#N/A</v>
      </c>
      <c r="J19" t="e">
        <f>IF(OR(Sorting!S20=0,Sorting!S20="Grand Total"),"",Sorting!S20)</f>
        <v>#N/A</v>
      </c>
      <c r="K19" t="e">
        <f>IF(OR(Sorting!U20=0,Sorting!U20="Grand Total"),"",Sorting!U20)</f>
        <v>#N/A</v>
      </c>
      <c r="L19" t="e">
        <f>IF(OR(Sorting!W20=0,Sorting!W20="Grand Total"),"",Sorting!W20)</f>
        <v>#N/A</v>
      </c>
      <c r="M19" t="e">
        <f>IF(OR(Sorting!Y20=0,Sorting!Y20="Grand Total"),"",Sorting!Y20)</f>
        <v>#N/A</v>
      </c>
      <c r="N19" t="e">
        <f>MIN(B19,C19,D19,E19,F19,G19,H19,I19,J19,K19,L19,M19)</f>
        <v>#N/A</v>
      </c>
      <c r="O19">
        <v>17</v>
      </c>
      <c r="P19" t="e">
        <f>IF(OR(LOG10(SUM(B$3:B19))=P18,P18=""),"",LOG10(SUM(B$3:B19)))</f>
        <v>#N/A</v>
      </c>
      <c r="Q19" t="e">
        <f>IF(OR(LOG10(SUM(C$3:C19))=Q18,Q18=""),"",LOG10(SUM(C$3:C19)))</f>
        <v>#N/A</v>
      </c>
      <c r="R19" t="e">
        <f>IF(OR(LOG10(SUM(D$3:D19))=R18,R18=""),"",LOG10(SUM(D$3:D19)))</f>
        <v>#N/A</v>
      </c>
      <c r="S19" t="e">
        <f>IF(OR(LOG10(SUM(E$3:E19))=S18,S18=""),"",LOG10(SUM(E$3:E19)))</f>
        <v>#N/A</v>
      </c>
      <c r="T19" t="e">
        <f>IF(OR(LOG10(SUM(F$3:F19))=T18,T18=""),"",LOG10(SUM(F$3:F19)))</f>
        <v>#N/A</v>
      </c>
      <c r="U19" t="e">
        <f>IF(OR(LOG10(SUM(G$3:G19))=U18,U18=""),"",LOG10(SUM(G$3:G19)))</f>
        <v>#N/A</v>
      </c>
      <c r="V19" t="e">
        <f>IF(OR(LOG10(SUM(H$3:H19))=V18,V18=""),"",LOG10(SUM(H$3:H19)))</f>
        <v>#N/A</v>
      </c>
      <c r="W19" t="e">
        <f>IF(OR(LOG10(SUM(I$3:I19))=W18,W18=""),"",LOG10(SUM(I$3:I19)))</f>
        <v>#N/A</v>
      </c>
      <c r="X19" t="e">
        <f>IF(OR(LOG10(SUM(J$3:J19))=X18,X18=""),"",LOG10(SUM(J$3:J19)))</f>
        <v>#N/A</v>
      </c>
      <c r="Y19" t="e">
        <f>IF(OR(LOG10(SUM(K$3:K19))=Y18,Y18=""),"",LOG10(SUM(K$3:K19)))</f>
        <v>#N/A</v>
      </c>
      <c r="Z19" t="e">
        <f>IF(OR(LOG10(SUM(L$3:L19))=Z18,Z18=""),"",LOG10(SUM(L$3:L19)))</f>
        <v>#N/A</v>
      </c>
      <c r="AA19" t="e">
        <f>IF(OR(LOG10(SUM(M$3:M19))=AA18,AA18=""),"",LOG10(SUM(M$3:M19)))</f>
        <v>#N/A</v>
      </c>
      <c r="AB19" t="e">
        <f>IF(OR(LOG10(SUM(N$3:N19))=AB18,AB18=""),"",LOG10(SUM(N$3:N19)))</f>
        <v>#N/A</v>
      </c>
    </row>
    <row r="20" spans="1:28" x14ac:dyDescent="0.25">
      <c r="A20">
        <v>18</v>
      </c>
      <c r="B20" t="e">
        <f>IF(OR(Sorting!B21=0,Sorting!B21="Grand Total"),"",Sorting!B21)</f>
        <v>#N/A</v>
      </c>
      <c r="C20" t="e">
        <f>IF(OR(Sorting!D21=0,Sorting!D21="Grand Total"),"",Sorting!D21)</f>
        <v>#N/A</v>
      </c>
      <c r="D20" t="e">
        <f>IF(OR(Sorting!F21=0,Sorting!F21="Grand Total"),"",Sorting!F21)</f>
        <v>#N/A</v>
      </c>
      <c r="E20" t="e">
        <f>IF(OR(Sorting!H21=0,Sorting!H21="Grand Total"),"",Sorting!H21)</f>
        <v>#N/A</v>
      </c>
      <c r="F20" t="e">
        <f>IF(OR(Sorting!J21=0,Sorting!J21="Grand Total"),"",Sorting!J21)</f>
        <v>#N/A</v>
      </c>
      <c r="G20" t="e">
        <f>IF(OR(Sorting!L21=0,Sorting!L21="Grand Total"),"",Sorting!L21)</f>
        <v>#N/A</v>
      </c>
      <c r="H20" t="e">
        <f>IF(OR(Sorting!O21=0,Sorting!O21="Grand Total"),"",Sorting!O21)</f>
        <v>#N/A</v>
      </c>
      <c r="I20" t="e">
        <f>IF(OR(Sorting!Q21=0,Sorting!Q21="Grand Total"),"",Sorting!Q21)</f>
        <v>#N/A</v>
      </c>
      <c r="J20" t="e">
        <f>IF(OR(Sorting!S21=0,Sorting!S21="Grand Total"),"",Sorting!S21)</f>
        <v>#N/A</v>
      </c>
      <c r="K20" t="e">
        <f>IF(OR(Sorting!U21=0,Sorting!U21="Grand Total"),"",Sorting!U21)</f>
        <v>#N/A</v>
      </c>
      <c r="L20" t="e">
        <f>IF(OR(Sorting!W21=0,Sorting!W21="Grand Total"),"",Sorting!W21)</f>
        <v>#N/A</v>
      </c>
      <c r="M20" t="e">
        <f>IF(OR(Sorting!Y21=0,Sorting!Y21="Grand Total"),"",Sorting!Y21)</f>
        <v>#N/A</v>
      </c>
      <c r="N20" t="e">
        <f>MIN(B20,C20,D20,E20,F20,G20,H20,I20,J20,K20,L20,M20)</f>
        <v>#N/A</v>
      </c>
      <c r="O20">
        <v>18</v>
      </c>
      <c r="P20" t="e">
        <f>IF(OR(LOG10(SUM(B$3:B20))=P19,P19=""),"",LOG10(SUM(B$3:B20)))</f>
        <v>#N/A</v>
      </c>
      <c r="Q20" t="e">
        <f>IF(OR(LOG10(SUM(C$3:C20))=Q19,Q19=""),"",LOG10(SUM(C$3:C20)))</f>
        <v>#N/A</v>
      </c>
      <c r="R20" t="e">
        <f>IF(OR(LOG10(SUM(D$3:D20))=R19,R19=""),"",LOG10(SUM(D$3:D20)))</f>
        <v>#N/A</v>
      </c>
      <c r="S20" t="e">
        <f>IF(OR(LOG10(SUM(E$3:E20))=S19,S19=""),"",LOG10(SUM(E$3:E20)))</f>
        <v>#N/A</v>
      </c>
      <c r="T20" t="e">
        <f>IF(OR(LOG10(SUM(F$3:F20))=T19,T19=""),"",LOG10(SUM(F$3:F20)))</f>
        <v>#N/A</v>
      </c>
      <c r="U20" t="e">
        <f>IF(OR(LOG10(SUM(G$3:G20))=U19,U19=""),"",LOG10(SUM(G$3:G20)))</f>
        <v>#N/A</v>
      </c>
      <c r="V20" t="e">
        <f>IF(OR(LOG10(SUM(H$3:H20))=V19,V19=""),"",LOG10(SUM(H$3:H20)))</f>
        <v>#N/A</v>
      </c>
      <c r="W20" t="e">
        <f>IF(OR(LOG10(SUM(I$3:I20))=W19,W19=""),"",LOG10(SUM(I$3:I20)))</f>
        <v>#N/A</v>
      </c>
      <c r="X20" t="e">
        <f>IF(OR(LOG10(SUM(J$3:J20))=X19,X19=""),"",LOG10(SUM(J$3:J20)))</f>
        <v>#N/A</v>
      </c>
      <c r="Y20" t="e">
        <f>IF(OR(LOG10(SUM(K$3:K20))=Y19,Y19=""),"",LOG10(SUM(K$3:K20)))</f>
        <v>#N/A</v>
      </c>
      <c r="Z20" t="e">
        <f>IF(OR(LOG10(SUM(L$3:L20))=Z19,Z19=""),"",LOG10(SUM(L$3:L20)))</f>
        <v>#N/A</v>
      </c>
      <c r="AA20" t="e">
        <f>IF(OR(LOG10(SUM(M$3:M20))=AA19,AA19=""),"",LOG10(SUM(M$3:M20)))</f>
        <v>#N/A</v>
      </c>
      <c r="AB20" t="e">
        <f>IF(OR(LOG10(SUM(N$3:N20))=AB19,AB19=""),"",LOG10(SUM(N$3:N20)))</f>
        <v>#N/A</v>
      </c>
    </row>
    <row r="21" spans="1:28" x14ac:dyDescent="0.25">
      <c r="A21">
        <v>19</v>
      </c>
      <c r="B21" t="e">
        <f>IF(OR(Sorting!B22=0,Sorting!B22="Grand Total"),"",Sorting!B22)</f>
        <v>#N/A</v>
      </c>
      <c r="C21" t="e">
        <f>IF(OR(Sorting!D22=0,Sorting!D22="Grand Total"),"",Sorting!D22)</f>
        <v>#N/A</v>
      </c>
      <c r="D21" t="e">
        <f>IF(OR(Sorting!F22=0,Sorting!F22="Grand Total"),"",Sorting!F22)</f>
        <v>#N/A</v>
      </c>
      <c r="E21" t="e">
        <f>IF(OR(Sorting!H22=0,Sorting!H22="Grand Total"),"",Sorting!H22)</f>
        <v>#N/A</v>
      </c>
      <c r="F21" t="e">
        <f>IF(OR(Sorting!J22=0,Sorting!J22="Grand Total"),"",Sorting!J22)</f>
        <v>#N/A</v>
      </c>
      <c r="G21" t="e">
        <f>IF(OR(Sorting!L22=0,Sorting!L22="Grand Total"),"",Sorting!L22)</f>
        <v>#N/A</v>
      </c>
      <c r="H21" t="e">
        <f>IF(OR(Sorting!O22=0,Sorting!O22="Grand Total"),"",Sorting!O22)</f>
        <v>#N/A</v>
      </c>
      <c r="I21" t="e">
        <f>IF(OR(Sorting!Q22=0,Sorting!Q22="Grand Total"),"",Sorting!Q22)</f>
        <v>#N/A</v>
      </c>
      <c r="J21" t="e">
        <f>IF(OR(Sorting!S22=0,Sorting!S22="Grand Total"),"",Sorting!S22)</f>
        <v>#N/A</v>
      </c>
      <c r="K21" t="e">
        <f>IF(OR(Sorting!U22=0,Sorting!U22="Grand Total"),"",Sorting!U22)</f>
        <v>#N/A</v>
      </c>
      <c r="L21" t="e">
        <f>IF(OR(Sorting!W22=0,Sorting!W22="Grand Total"),"",Sorting!W22)</f>
        <v>#N/A</v>
      </c>
      <c r="M21" t="e">
        <f>IF(OR(Sorting!Y22=0,Sorting!Y22="Grand Total"),"",Sorting!Y22)</f>
        <v>#N/A</v>
      </c>
      <c r="N21" t="e">
        <f>MIN(B21,C21,D21,E21,F21,G21,H21,I21,J21,K21,L21,M21)</f>
        <v>#N/A</v>
      </c>
      <c r="O21">
        <v>19</v>
      </c>
      <c r="P21" t="e">
        <f>IF(OR(LOG10(SUM(B$3:B21))=P20,P20=""),"",LOG10(SUM(B$3:B21)))</f>
        <v>#N/A</v>
      </c>
      <c r="Q21" t="e">
        <f>IF(OR(LOG10(SUM(C$3:C21))=Q20,Q20=""),"",LOG10(SUM(C$3:C21)))</f>
        <v>#N/A</v>
      </c>
      <c r="R21" t="e">
        <f>IF(OR(LOG10(SUM(D$3:D21))=R20,R20=""),"",LOG10(SUM(D$3:D21)))</f>
        <v>#N/A</v>
      </c>
      <c r="S21" t="e">
        <f>IF(OR(LOG10(SUM(E$3:E21))=S20,S20=""),"",LOG10(SUM(E$3:E21)))</f>
        <v>#N/A</v>
      </c>
      <c r="T21" t="e">
        <f>IF(OR(LOG10(SUM(F$3:F21))=T20,T20=""),"",LOG10(SUM(F$3:F21)))</f>
        <v>#N/A</v>
      </c>
      <c r="U21" t="e">
        <f>IF(OR(LOG10(SUM(G$3:G21))=U20,U20=""),"",LOG10(SUM(G$3:G21)))</f>
        <v>#N/A</v>
      </c>
      <c r="V21" t="e">
        <f>IF(OR(LOG10(SUM(H$3:H21))=V20,V20=""),"",LOG10(SUM(H$3:H21)))</f>
        <v>#N/A</v>
      </c>
      <c r="W21" t="e">
        <f>IF(OR(LOG10(SUM(I$3:I21))=W20,W20=""),"",LOG10(SUM(I$3:I21)))</f>
        <v>#N/A</v>
      </c>
      <c r="X21" t="e">
        <f>IF(OR(LOG10(SUM(J$3:J21))=X20,X20=""),"",LOG10(SUM(J$3:J21)))</f>
        <v>#N/A</v>
      </c>
      <c r="Y21" t="e">
        <f>IF(OR(LOG10(SUM(K$3:K21))=Y20,Y20=""),"",LOG10(SUM(K$3:K21)))</f>
        <v>#N/A</v>
      </c>
      <c r="Z21" t="e">
        <f>IF(OR(LOG10(SUM(L$3:L21))=Z20,Z20=""),"",LOG10(SUM(L$3:L21)))</f>
        <v>#N/A</v>
      </c>
      <c r="AA21" t="e">
        <f>IF(OR(LOG10(SUM(M$3:M21))=AA20,AA20=""),"",LOG10(SUM(M$3:M21)))</f>
        <v>#N/A</v>
      </c>
      <c r="AB21" t="e">
        <f>IF(OR(LOG10(SUM(N$3:N21))=AB20,AB20=""),"",LOG10(SUM(N$3:N21)))</f>
        <v>#N/A</v>
      </c>
    </row>
    <row r="22" spans="1:28" x14ac:dyDescent="0.25">
      <c r="A22">
        <v>20</v>
      </c>
      <c r="B22" t="e">
        <f>IF(OR(Sorting!B23=0,Sorting!B23="Grand Total"),"",Sorting!B23)</f>
        <v>#N/A</v>
      </c>
      <c r="C22" t="e">
        <f>IF(OR(Sorting!D23=0,Sorting!D23="Grand Total"),"",Sorting!D23)</f>
        <v>#N/A</v>
      </c>
      <c r="D22" t="e">
        <f>IF(OR(Sorting!F23=0,Sorting!F23="Grand Total"),"",Sorting!F23)</f>
        <v>#N/A</v>
      </c>
      <c r="E22" t="e">
        <f>IF(OR(Sorting!H23=0,Sorting!H23="Grand Total"),"",Sorting!H23)</f>
        <v>#N/A</v>
      </c>
      <c r="F22" t="e">
        <f>IF(OR(Sorting!J23=0,Sorting!J23="Grand Total"),"",Sorting!J23)</f>
        <v>#N/A</v>
      </c>
      <c r="G22" t="e">
        <f>IF(OR(Sorting!L23=0,Sorting!L23="Grand Total"),"",Sorting!L23)</f>
        <v>#N/A</v>
      </c>
      <c r="H22" t="e">
        <f>IF(OR(Sorting!O23=0,Sorting!O23="Grand Total"),"",Sorting!O23)</f>
        <v>#N/A</v>
      </c>
      <c r="I22" t="e">
        <f>IF(OR(Sorting!Q23=0,Sorting!Q23="Grand Total"),"",Sorting!Q23)</f>
        <v>#N/A</v>
      </c>
      <c r="J22" t="e">
        <f>IF(OR(Sorting!S23=0,Sorting!S23="Grand Total"),"",Sorting!S23)</f>
        <v>#N/A</v>
      </c>
      <c r="K22" t="e">
        <f>IF(OR(Sorting!U23=0,Sorting!U23="Grand Total"),"",Sorting!U23)</f>
        <v>#N/A</v>
      </c>
      <c r="L22" t="e">
        <f>IF(OR(Sorting!W23=0,Sorting!W23="Grand Total"),"",Sorting!W23)</f>
        <v>#N/A</v>
      </c>
      <c r="M22" t="e">
        <f>IF(OR(Sorting!Y23=0,Sorting!Y23="Grand Total"),"",Sorting!Y23)</f>
        <v>#N/A</v>
      </c>
      <c r="N22" t="e">
        <f>MIN(B22,C22,D22,E22,F22,G22,H22,I22,J22,K22,L22,M22)</f>
        <v>#N/A</v>
      </c>
      <c r="O22">
        <v>20</v>
      </c>
      <c r="P22" t="e">
        <f>IF(OR(LOG10(SUM(B$3:B22))=P21,P21=""),"",LOG10(SUM(B$3:B22)))</f>
        <v>#N/A</v>
      </c>
      <c r="Q22" t="e">
        <f>IF(OR(LOG10(SUM(C$3:C22))=Q21,Q21=""),"",LOG10(SUM(C$3:C22)))</f>
        <v>#N/A</v>
      </c>
      <c r="R22" t="e">
        <f>IF(OR(LOG10(SUM(D$3:D22))=R21,R21=""),"",LOG10(SUM(D$3:D22)))</f>
        <v>#N/A</v>
      </c>
      <c r="S22" t="e">
        <f>IF(OR(LOG10(SUM(E$3:E22))=S21,S21=""),"",LOG10(SUM(E$3:E22)))</f>
        <v>#N/A</v>
      </c>
      <c r="T22" t="e">
        <f>IF(OR(LOG10(SUM(F$3:F22))=T21,T21=""),"",LOG10(SUM(F$3:F22)))</f>
        <v>#N/A</v>
      </c>
      <c r="U22" t="e">
        <f>IF(OR(LOG10(SUM(G$3:G22))=U21,U21=""),"",LOG10(SUM(G$3:G22)))</f>
        <v>#N/A</v>
      </c>
      <c r="V22" t="e">
        <f>IF(OR(LOG10(SUM(H$3:H22))=V21,V21=""),"",LOG10(SUM(H$3:H22)))</f>
        <v>#N/A</v>
      </c>
      <c r="W22" t="e">
        <f>IF(OR(LOG10(SUM(I$3:I22))=W21,W21=""),"",LOG10(SUM(I$3:I22)))</f>
        <v>#N/A</v>
      </c>
      <c r="X22" t="e">
        <f>IF(OR(LOG10(SUM(J$3:J22))=X21,X21=""),"",LOG10(SUM(J$3:J22)))</f>
        <v>#N/A</v>
      </c>
      <c r="Y22" t="e">
        <f>IF(OR(LOG10(SUM(K$3:K22))=Y21,Y21=""),"",LOG10(SUM(K$3:K22)))</f>
        <v>#N/A</v>
      </c>
      <c r="Z22" t="e">
        <f>IF(OR(LOG10(SUM(L$3:L22))=Z21,Z21=""),"",LOG10(SUM(L$3:L22)))</f>
        <v>#N/A</v>
      </c>
      <c r="AA22" t="e">
        <f>IF(OR(LOG10(SUM(M$3:M22))=AA21,AA21=""),"",LOG10(SUM(M$3:M22)))</f>
        <v>#N/A</v>
      </c>
      <c r="AB22" t="e">
        <f>IF(OR(LOG10(SUM(N$3:N22))=AB21,AB21=""),"",LOG10(SUM(N$3:N22)))</f>
        <v>#N/A</v>
      </c>
    </row>
    <row r="23" spans="1:28" x14ac:dyDescent="0.25">
      <c r="A23">
        <v>21</v>
      </c>
      <c r="B23" t="e">
        <f>IF(OR(Sorting!B24=0,Sorting!B24="Grand Total"),"",Sorting!B24)</f>
        <v>#N/A</v>
      </c>
      <c r="C23" t="e">
        <f>IF(OR(Sorting!D24=0,Sorting!D24="Grand Total"),"",Sorting!D24)</f>
        <v>#N/A</v>
      </c>
      <c r="D23" t="e">
        <f>IF(OR(Sorting!F24=0,Sorting!F24="Grand Total"),"",Sorting!F24)</f>
        <v>#N/A</v>
      </c>
      <c r="E23" t="e">
        <f>IF(OR(Sorting!H24=0,Sorting!H24="Grand Total"),"",Sorting!H24)</f>
        <v>#N/A</v>
      </c>
      <c r="F23" t="e">
        <f>IF(OR(Sorting!J24=0,Sorting!J24="Grand Total"),"",Sorting!J24)</f>
        <v>#N/A</v>
      </c>
      <c r="G23" t="e">
        <f>IF(OR(Sorting!L24=0,Sorting!L24="Grand Total"),"",Sorting!L24)</f>
        <v>#N/A</v>
      </c>
      <c r="H23" t="e">
        <f>IF(OR(Sorting!O24=0,Sorting!O24="Grand Total"),"",Sorting!O24)</f>
        <v>#N/A</v>
      </c>
      <c r="I23" t="e">
        <f>IF(OR(Sorting!Q24=0,Sorting!Q24="Grand Total"),"",Sorting!Q24)</f>
        <v>#N/A</v>
      </c>
      <c r="J23" t="e">
        <f>IF(OR(Sorting!S24=0,Sorting!S24="Grand Total"),"",Sorting!S24)</f>
        <v>#N/A</v>
      </c>
      <c r="K23" t="e">
        <f>IF(OR(Sorting!U24=0,Sorting!U24="Grand Total"),"",Sorting!U24)</f>
        <v>#N/A</v>
      </c>
      <c r="L23" t="e">
        <f>IF(OR(Sorting!W24=0,Sorting!W24="Grand Total"),"",Sorting!W24)</f>
        <v>#N/A</v>
      </c>
      <c r="M23" t="e">
        <f>IF(OR(Sorting!Y24=0,Sorting!Y24="Grand Total"),"",Sorting!Y24)</f>
        <v>#N/A</v>
      </c>
      <c r="N23" t="e">
        <f>MIN(B23,C23,D23,E23,F23,G23,H23,I23,J23,K23,L23,M23)</f>
        <v>#N/A</v>
      </c>
      <c r="O23">
        <v>21</v>
      </c>
      <c r="P23" t="e">
        <f>IF(OR(LOG10(SUM(B$3:B23))=P22,P22=""),"",LOG10(SUM(B$3:B23)))</f>
        <v>#N/A</v>
      </c>
      <c r="Q23" t="e">
        <f>IF(OR(LOG10(SUM(C$3:C23))=Q22,Q22=""),"",LOG10(SUM(C$3:C23)))</f>
        <v>#N/A</v>
      </c>
      <c r="R23" t="e">
        <f>IF(OR(LOG10(SUM(D$3:D23))=R22,R22=""),"",LOG10(SUM(D$3:D23)))</f>
        <v>#N/A</v>
      </c>
      <c r="S23" t="e">
        <f>IF(OR(LOG10(SUM(E$3:E23))=S22,S22=""),"",LOG10(SUM(E$3:E23)))</f>
        <v>#N/A</v>
      </c>
      <c r="T23" t="e">
        <f>IF(OR(LOG10(SUM(F$3:F23))=T22,T22=""),"",LOG10(SUM(F$3:F23)))</f>
        <v>#N/A</v>
      </c>
      <c r="U23" t="e">
        <f>IF(OR(LOG10(SUM(G$3:G23))=U22,U22=""),"",LOG10(SUM(G$3:G23)))</f>
        <v>#N/A</v>
      </c>
      <c r="V23" t="e">
        <f>IF(OR(LOG10(SUM(H$3:H23))=V22,V22=""),"",LOG10(SUM(H$3:H23)))</f>
        <v>#N/A</v>
      </c>
      <c r="W23" t="e">
        <f>IF(OR(LOG10(SUM(I$3:I23))=W22,W22=""),"",LOG10(SUM(I$3:I23)))</f>
        <v>#N/A</v>
      </c>
      <c r="X23" t="e">
        <f>IF(OR(LOG10(SUM(J$3:J23))=X22,X22=""),"",LOG10(SUM(J$3:J23)))</f>
        <v>#N/A</v>
      </c>
      <c r="Y23" t="e">
        <f>IF(OR(LOG10(SUM(K$3:K23))=Y22,Y22=""),"",LOG10(SUM(K$3:K23)))</f>
        <v>#N/A</v>
      </c>
      <c r="Z23" t="e">
        <f>IF(OR(LOG10(SUM(L$3:L23))=Z22,Z22=""),"",LOG10(SUM(L$3:L23)))</f>
        <v>#N/A</v>
      </c>
      <c r="AA23" t="e">
        <f>IF(OR(LOG10(SUM(M$3:M23))=AA22,AA22=""),"",LOG10(SUM(M$3:M23)))</f>
        <v>#N/A</v>
      </c>
      <c r="AB23" t="e">
        <f>IF(OR(LOG10(SUM(N$3:N23))=AB22,AB22=""),"",LOG10(SUM(N$3:N23)))</f>
        <v>#N/A</v>
      </c>
    </row>
    <row r="24" spans="1:28" x14ac:dyDescent="0.25">
      <c r="A24">
        <v>22</v>
      </c>
      <c r="B24" t="e">
        <f>IF(OR(Sorting!B25=0,Sorting!B25="Grand Total"),"",Sorting!B25)</f>
        <v>#N/A</v>
      </c>
      <c r="C24" t="e">
        <f>IF(OR(Sorting!D25=0,Sorting!D25="Grand Total"),"",Sorting!D25)</f>
        <v>#N/A</v>
      </c>
      <c r="D24" t="e">
        <f>IF(OR(Sorting!F25=0,Sorting!F25="Grand Total"),"",Sorting!F25)</f>
        <v>#N/A</v>
      </c>
      <c r="E24" t="e">
        <f>IF(OR(Sorting!H25=0,Sorting!H25="Grand Total"),"",Sorting!H25)</f>
        <v>#N/A</v>
      </c>
      <c r="F24" t="e">
        <f>IF(OR(Sorting!J25=0,Sorting!J25="Grand Total"),"",Sorting!J25)</f>
        <v>#N/A</v>
      </c>
      <c r="G24" t="e">
        <f>IF(OR(Sorting!L25=0,Sorting!L25="Grand Total"),"",Sorting!L25)</f>
        <v>#N/A</v>
      </c>
      <c r="H24" t="e">
        <f>IF(OR(Sorting!O25=0,Sorting!O25="Grand Total"),"",Sorting!O25)</f>
        <v>#N/A</v>
      </c>
      <c r="I24" t="e">
        <f>IF(OR(Sorting!Q25=0,Sorting!Q25="Grand Total"),"",Sorting!Q25)</f>
        <v>#N/A</v>
      </c>
      <c r="J24" t="e">
        <f>IF(OR(Sorting!S25=0,Sorting!S25="Grand Total"),"",Sorting!S25)</f>
        <v>#N/A</v>
      </c>
      <c r="K24" t="e">
        <f>IF(OR(Sorting!U25=0,Sorting!U25="Grand Total"),"",Sorting!U25)</f>
        <v>#N/A</v>
      </c>
      <c r="L24" t="e">
        <f>IF(OR(Sorting!W25=0,Sorting!W25="Grand Total"),"",Sorting!W25)</f>
        <v>#N/A</v>
      </c>
      <c r="M24" t="e">
        <f>IF(OR(Sorting!Y25=0,Sorting!Y25="Grand Total"),"",Sorting!Y25)</f>
        <v>#N/A</v>
      </c>
      <c r="N24" t="e">
        <f>MIN(B24,C24,D24,E24,F24,G24,H24,I24,J24,K24,L24,M24)</f>
        <v>#N/A</v>
      </c>
      <c r="O24">
        <v>22</v>
      </c>
      <c r="P24" t="e">
        <f>IF(OR(LOG10(SUM(B$3:B24))=P23,P23=""),"",LOG10(SUM(B$3:B24)))</f>
        <v>#N/A</v>
      </c>
      <c r="Q24" t="e">
        <f>IF(OR(LOG10(SUM(C$3:C24))=Q23,Q23=""),"",LOG10(SUM(C$3:C24)))</f>
        <v>#N/A</v>
      </c>
      <c r="R24" t="e">
        <f>IF(OR(LOG10(SUM(D$3:D24))=R23,R23=""),"",LOG10(SUM(D$3:D24)))</f>
        <v>#N/A</v>
      </c>
      <c r="S24" t="e">
        <f>IF(OR(LOG10(SUM(E$3:E24))=S23,S23=""),"",LOG10(SUM(E$3:E24)))</f>
        <v>#N/A</v>
      </c>
      <c r="T24" t="e">
        <f>IF(OR(LOG10(SUM(F$3:F24))=T23,T23=""),"",LOG10(SUM(F$3:F24)))</f>
        <v>#N/A</v>
      </c>
      <c r="U24" t="e">
        <f>IF(OR(LOG10(SUM(G$3:G24))=U23,U23=""),"",LOG10(SUM(G$3:G24)))</f>
        <v>#N/A</v>
      </c>
      <c r="V24" t="e">
        <f>IF(OR(LOG10(SUM(H$3:H24))=V23,V23=""),"",LOG10(SUM(H$3:H24)))</f>
        <v>#N/A</v>
      </c>
      <c r="W24" t="e">
        <f>IF(OR(LOG10(SUM(I$3:I24))=W23,W23=""),"",LOG10(SUM(I$3:I24)))</f>
        <v>#N/A</v>
      </c>
      <c r="X24" t="e">
        <f>IF(OR(LOG10(SUM(J$3:J24))=X23,X23=""),"",LOG10(SUM(J$3:J24)))</f>
        <v>#N/A</v>
      </c>
      <c r="Y24" t="e">
        <f>IF(OR(LOG10(SUM(K$3:K24))=Y23,Y23=""),"",LOG10(SUM(K$3:K24)))</f>
        <v>#N/A</v>
      </c>
      <c r="Z24" t="e">
        <f>IF(OR(LOG10(SUM(L$3:L24))=Z23,Z23=""),"",LOG10(SUM(L$3:L24)))</f>
        <v>#N/A</v>
      </c>
      <c r="AA24" t="e">
        <f>IF(OR(LOG10(SUM(M$3:M24))=AA23,AA23=""),"",LOG10(SUM(M$3:M24)))</f>
        <v>#N/A</v>
      </c>
      <c r="AB24" t="e">
        <f>IF(OR(LOG10(SUM(N$3:N24))=AB23,AB23=""),"",LOG10(SUM(N$3:N24)))</f>
        <v>#N/A</v>
      </c>
    </row>
    <row r="25" spans="1:28" x14ac:dyDescent="0.25">
      <c r="A25">
        <v>23</v>
      </c>
      <c r="B25" t="e">
        <f>IF(OR(Sorting!B26=0,Sorting!B26="Grand Total"),"",Sorting!B26)</f>
        <v>#N/A</v>
      </c>
      <c r="C25" t="e">
        <f>IF(OR(Sorting!D26=0,Sorting!D26="Grand Total"),"",Sorting!D26)</f>
        <v>#N/A</v>
      </c>
      <c r="D25" t="e">
        <f>IF(OR(Sorting!F26=0,Sorting!F26="Grand Total"),"",Sorting!F26)</f>
        <v>#N/A</v>
      </c>
      <c r="E25" t="e">
        <f>IF(OR(Sorting!H26=0,Sorting!H26="Grand Total"),"",Sorting!H26)</f>
        <v>#N/A</v>
      </c>
      <c r="F25" t="e">
        <f>IF(OR(Sorting!J26=0,Sorting!J26="Grand Total"),"",Sorting!J26)</f>
        <v>#N/A</v>
      </c>
      <c r="G25" t="e">
        <f>IF(OR(Sorting!L26=0,Sorting!L26="Grand Total"),"",Sorting!L26)</f>
        <v>#N/A</v>
      </c>
      <c r="H25" t="e">
        <f>IF(OR(Sorting!O26=0,Sorting!O26="Grand Total"),"",Sorting!O26)</f>
        <v>#N/A</v>
      </c>
      <c r="I25" t="e">
        <f>IF(OR(Sorting!Q26=0,Sorting!Q26="Grand Total"),"",Sorting!Q26)</f>
        <v>#N/A</v>
      </c>
      <c r="J25" t="e">
        <f>IF(OR(Sorting!S26=0,Sorting!S26="Grand Total"),"",Sorting!S26)</f>
        <v>#N/A</v>
      </c>
      <c r="K25" t="e">
        <f>IF(OR(Sorting!U26=0,Sorting!U26="Grand Total"),"",Sorting!U26)</f>
        <v>#N/A</v>
      </c>
      <c r="L25" t="e">
        <f>IF(OR(Sorting!W26=0,Sorting!W26="Grand Total"),"",Sorting!W26)</f>
        <v>#N/A</v>
      </c>
      <c r="M25" t="e">
        <f>IF(OR(Sorting!Y26=0,Sorting!Y26="Grand Total"),"",Sorting!Y26)</f>
        <v>#N/A</v>
      </c>
      <c r="N25" t="e">
        <f>MIN(B25,C25,D25,E25,F25,G25,H25,I25,J25,K25,L25,M25)</f>
        <v>#N/A</v>
      </c>
      <c r="O25">
        <v>23</v>
      </c>
      <c r="P25" t="e">
        <f>IF(OR(LOG10(SUM(B$3:B25))=P24,P24=""),"",LOG10(SUM(B$3:B25)))</f>
        <v>#N/A</v>
      </c>
      <c r="Q25" t="e">
        <f>IF(OR(LOG10(SUM(C$3:C25))=Q24,Q24=""),"",LOG10(SUM(C$3:C25)))</f>
        <v>#N/A</v>
      </c>
      <c r="R25" t="e">
        <f>IF(OR(LOG10(SUM(D$3:D25))=R24,R24=""),"",LOG10(SUM(D$3:D25)))</f>
        <v>#N/A</v>
      </c>
      <c r="S25" t="e">
        <f>IF(OR(LOG10(SUM(E$3:E25))=S24,S24=""),"",LOG10(SUM(E$3:E25)))</f>
        <v>#N/A</v>
      </c>
      <c r="T25" t="e">
        <f>IF(OR(LOG10(SUM(F$3:F25))=T24,T24=""),"",LOG10(SUM(F$3:F25)))</f>
        <v>#N/A</v>
      </c>
      <c r="U25" t="e">
        <f>IF(OR(LOG10(SUM(G$3:G25))=U24,U24=""),"",LOG10(SUM(G$3:G25)))</f>
        <v>#N/A</v>
      </c>
      <c r="V25" t="e">
        <f>IF(OR(LOG10(SUM(H$3:H25))=V24,V24=""),"",LOG10(SUM(H$3:H25)))</f>
        <v>#N/A</v>
      </c>
      <c r="W25" t="e">
        <f>IF(OR(LOG10(SUM(I$3:I25))=W24,W24=""),"",LOG10(SUM(I$3:I25)))</f>
        <v>#N/A</v>
      </c>
      <c r="X25" t="e">
        <f>IF(OR(LOG10(SUM(J$3:J25))=X24,X24=""),"",LOG10(SUM(J$3:J25)))</f>
        <v>#N/A</v>
      </c>
      <c r="Y25" t="e">
        <f>IF(OR(LOG10(SUM(K$3:K25))=Y24,Y24=""),"",LOG10(SUM(K$3:K25)))</f>
        <v>#N/A</v>
      </c>
      <c r="Z25" t="e">
        <f>IF(OR(LOG10(SUM(L$3:L25))=Z24,Z24=""),"",LOG10(SUM(L$3:L25)))</f>
        <v>#N/A</v>
      </c>
      <c r="AA25" t="e">
        <f>IF(OR(LOG10(SUM(M$3:M25))=AA24,AA24=""),"",LOG10(SUM(M$3:M25)))</f>
        <v>#N/A</v>
      </c>
      <c r="AB25" t="e">
        <f>IF(OR(LOG10(SUM(N$3:N25))=AB24,AB24=""),"",LOG10(SUM(N$3:N25)))</f>
        <v>#N/A</v>
      </c>
    </row>
    <row r="26" spans="1:28" x14ac:dyDescent="0.25">
      <c r="A26">
        <v>24</v>
      </c>
      <c r="B26" t="e">
        <f>IF(OR(Sorting!B27=0,Sorting!B27="Grand Total"),"",Sorting!B27)</f>
        <v>#N/A</v>
      </c>
      <c r="C26" t="e">
        <f>IF(OR(Sorting!D27=0,Sorting!D27="Grand Total"),"",Sorting!D27)</f>
        <v>#N/A</v>
      </c>
      <c r="D26" t="e">
        <f>IF(OR(Sorting!F27=0,Sorting!F27="Grand Total"),"",Sorting!F27)</f>
        <v>#N/A</v>
      </c>
      <c r="E26" t="e">
        <f>IF(OR(Sorting!H27=0,Sorting!H27="Grand Total"),"",Sorting!H27)</f>
        <v>#N/A</v>
      </c>
      <c r="F26" t="e">
        <f>IF(OR(Sorting!J27=0,Sorting!J27="Grand Total"),"",Sorting!J27)</f>
        <v>#N/A</v>
      </c>
      <c r="G26" t="e">
        <f>IF(OR(Sorting!L27=0,Sorting!L27="Grand Total"),"",Sorting!L27)</f>
        <v>#N/A</v>
      </c>
      <c r="H26" t="e">
        <f>IF(OR(Sorting!O27=0,Sorting!O27="Grand Total"),"",Sorting!O27)</f>
        <v>#N/A</v>
      </c>
      <c r="I26" t="e">
        <f>IF(OR(Sorting!Q27=0,Sorting!Q27="Grand Total"),"",Sorting!Q27)</f>
        <v>#N/A</v>
      </c>
      <c r="J26" t="e">
        <f>IF(OR(Sorting!S27=0,Sorting!S27="Grand Total"),"",Sorting!S27)</f>
        <v>#N/A</v>
      </c>
      <c r="K26" t="e">
        <f>IF(OR(Sorting!U27=0,Sorting!U27="Grand Total"),"",Sorting!U27)</f>
        <v>#N/A</v>
      </c>
      <c r="L26" t="e">
        <f>IF(OR(Sorting!W27=0,Sorting!W27="Grand Total"),"",Sorting!W27)</f>
        <v>#N/A</v>
      </c>
      <c r="M26" t="e">
        <f>IF(OR(Sorting!Y27=0,Sorting!Y27="Grand Total"),"",Sorting!Y27)</f>
        <v>#N/A</v>
      </c>
      <c r="N26" t="e">
        <f>MIN(B26,C26,D26,E26,F26,G26,H26,I26,J26,K26,L26,M26)</f>
        <v>#N/A</v>
      </c>
      <c r="O26">
        <v>24</v>
      </c>
      <c r="P26" t="e">
        <f>IF(OR(LOG10(SUM(B$3:B26))=P25,P25=""),"",LOG10(SUM(B$3:B26)))</f>
        <v>#N/A</v>
      </c>
      <c r="Q26" t="e">
        <f>IF(OR(LOG10(SUM(C$3:C26))=Q25,Q25=""),"",LOG10(SUM(C$3:C26)))</f>
        <v>#N/A</v>
      </c>
      <c r="R26" t="e">
        <f>IF(OR(LOG10(SUM(D$3:D26))=R25,R25=""),"",LOG10(SUM(D$3:D26)))</f>
        <v>#N/A</v>
      </c>
      <c r="S26" t="e">
        <f>IF(OR(LOG10(SUM(E$3:E26))=S25,S25=""),"",LOG10(SUM(E$3:E26)))</f>
        <v>#N/A</v>
      </c>
      <c r="T26" t="e">
        <f>IF(OR(LOG10(SUM(F$3:F26))=T25,T25=""),"",LOG10(SUM(F$3:F26)))</f>
        <v>#N/A</v>
      </c>
      <c r="U26" t="e">
        <f>IF(OR(LOG10(SUM(G$3:G26))=U25,U25=""),"",LOG10(SUM(G$3:G26)))</f>
        <v>#N/A</v>
      </c>
      <c r="V26" t="e">
        <f>IF(OR(LOG10(SUM(H$3:H26))=V25,V25=""),"",LOG10(SUM(H$3:H26)))</f>
        <v>#N/A</v>
      </c>
      <c r="W26" t="e">
        <f>IF(OR(LOG10(SUM(I$3:I26))=W25,W25=""),"",LOG10(SUM(I$3:I26)))</f>
        <v>#N/A</v>
      </c>
      <c r="X26" t="e">
        <f>IF(OR(LOG10(SUM(J$3:J26))=X25,X25=""),"",LOG10(SUM(J$3:J26)))</f>
        <v>#N/A</v>
      </c>
      <c r="Y26" t="e">
        <f>IF(OR(LOG10(SUM(K$3:K26))=Y25,Y25=""),"",LOG10(SUM(K$3:K26)))</f>
        <v>#N/A</v>
      </c>
      <c r="Z26" t="e">
        <f>IF(OR(LOG10(SUM(L$3:L26))=Z25,Z25=""),"",LOG10(SUM(L$3:L26)))</f>
        <v>#N/A</v>
      </c>
      <c r="AA26" t="e">
        <f>IF(OR(LOG10(SUM(M$3:M26))=AA25,AA25=""),"",LOG10(SUM(M$3:M26)))</f>
        <v>#N/A</v>
      </c>
      <c r="AB26" t="e">
        <f>IF(OR(LOG10(SUM(N$3:N26))=AB25,AB25=""),"",LOG10(SUM(N$3:N26)))</f>
        <v>#N/A</v>
      </c>
    </row>
    <row r="27" spans="1:28" x14ac:dyDescent="0.25">
      <c r="A27">
        <v>25</v>
      </c>
      <c r="B27" t="e">
        <f>IF(OR(Sorting!B28=0,Sorting!B28="Grand Total"),"",Sorting!B28)</f>
        <v>#N/A</v>
      </c>
      <c r="C27" t="e">
        <f>IF(OR(Sorting!D28=0,Sorting!D28="Grand Total"),"",Sorting!D28)</f>
        <v>#N/A</v>
      </c>
      <c r="D27" t="e">
        <f>IF(OR(Sorting!F28=0,Sorting!F28="Grand Total"),"",Sorting!F28)</f>
        <v>#N/A</v>
      </c>
      <c r="E27" t="e">
        <f>IF(OR(Sorting!H28=0,Sorting!H28="Grand Total"),"",Sorting!H28)</f>
        <v>#N/A</v>
      </c>
      <c r="F27" t="e">
        <f>IF(OR(Sorting!J28=0,Sorting!J28="Grand Total"),"",Sorting!J28)</f>
        <v>#N/A</v>
      </c>
      <c r="G27" t="e">
        <f>IF(OR(Sorting!L28=0,Sorting!L28="Grand Total"),"",Sorting!L28)</f>
        <v>#N/A</v>
      </c>
      <c r="H27" t="e">
        <f>IF(OR(Sorting!O28=0,Sorting!O28="Grand Total"),"",Sorting!O28)</f>
        <v>#N/A</v>
      </c>
      <c r="I27" t="e">
        <f>IF(OR(Sorting!Q28=0,Sorting!Q28="Grand Total"),"",Sorting!Q28)</f>
        <v>#N/A</v>
      </c>
      <c r="J27" t="e">
        <f>IF(OR(Sorting!S28=0,Sorting!S28="Grand Total"),"",Sorting!S28)</f>
        <v>#N/A</v>
      </c>
      <c r="K27" t="e">
        <f>IF(OR(Sorting!U28=0,Sorting!U28="Grand Total"),"",Sorting!U28)</f>
        <v>#N/A</v>
      </c>
      <c r="L27" t="e">
        <f>IF(OR(Sorting!W28=0,Sorting!W28="Grand Total"),"",Sorting!W28)</f>
        <v>#N/A</v>
      </c>
      <c r="M27" t="e">
        <f>IF(OR(Sorting!Y28=0,Sorting!Y28="Grand Total"),"",Sorting!Y28)</f>
        <v>#N/A</v>
      </c>
      <c r="N27" t="e">
        <f>MIN(B27,C27,D27,E27,F27,G27,H27,I27,J27,K27,L27,M27)</f>
        <v>#N/A</v>
      </c>
      <c r="O27">
        <v>25</v>
      </c>
      <c r="P27" t="e">
        <f>IF(OR(LOG10(SUM(B$3:B27))=P26,P26=""),"",LOG10(SUM(B$3:B27)))</f>
        <v>#N/A</v>
      </c>
      <c r="Q27" t="e">
        <f>IF(OR(LOG10(SUM(C$3:C27))=Q26,Q26=""),"",LOG10(SUM(C$3:C27)))</f>
        <v>#N/A</v>
      </c>
      <c r="R27" t="e">
        <f>IF(OR(LOG10(SUM(D$3:D27))=R26,R26=""),"",LOG10(SUM(D$3:D27)))</f>
        <v>#N/A</v>
      </c>
      <c r="S27" t="e">
        <f>IF(OR(LOG10(SUM(E$3:E27))=S26,S26=""),"",LOG10(SUM(E$3:E27)))</f>
        <v>#N/A</v>
      </c>
      <c r="T27" t="e">
        <f>IF(OR(LOG10(SUM(F$3:F27))=T26,T26=""),"",LOG10(SUM(F$3:F27)))</f>
        <v>#N/A</v>
      </c>
      <c r="U27" t="e">
        <f>IF(OR(LOG10(SUM(G$3:G27))=U26,U26=""),"",LOG10(SUM(G$3:G27)))</f>
        <v>#N/A</v>
      </c>
      <c r="V27" t="e">
        <f>IF(OR(LOG10(SUM(H$3:H27))=V26,V26=""),"",LOG10(SUM(H$3:H27)))</f>
        <v>#N/A</v>
      </c>
      <c r="W27" t="e">
        <f>IF(OR(LOG10(SUM(I$3:I27))=W26,W26=""),"",LOG10(SUM(I$3:I27)))</f>
        <v>#N/A</v>
      </c>
      <c r="X27" t="e">
        <f>IF(OR(LOG10(SUM(J$3:J27))=X26,X26=""),"",LOG10(SUM(J$3:J27)))</f>
        <v>#N/A</v>
      </c>
      <c r="Y27" t="e">
        <f>IF(OR(LOG10(SUM(K$3:K27))=Y26,Y26=""),"",LOG10(SUM(K$3:K27)))</f>
        <v>#N/A</v>
      </c>
      <c r="Z27" t="e">
        <f>IF(OR(LOG10(SUM(L$3:L27))=Z26,Z26=""),"",LOG10(SUM(L$3:L27)))</f>
        <v>#N/A</v>
      </c>
      <c r="AA27" t="e">
        <f>IF(OR(LOG10(SUM(M$3:M27))=AA26,AA26=""),"",LOG10(SUM(M$3:M27)))</f>
        <v>#N/A</v>
      </c>
      <c r="AB27" t="e">
        <f>IF(OR(LOG10(SUM(N$3:N27))=AB26,AB26=""),"",LOG10(SUM(N$3:N27)))</f>
        <v>#N/A</v>
      </c>
    </row>
    <row r="28" spans="1:28" x14ac:dyDescent="0.25">
      <c r="A28">
        <v>26</v>
      </c>
      <c r="B28" t="e">
        <f>IF(OR(Sorting!B29=0,Sorting!B29="Grand Total"),"",Sorting!B29)</f>
        <v>#N/A</v>
      </c>
      <c r="C28" t="e">
        <f>IF(OR(Sorting!D29=0,Sorting!D29="Grand Total"),"",Sorting!D29)</f>
        <v>#N/A</v>
      </c>
      <c r="D28" t="e">
        <f>IF(OR(Sorting!F29=0,Sorting!F29="Grand Total"),"",Sorting!F29)</f>
        <v>#N/A</v>
      </c>
      <c r="E28" t="e">
        <f>IF(OR(Sorting!H29=0,Sorting!H29="Grand Total"),"",Sorting!H29)</f>
        <v>#N/A</v>
      </c>
      <c r="F28" t="e">
        <f>IF(OR(Sorting!J29=0,Sorting!J29="Grand Total"),"",Sorting!J29)</f>
        <v>#N/A</v>
      </c>
      <c r="G28" t="e">
        <f>IF(OR(Sorting!L29=0,Sorting!L29="Grand Total"),"",Sorting!L29)</f>
        <v>#N/A</v>
      </c>
      <c r="H28" t="e">
        <f>IF(OR(Sorting!O29=0,Sorting!O29="Grand Total"),"",Sorting!O29)</f>
        <v>#N/A</v>
      </c>
      <c r="I28" t="e">
        <f>IF(OR(Sorting!Q29=0,Sorting!Q29="Grand Total"),"",Sorting!Q29)</f>
        <v>#N/A</v>
      </c>
      <c r="J28" t="e">
        <f>IF(OR(Sorting!S29=0,Sorting!S29="Grand Total"),"",Sorting!S29)</f>
        <v>#N/A</v>
      </c>
      <c r="K28" t="e">
        <f>IF(OR(Sorting!U29=0,Sorting!U29="Grand Total"),"",Sorting!U29)</f>
        <v>#N/A</v>
      </c>
      <c r="L28" t="e">
        <f>IF(OR(Sorting!W29=0,Sorting!W29="Grand Total"),"",Sorting!W29)</f>
        <v>#N/A</v>
      </c>
      <c r="M28" t="e">
        <f>IF(OR(Sorting!Y29=0,Sorting!Y29="Grand Total"),"",Sorting!Y29)</f>
        <v>#N/A</v>
      </c>
      <c r="N28" t="e">
        <f>MIN(B28,C28,D28,E28,F28,G28,H28,I28,J28,K28,L28,M28)</f>
        <v>#N/A</v>
      </c>
      <c r="O28">
        <v>26</v>
      </c>
      <c r="P28" t="e">
        <f>IF(OR(LOG10(SUM(B$3:B28))=P27,P27=""),"",LOG10(SUM(B$3:B28)))</f>
        <v>#N/A</v>
      </c>
      <c r="Q28" t="e">
        <f>IF(OR(LOG10(SUM(C$3:C28))=Q27,Q27=""),"",LOG10(SUM(C$3:C28)))</f>
        <v>#N/A</v>
      </c>
      <c r="R28" t="e">
        <f>IF(OR(LOG10(SUM(D$3:D28))=R27,R27=""),"",LOG10(SUM(D$3:D28)))</f>
        <v>#N/A</v>
      </c>
      <c r="S28" t="e">
        <f>IF(OR(LOG10(SUM(E$3:E28))=S27,S27=""),"",LOG10(SUM(E$3:E28)))</f>
        <v>#N/A</v>
      </c>
      <c r="T28" t="e">
        <f>IF(OR(LOG10(SUM(F$3:F28))=T27,T27=""),"",LOG10(SUM(F$3:F28)))</f>
        <v>#N/A</v>
      </c>
      <c r="U28" t="e">
        <f>IF(OR(LOG10(SUM(G$3:G28))=U27,U27=""),"",LOG10(SUM(G$3:G28)))</f>
        <v>#N/A</v>
      </c>
      <c r="V28" t="e">
        <f>IF(OR(LOG10(SUM(H$3:H28))=V27,V27=""),"",LOG10(SUM(H$3:H28)))</f>
        <v>#N/A</v>
      </c>
      <c r="W28" t="e">
        <f>IF(OR(LOG10(SUM(I$3:I28))=W27,W27=""),"",LOG10(SUM(I$3:I28)))</f>
        <v>#N/A</v>
      </c>
      <c r="X28" t="e">
        <f>IF(OR(LOG10(SUM(J$3:J28))=X27,X27=""),"",LOG10(SUM(J$3:J28)))</f>
        <v>#N/A</v>
      </c>
      <c r="Y28" t="e">
        <f>IF(OR(LOG10(SUM(K$3:K28))=Y27,Y27=""),"",LOG10(SUM(K$3:K28)))</f>
        <v>#N/A</v>
      </c>
      <c r="Z28" t="e">
        <f>IF(OR(LOG10(SUM(L$3:L28))=Z27,Z27=""),"",LOG10(SUM(L$3:L28)))</f>
        <v>#N/A</v>
      </c>
      <c r="AA28" t="e">
        <f>IF(OR(LOG10(SUM(M$3:M28))=AA27,AA27=""),"",LOG10(SUM(M$3:M28)))</f>
        <v>#N/A</v>
      </c>
      <c r="AB28" t="e">
        <f>IF(OR(LOG10(SUM(N$3:N28))=AB27,AB27=""),"",LOG10(SUM(N$3:N28)))</f>
        <v>#N/A</v>
      </c>
    </row>
    <row r="29" spans="1:28" x14ac:dyDescent="0.25">
      <c r="A29">
        <v>27</v>
      </c>
      <c r="B29" t="e">
        <f>IF(OR(Sorting!B30=0,Sorting!B30="Grand Total"),"",Sorting!B30)</f>
        <v>#N/A</v>
      </c>
      <c r="C29" t="e">
        <f>IF(OR(Sorting!D30=0,Sorting!D30="Grand Total"),"",Sorting!D30)</f>
        <v>#N/A</v>
      </c>
      <c r="D29" t="e">
        <f>IF(OR(Sorting!F30=0,Sorting!F30="Grand Total"),"",Sorting!F30)</f>
        <v>#N/A</v>
      </c>
      <c r="E29" t="e">
        <f>IF(OR(Sorting!H30=0,Sorting!H30="Grand Total"),"",Sorting!H30)</f>
        <v>#N/A</v>
      </c>
      <c r="F29" t="e">
        <f>IF(OR(Sorting!J30=0,Sorting!J30="Grand Total"),"",Sorting!J30)</f>
        <v>#N/A</v>
      </c>
      <c r="G29" t="e">
        <f>IF(OR(Sorting!L30=0,Sorting!L30="Grand Total"),"",Sorting!L30)</f>
        <v>#N/A</v>
      </c>
      <c r="H29" t="e">
        <f>IF(OR(Sorting!O30=0,Sorting!O30="Grand Total"),"",Sorting!O30)</f>
        <v>#N/A</v>
      </c>
      <c r="I29" t="e">
        <f>IF(OR(Sorting!Q30=0,Sorting!Q30="Grand Total"),"",Sorting!Q30)</f>
        <v>#N/A</v>
      </c>
      <c r="J29" t="e">
        <f>IF(OR(Sorting!S30=0,Sorting!S30="Grand Total"),"",Sorting!S30)</f>
        <v>#N/A</v>
      </c>
      <c r="K29" t="e">
        <f>IF(OR(Sorting!U30=0,Sorting!U30="Grand Total"),"",Sorting!U30)</f>
        <v>#N/A</v>
      </c>
      <c r="L29" t="e">
        <f>IF(OR(Sorting!W30=0,Sorting!W30="Grand Total"),"",Sorting!W30)</f>
        <v>#N/A</v>
      </c>
      <c r="M29" t="e">
        <f>IF(OR(Sorting!Y30=0,Sorting!Y30="Grand Total"),"",Sorting!Y30)</f>
        <v>#N/A</v>
      </c>
      <c r="N29" t="e">
        <f>MIN(B29,C29,D29,E29,F29,G29,H29,I29,J29,K29,L29,M29)</f>
        <v>#N/A</v>
      </c>
      <c r="O29">
        <v>27</v>
      </c>
      <c r="P29" t="e">
        <f>IF(OR(LOG10(SUM(B$3:B29))=P28,P28=""),"",LOG10(SUM(B$3:B29)))</f>
        <v>#N/A</v>
      </c>
      <c r="Q29" t="e">
        <f>IF(OR(LOG10(SUM(C$3:C29))=Q28,Q28=""),"",LOG10(SUM(C$3:C29)))</f>
        <v>#N/A</v>
      </c>
      <c r="R29" t="e">
        <f>IF(OR(LOG10(SUM(D$3:D29))=R28,R28=""),"",LOG10(SUM(D$3:D29)))</f>
        <v>#N/A</v>
      </c>
      <c r="S29" t="e">
        <f>IF(OR(LOG10(SUM(E$3:E29))=S28,S28=""),"",LOG10(SUM(E$3:E29)))</f>
        <v>#N/A</v>
      </c>
      <c r="T29" t="e">
        <f>IF(OR(LOG10(SUM(F$3:F29))=T28,T28=""),"",LOG10(SUM(F$3:F29)))</f>
        <v>#N/A</v>
      </c>
      <c r="U29" t="e">
        <f>IF(OR(LOG10(SUM(G$3:G29))=U28,U28=""),"",LOG10(SUM(G$3:G29)))</f>
        <v>#N/A</v>
      </c>
      <c r="V29" t="e">
        <f>IF(OR(LOG10(SUM(H$3:H29))=V28,V28=""),"",LOG10(SUM(H$3:H29)))</f>
        <v>#N/A</v>
      </c>
      <c r="W29" t="e">
        <f>IF(OR(LOG10(SUM(I$3:I29))=W28,W28=""),"",LOG10(SUM(I$3:I29)))</f>
        <v>#N/A</v>
      </c>
      <c r="X29" t="e">
        <f>IF(OR(LOG10(SUM(J$3:J29))=X28,X28=""),"",LOG10(SUM(J$3:J29)))</f>
        <v>#N/A</v>
      </c>
      <c r="Y29" t="e">
        <f>IF(OR(LOG10(SUM(K$3:K29))=Y28,Y28=""),"",LOG10(SUM(K$3:K29)))</f>
        <v>#N/A</v>
      </c>
      <c r="Z29" t="e">
        <f>IF(OR(LOG10(SUM(L$3:L29))=Z28,Z28=""),"",LOG10(SUM(L$3:L29)))</f>
        <v>#N/A</v>
      </c>
      <c r="AA29" t="e">
        <f>IF(OR(LOG10(SUM(M$3:M29))=AA28,AA28=""),"",LOG10(SUM(M$3:M29)))</f>
        <v>#N/A</v>
      </c>
      <c r="AB29" t="e">
        <f>IF(OR(LOG10(SUM(N$3:N29))=AB28,AB28=""),"",LOG10(SUM(N$3:N29)))</f>
        <v>#N/A</v>
      </c>
    </row>
    <row r="30" spans="1:28" x14ac:dyDescent="0.25">
      <c r="A30">
        <v>28</v>
      </c>
      <c r="B30" t="e">
        <f>IF(OR(Sorting!B31=0,Sorting!B31="Grand Total"),"",Sorting!B31)</f>
        <v>#N/A</v>
      </c>
      <c r="C30" t="e">
        <f>IF(OR(Sorting!D31=0,Sorting!D31="Grand Total"),"",Sorting!D31)</f>
        <v>#N/A</v>
      </c>
      <c r="D30" t="e">
        <f>IF(OR(Sorting!F31=0,Sorting!F31="Grand Total"),"",Sorting!F31)</f>
        <v>#N/A</v>
      </c>
      <c r="E30" t="e">
        <f>IF(OR(Sorting!H31=0,Sorting!H31="Grand Total"),"",Sorting!H31)</f>
        <v>#N/A</v>
      </c>
      <c r="F30" t="e">
        <f>IF(OR(Sorting!J31=0,Sorting!J31="Grand Total"),"",Sorting!J31)</f>
        <v>#N/A</v>
      </c>
      <c r="G30" t="e">
        <f>IF(OR(Sorting!L31=0,Sorting!L31="Grand Total"),"",Sorting!L31)</f>
        <v>#N/A</v>
      </c>
      <c r="H30" t="e">
        <f>IF(OR(Sorting!O31=0,Sorting!O31="Grand Total"),"",Sorting!O31)</f>
        <v>#N/A</v>
      </c>
      <c r="I30" t="e">
        <f>IF(OR(Sorting!Q31=0,Sorting!Q31="Grand Total"),"",Sorting!Q31)</f>
        <v>#N/A</v>
      </c>
      <c r="J30" t="e">
        <f>IF(OR(Sorting!S31=0,Sorting!S31="Grand Total"),"",Sorting!S31)</f>
        <v>#N/A</v>
      </c>
      <c r="K30" t="e">
        <f>IF(OR(Sorting!U31=0,Sorting!U31="Grand Total"),"",Sorting!U31)</f>
        <v>#N/A</v>
      </c>
      <c r="L30" t="e">
        <f>IF(OR(Sorting!W31=0,Sorting!W31="Grand Total"),"",Sorting!W31)</f>
        <v>#N/A</v>
      </c>
      <c r="M30" t="e">
        <f>IF(OR(Sorting!Y31=0,Sorting!Y31="Grand Total"),"",Sorting!Y31)</f>
        <v>#N/A</v>
      </c>
      <c r="N30" t="e">
        <f>MIN(B30,C30,D30,E30,F30,G30,H30,I30,J30,K30,L30,M30)</f>
        <v>#N/A</v>
      </c>
      <c r="O30">
        <v>28</v>
      </c>
      <c r="P30" t="e">
        <f>IF(OR(LOG10(SUM(B$3:B30))=P29,P29=""),"",LOG10(SUM(B$3:B30)))</f>
        <v>#N/A</v>
      </c>
      <c r="Q30" t="e">
        <f>IF(OR(LOG10(SUM(C$3:C30))=Q29,Q29=""),"",LOG10(SUM(C$3:C30)))</f>
        <v>#N/A</v>
      </c>
      <c r="R30" t="e">
        <f>IF(OR(LOG10(SUM(D$3:D30))=R29,R29=""),"",LOG10(SUM(D$3:D30)))</f>
        <v>#N/A</v>
      </c>
      <c r="S30" t="e">
        <f>IF(OR(LOG10(SUM(E$3:E30))=S29,S29=""),"",LOG10(SUM(E$3:E30)))</f>
        <v>#N/A</v>
      </c>
      <c r="T30" t="e">
        <f>IF(OR(LOG10(SUM(F$3:F30))=T29,T29=""),"",LOG10(SUM(F$3:F30)))</f>
        <v>#N/A</v>
      </c>
      <c r="U30" t="e">
        <f>IF(OR(LOG10(SUM(G$3:G30))=U29,U29=""),"",LOG10(SUM(G$3:G30)))</f>
        <v>#N/A</v>
      </c>
      <c r="V30" t="e">
        <f>IF(OR(LOG10(SUM(H$3:H30))=V29,V29=""),"",LOG10(SUM(H$3:H30)))</f>
        <v>#N/A</v>
      </c>
      <c r="W30" t="e">
        <f>IF(OR(LOG10(SUM(I$3:I30))=W29,W29=""),"",LOG10(SUM(I$3:I30)))</f>
        <v>#N/A</v>
      </c>
      <c r="X30" t="e">
        <f>IF(OR(LOG10(SUM(J$3:J30))=X29,X29=""),"",LOG10(SUM(J$3:J30)))</f>
        <v>#N/A</v>
      </c>
      <c r="Y30" t="e">
        <f>IF(OR(LOG10(SUM(K$3:K30))=Y29,Y29=""),"",LOG10(SUM(K$3:K30)))</f>
        <v>#N/A</v>
      </c>
      <c r="Z30" t="e">
        <f>IF(OR(LOG10(SUM(L$3:L30))=Z29,Z29=""),"",LOG10(SUM(L$3:L30)))</f>
        <v>#N/A</v>
      </c>
      <c r="AA30" t="e">
        <f>IF(OR(LOG10(SUM(M$3:M30))=AA29,AA29=""),"",LOG10(SUM(M$3:M30)))</f>
        <v>#N/A</v>
      </c>
      <c r="AB30" t="e">
        <f>IF(OR(LOG10(SUM(N$3:N30))=AB29,AB29=""),"",LOG10(SUM(N$3:N30)))</f>
        <v>#N/A</v>
      </c>
    </row>
    <row r="31" spans="1:28" x14ac:dyDescent="0.25">
      <c r="A31">
        <v>29</v>
      </c>
      <c r="B31" t="e">
        <f>IF(OR(Sorting!B32=0,Sorting!B32="Grand Total"),"",Sorting!B32)</f>
        <v>#N/A</v>
      </c>
      <c r="C31" t="e">
        <f>IF(OR(Sorting!D32=0,Sorting!D32="Grand Total"),"",Sorting!D32)</f>
        <v>#N/A</v>
      </c>
      <c r="D31" t="e">
        <f>IF(OR(Sorting!F32=0,Sorting!F32="Grand Total"),"",Sorting!F32)</f>
        <v>#N/A</v>
      </c>
      <c r="E31" t="e">
        <f>IF(OR(Sorting!H32=0,Sorting!H32="Grand Total"),"",Sorting!H32)</f>
        <v>#N/A</v>
      </c>
      <c r="F31" t="e">
        <f>IF(OR(Sorting!J32=0,Sorting!J32="Grand Total"),"",Sorting!J32)</f>
        <v>#N/A</v>
      </c>
      <c r="G31" t="e">
        <f>IF(OR(Sorting!L32=0,Sorting!L32="Grand Total"),"",Sorting!L32)</f>
        <v>#N/A</v>
      </c>
      <c r="H31" t="e">
        <f>IF(OR(Sorting!O32=0,Sorting!O32="Grand Total"),"",Sorting!O32)</f>
        <v>#N/A</v>
      </c>
      <c r="I31" t="e">
        <f>IF(OR(Sorting!Q32=0,Sorting!Q32="Grand Total"),"",Sorting!Q32)</f>
        <v>#N/A</v>
      </c>
      <c r="J31" t="e">
        <f>IF(OR(Sorting!S32=0,Sorting!S32="Grand Total"),"",Sorting!S32)</f>
        <v>#N/A</v>
      </c>
      <c r="K31" t="e">
        <f>IF(OR(Sorting!U32=0,Sorting!U32="Grand Total"),"",Sorting!U32)</f>
        <v>#N/A</v>
      </c>
      <c r="L31" t="e">
        <f>IF(OR(Sorting!W32=0,Sorting!W32="Grand Total"),"",Sorting!W32)</f>
        <v>#N/A</v>
      </c>
      <c r="M31" t="e">
        <f>IF(OR(Sorting!Y32=0,Sorting!Y32="Grand Total"),"",Sorting!Y32)</f>
        <v>#N/A</v>
      </c>
      <c r="N31" t="e">
        <f>MIN(B31,C31,D31,E31,F31,G31,H31,I31,J31,K31,L31,M31)</f>
        <v>#N/A</v>
      </c>
      <c r="O31">
        <v>29</v>
      </c>
      <c r="P31" t="e">
        <f>IF(OR(LOG10(SUM(B$3:B31))=P30,P30=""),"",LOG10(SUM(B$3:B31)))</f>
        <v>#N/A</v>
      </c>
      <c r="Q31" t="e">
        <f>IF(OR(LOG10(SUM(C$3:C31))=Q30,Q30=""),"",LOG10(SUM(C$3:C31)))</f>
        <v>#N/A</v>
      </c>
      <c r="R31" t="e">
        <f>IF(OR(LOG10(SUM(D$3:D31))=R30,R30=""),"",LOG10(SUM(D$3:D31)))</f>
        <v>#N/A</v>
      </c>
      <c r="S31" t="e">
        <f>IF(OR(LOG10(SUM(E$3:E31))=S30,S30=""),"",LOG10(SUM(E$3:E31)))</f>
        <v>#N/A</v>
      </c>
      <c r="T31" t="e">
        <f>IF(OR(LOG10(SUM(F$3:F31))=T30,T30=""),"",LOG10(SUM(F$3:F31)))</f>
        <v>#N/A</v>
      </c>
      <c r="U31" t="e">
        <f>IF(OR(LOG10(SUM(G$3:G31))=U30,U30=""),"",LOG10(SUM(G$3:G31)))</f>
        <v>#N/A</v>
      </c>
      <c r="V31" t="e">
        <f>IF(OR(LOG10(SUM(H$3:H31))=V30,V30=""),"",LOG10(SUM(H$3:H31)))</f>
        <v>#N/A</v>
      </c>
      <c r="W31" t="e">
        <f>IF(OR(LOG10(SUM(I$3:I31))=W30,W30=""),"",LOG10(SUM(I$3:I31)))</f>
        <v>#N/A</v>
      </c>
      <c r="X31" t="e">
        <f>IF(OR(LOG10(SUM(J$3:J31))=X30,X30=""),"",LOG10(SUM(J$3:J31)))</f>
        <v>#N/A</v>
      </c>
      <c r="Y31" t="e">
        <f>IF(OR(LOG10(SUM(K$3:K31))=Y30,Y30=""),"",LOG10(SUM(K$3:K31)))</f>
        <v>#N/A</v>
      </c>
      <c r="Z31" t="e">
        <f>IF(OR(LOG10(SUM(L$3:L31))=Z30,Z30=""),"",LOG10(SUM(L$3:L31)))</f>
        <v>#N/A</v>
      </c>
      <c r="AA31" t="e">
        <f>IF(OR(LOG10(SUM(M$3:M31))=AA30,AA30=""),"",LOG10(SUM(M$3:M31)))</f>
        <v>#N/A</v>
      </c>
      <c r="AB31" t="e">
        <f>IF(OR(LOG10(SUM(N$3:N31))=AB30,AB30=""),"",LOG10(SUM(N$3:N31)))</f>
        <v>#N/A</v>
      </c>
    </row>
    <row r="32" spans="1:28" x14ac:dyDescent="0.25">
      <c r="A32">
        <v>30</v>
      </c>
      <c r="B32" t="e">
        <f>IF(OR(Sorting!B33=0,Sorting!B33="Grand Total"),"",Sorting!B33)</f>
        <v>#N/A</v>
      </c>
      <c r="C32" t="e">
        <f>IF(OR(Sorting!D33=0,Sorting!D33="Grand Total"),"",Sorting!D33)</f>
        <v>#N/A</v>
      </c>
      <c r="D32" t="e">
        <f>IF(OR(Sorting!F33=0,Sorting!F33="Grand Total"),"",Sorting!F33)</f>
        <v>#N/A</v>
      </c>
      <c r="E32" t="e">
        <f>IF(OR(Sorting!H33=0,Sorting!H33="Grand Total"),"",Sorting!H33)</f>
        <v>#N/A</v>
      </c>
      <c r="F32" t="e">
        <f>IF(OR(Sorting!J33=0,Sorting!J33="Grand Total"),"",Sorting!J33)</f>
        <v>#N/A</v>
      </c>
      <c r="G32" t="e">
        <f>IF(OR(Sorting!L33=0,Sorting!L33="Grand Total"),"",Sorting!L33)</f>
        <v>#N/A</v>
      </c>
      <c r="H32" t="e">
        <f>IF(OR(Sorting!O33=0,Sorting!O33="Grand Total"),"",Sorting!O33)</f>
        <v>#N/A</v>
      </c>
      <c r="I32" t="e">
        <f>IF(OR(Sorting!Q33=0,Sorting!Q33="Grand Total"),"",Sorting!Q33)</f>
        <v>#N/A</v>
      </c>
      <c r="J32" t="e">
        <f>IF(OR(Sorting!S33=0,Sorting!S33="Grand Total"),"",Sorting!S33)</f>
        <v>#N/A</v>
      </c>
      <c r="K32" t="e">
        <f>IF(OR(Sorting!U33=0,Sorting!U33="Grand Total"),"",Sorting!U33)</f>
        <v>#N/A</v>
      </c>
      <c r="L32" t="e">
        <f>IF(OR(Sorting!W33=0,Sorting!W33="Grand Total"),"",Sorting!W33)</f>
        <v>#N/A</v>
      </c>
      <c r="M32" t="e">
        <f>IF(OR(Sorting!Y33=0,Sorting!Y33="Grand Total"),"",Sorting!Y33)</f>
        <v>#N/A</v>
      </c>
      <c r="N32" t="e">
        <f>MIN(B32,C32,D32,E32,F32,G32,H32,I32,J32,K32,L32,M32)</f>
        <v>#N/A</v>
      </c>
      <c r="O32">
        <v>30</v>
      </c>
      <c r="P32" t="e">
        <f>IF(OR(LOG10(SUM(B$3:B32))=P31,P31=""),"",LOG10(SUM(B$3:B32)))</f>
        <v>#N/A</v>
      </c>
      <c r="Q32" t="e">
        <f>IF(OR(LOG10(SUM(C$3:C32))=Q31,Q31=""),"",LOG10(SUM(C$3:C32)))</f>
        <v>#N/A</v>
      </c>
      <c r="R32" t="e">
        <f>IF(OR(LOG10(SUM(D$3:D32))=R31,R31=""),"",LOG10(SUM(D$3:D32)))</f>
        <v>#N/A</v>
      </c>
      <c r="S32" t="e">
        <f>IF(OR(LOG10(SUM(E$3:E32))=S31,S31=""),"",LOG10(SUM(E$3:E32)))</f>
        <v>#N/A</v>
      </c>
      <c r="T32" t="e">
        <f>IF(OR(LOG10(SUM(F$3:F32))=T31,T31=""),"",LOG10(SUM(F$3:F32)))</f>
        <v>#N/A</v>
      </c>
      <c r="U32" t="e">
        <f>IF(OR(LOG10(SUM(G$3:G32))=U31,U31=""),"",LOG10(SUM(G$3:G32)))</f>
        <v>#N/A</v>
      </c>
      <c r="V32" t="e">
        <f>IF(OR(LOG10(SUM(H$3:H32))=V31,V31=""),"",LOG10(SUM(H$3:H32)))</f>
        <v>#N/A</v>
      </c>
      <c r="W32" t="e">
        <f>IF(OR(LOG10(SUM(I$3:I32))=W31,W31=""),"",LOG10(SUM(I$3:I32)))</f>
        <v>#N/A</v>
      </c>
      <c r="X32" t="e">
        <f>IF(OR(LOG10(SUM(J$3:J32))=X31,X31=""),"",LOG10(SUM(J$3:J32)))</f>
        <v>#N/A</v>
      </c>
      <c r="Y32" t="e">
        <f>IF(OR(LOG10(SUM(K$3:K32))=Y31,Y31=""),"",LOG10(SUM(K$3:K32)))</f>
        <v>#N/A</v>
      </c>
      <c r="Z32" t="e">
        <f>IF(OR(LOG10(SUM(L$3:L32))=Z31,Z31=""),"",LOG10(SUM(L$3:L32)))</f>
        <v>#N/A</v>
      </c>
      <c r="AA32" t="e">
        <f>IF(OR(LOG10(SUM(M$3:M32))=AA31,AA31=""),"",LOG10(SUM(M$3:M32)))</f>
        <v>#N/A</v>
      </c>
      <c r="AB32" t="e">
        <f>IF(OR(LOG10(SUM(N$3:N32))=AB31,AB31=""),"",LOG10(SUM(N$3:N32)))</f>
        <v>#N/A</v>
      </c>
    </row>
    <row r="33" spans="1:28" x14ac:dyDescent="0.25">
      <c r="A33">
        <v>31</v>
      </c>
      <c r="B33" t="e">
        <f>IF(OR(Sorting!B34=0,Sorting!B34="Grand Total"),"",Sorting!B34)</f>
        <v>#N/A</v>
      </c>
      <c r="C33" t="e">
        <f>IF(OR(Sorting!D34=0,Sorting!D34="Grand Total"),"",Sorting!D34)</f>
        <v>#N/A</v>
      </c>
      <c r="D33" t="e">
        <f>IF(OR(Sorting!F34=0,Sorting!F34="Grand Total"),"",Sorting!F34)</f>
        <v>#N/A</v>
      </c>
      <c r="E33" t="e">
        <f>IF(OR(Sorting!H34=0,Sorting!H34="Grand Total"),"",Sorting!H34)</f>
        <v>#N/A</v>
      </c>
      <c r="F33" t="e">
        <f>IF(OR(Sorting!J34=0,Sorting!J34="Grand Total"),"",Sorting!J34)</f>
        <v>#N/A</v>
      </c>
      <c r="G33" t="e">
        <f>IF(OR(Sorting!L34=0,Sorting!L34="Grand Total"),"",Sorting!L34)</f>
        <v>#N/A</v>
      </c>
      <c r="H33" t="e">
        <f>IF(OR(Sorting!O34=0,Sorting!O34="Grand Total"),"",Sorting!O34)</f>
        <v>#N/A</v>
      </c>
      <c r="I33" t="e">
        <f>IF(OR(Sorting!Q34=0,Sorting!Q34="Grand Total"),"",Sorting!Q34)</f>
        <v>#N/A</v>
      </c>
      <c r="J33" t="e">
        <f>IF(OR(Sorting!S34=0,Sorting!S34="Grand Total"),"",Sorting!S34)</f>
        <v>#N/A</v>
      </c>
      <c r="K33" t="e">
        <f>IF(OR(Sorting!U34=0,Sorting!U34="Grand Total"),"",Sorting!U34)</f>
        <v>#N/A</v>
      </c>
      <c r="L33" t="e">
        <f>IF(OR(Sorting!W34=0,Sorting!W34="Grand Total"),"",Sorting!W34)</f>
        <v>#N/A</v>
      </c>
      <c r="M33" t="e">
        <f>IF(OR(Sorting!Y34=0,Sorting!Y34="Grand Total"),"",Sorting!Y34)</f>
        <v>#N/A</v>
      </c>
      <c r="N33" t="e">
        <f>MIN(B33,C33,D33,E33,F33,G33,H33,I33,J33,K33,L33,M33)</f>
        <v>#N/A</v>
      </c>
      <c r="O33">
        <v>31</v>
      </c>
      <c r="P33" t="e">
        <f>IF(OR(LOG10(SUM(B$3:B33))=P32,P32=""),"",LOG10(SUM(B$3:B33)))</f>
        <v>#N/A</v>
      </c>
      <c r="Q33" t="e">
        <f>IF(OR(LOG10(SUM(C$3:C33))=Q32,Q32=""),"",LOG10(SUM(C$3:C33)))</f>
        <v>#N/A</v>
      </c>
      <c r="R33" t="e">
        <f>IF(OR(LOG10(SUM(D$3:D33))=R32,R32=""),"",LOG10(SUM(D$3:D33)))</f>
        <v>#N/A</v>
      </c>
      <c r="S33" t="e">
        <f>IF(OR(LOG10(SUM(E$3:E33))=S32,S32=""),"",LOG10(SUM(E$3:E33)))</f>
        <v>#N/A</v>
      </c>
      <c r="T33" t="e">
        <f>IF(OR(LOG10(SUM(F$3:F33))=T32,T32=""),"",LOG10(SUM(F$3:F33)))</f>
        <v>#N/A</v>
      </c>
      <c r="U33" t="e">
        <f>IF(OR(LOG10(SUM(G$3:G33))=U32,U32=""),"",LOG10(SUM(G$3:G33)))</f>
        <v>#N/A</v>
      </c>
      <c r="V33" t="e">
        <f>IF(OR(LOG10(SUM(H$3:H33))=V32,V32=""),"",LOG10(SUM(H$3:H33)))</f>
        <v>#N/A</v>
      </c>
      <c r="W33" t="e">
        <f>IF(OR(LOG10(SUM(I$3:I33))=W32,W32=""),"",LOG10(SUM(I$3:I33)))</f>
        <v>#N/A</v>
      </c>
      <c r="X33" t="e">
        <f>IF(OR(LOG10(SUM(J$3:J33))=X32,X32=""),"",LOG10(SUM(J$3:J33)))</f>
        <v>#N/A</v>
      </c>
      <c r="Y33" t="e">
        <f>IF(OR(LOG10(SUM(K$3:K33))=Y32,Y32=""),"",LOG10(SUM(K$3:K33)))</f>
        <v>#N/A</v>
      </c>
      <c r="Z33" t="e">
        <f>IF(OR(LOG10(SUM(L$3:L33))=Z32,Z32=""),"",LOG10(SUM(L$3:L33)))</f>
        <v>#N/A</v>
      </c>
      <c r="AA33" t="e">
        <f>IF(OR(LOG10(SUM(M$3:M33))=AA32,AA32=""),"",LOG10(SUM(M$3:M33)))</f>
        <v>#N/A</v>
      </c>
      <c r="AB33" t="e">
        <f>IF(OR(LOG10(SUM(N$3:N33))=AB32,AB32=""),"",LOG10(SUM(N$3:N33)))</f>
        <v>#N/A</v>
      </c>
    </row>
    <row r="34" spans="1:28" x14ac:dyDescent="0.25">
      <c r="A34">
        <v>32</v>
      </c>
      <c r="B34" t="e">
        <f>IF(OR(Sorting!B35=0,Sorting!B35="Grand Total"),"",Sorting!B35)</f>
        <v>#N/A</v>
      </c>
      <c r="C34" t="e">
        <f>IF(OR(Sorting!D35=0,Sorting!D35="Grand Total"),"",Sorting!D35)</f>
        <v>#N/A</v>
      </c>
      <c r="D34" t="e">
        <f>IF(OR(Sorting!F35=0,Sorting!F35="Grand Total"),"",Sorting!F35)</f>
        <v>#N/A</v>
      </c>
      <c r="E34" t="e">
        <f>IF(OR(Sorting!H35=0,Sorting!H35="Grand Total"),"",Sorting!H35)</f>
        <v>#N/A</v>
      </c>
      <c r="F34" t="e">
        <f>IF(OR(Sorting!J35=0,Sorting!J35="Grand Total"),"",Sorting!J35)</f>
        <v>#N/A</v>
      </c>
      <c r="G34" t="e">
        <f>IF(OR(Sorting!L35=0,Sorting!L35="Grand Total"),"",Sorting!L35)</f>
        <v>#N/A</v>
      </c>
      <c r="H34" t="e">
        <f>IF(OR(Sorting!O35=0,Sorting!O35="Grand Total"),"",Sorting!O35)</f>
        <v>#N/A</v>
      </c>
      <c r="I34" t="e">
        <f>IF(OR(Sorting!Q35=0,Sorting!Q35="Grand Total"),"",Sorting!Q35)</f>
        <v>#N/A</v>
      </c>
      <c r="J34" t="e">
        <f>IF(OR(Sorting!S35=0,Sorting!S35="Grand Total"),"",Sorting!S35)</f>
        <v>#N/A</v>
      </c>
      <c r="K34" t="e">
        <f>IF(OR(Sorting!U35=0,Sorting!U35="Grand Total"),"",Sorting!U35)</f>
        <v>#N/A</v>
      </c>
      <c r="L34" t="e">
        <f>IF(OR(Sorting!W35=0,Sorting!W35="Grand Total"),"",Sorting!W35)</f>
        <v>#N/A</v>
      </c>
      <c r="M34" t="e">
        <f>IF(OR(Sorting!Y35=0,Sorting!Y35="Grand Total"),"",Sorting!Y35)</f>
        <v>#N/A</v>
      </c>
      <c r="N34" t="e">
        <f>MIN(B34,C34,D34,E34,F34,G34,H34,I34,J34,K34,L34,M34)</f>
        <v>#N/A</v>
      </c>
      <c r="O34">
        <v>32</v>
      </c>
      <c r="P34" t="e">
        <f>IF(OR(LOG10(SUM(B$3:B34))=P33,P33=""),"",LOG10(SUM(B$3:B34)))</f>
        <v>#N/A</v>
      </c>
      <c r="Q34" t="e">
        <f>IF(OR(LOG10(SUM(C$3:C34))=Q33,Q33=""),"",LOG10(SUM(C$3:C34)))</f>
        <v>#N/A</v>
      </c>
      <c r="R34" t="e">
        <f>IF(OR(LOG10(SUM(D$3:D34))=R33,R33=""),"",LOG10(SUM(D$3:D34)))</f>
        <v>#N/A</v>
      </c>
      <c r="S34" t="e">
        <f>IF(OR(LOG10(SUM(E$3:E34))=S33,S33=""),"",LOG10(SUM(E$3:E34)))</f>
        <v>#N/A</v>
      </c>
      <c r="T34" t="e">
        <f>IF(OR(LOG10(SUM(F$3:F34))=T33,T33=""),"",LOG10(SUM(F$3:F34)))</f>
        <v>#N/A</v>
      </c>
      <c r="U34" t="e">
        <f>IF(OR(LOG10(SUM(G$3:G34))=U33,U33=""),"",LOG10(SUM(G$3:G34)))</f>
        <v>#N/A</v>
      </c>
      <c r="V34" t="e">
        <f>IF(OR(LOG10(SUM(H$3:H34))=V33,V33=""),"",LOG10(SUM(H$3:H34)))</f>
        <v>#N/A</v>
      </c>
      <c r="W34" t="e">
        <f>IF(OR(LOG10(SUM(I$3:I34))=W33,W33=""),"",LOG10(SUM(I$3:I34)))</f>
        <v>#N/A</v>
      </c>
      <c r="X34" t="e">
        <f>IF(OR(LOG10(SUM(J$3:J34))=X33,X33=""),"",LOG10(SUM(J$3:J34)))</f>
        <v>#N/A</v>
      </c>
      <c r="Y34" t="e">
        <f>IF(OR(LOG10(SUM(K$3:K34))=Y33,Y33=""),"",LOG10(SUM(K$3:K34)))</f>
        <v>#N/A</v>
      </c>
      <c r="Z34" t="e">
        <f>IF(OR(LOG10(SUM(L$3:L34))=Z33,Z33=""),"",LOG10(SUM(L$3:L34)))</f>
        <v>#N/A</v>
      </c>
      <c r="AA34" t="e">
        <f>IF(OR(LOG10(SUM(M$3:M34))=AA33,AA33=""),"",LOG10(SUM(M$3:M34)))</f>
        <v>#N/A</v>
      </c>
      <c r="AB34" t="e">
        <f>IF(OR(LOG10(SUM(N$3:N34))=AB33,AB33=""),"",LOG10(SUM(N$3:N34)))</f>
        <v>#N/A</v>
      </c>
    </row>
    <row r="35" spans="1:28" x14ac:dyDescent="0.25">
      <c r="A35">
        <v>33</v>
      </c>
      <c r="B35" t="e">
        <f>IF(OR(Sorting!B36=0,Sorting!B36="Grand Total"),"",Sorting!B36)</f>
        <v>#N/A</v>
      </c>
      <c r="C35" t="e">
        <f>IF(OR(Sorting!D36=0,Sorting!D36="Grand Total"),"",Sorting!D36)</f>
        <v>#N/A</v>
      </c>
      <c r="D35" t="e">
        <f>IF(OR(Sorting!F36=0,Sorting!F36="Grand Total"),"",Sorting!F36)</f>
        <v>#N/A</v>
      </c>
      <c r="E35" t="e">
        <f>IF(OR(Sorting!H36=0,Sorting!H36="Grand Total"),"",Sorting!H36)</f>
        <v>#N/A</v>
      </c>
      <c r="F35" t="e">
        <f>IF(OR(Sorting!J36=0,Sorting!J36="Grand Total"),"",Sorting!J36)</f>
        <v>#N/A</v>
      </c>
      <c r="G35" t="e">
        <f>IF(OR(Sorting!L36=0,Sorting!L36="Grand Total"),"",Sorting!L36)</f>
        <v>#N/A</v>
      </c>
      <c r="H35" t="e">
        <f>IF(OR(Sorting!O36=0,Sorting!O36="Grand Total"),"",Sorting!O36)</f>
        <v>#N/A</v>
      </c>
      <c r="I35" t="e">
        <f>IF(OR(Sorting!Q36=0,Sorting!Q36="Grand Total"),"",Sorting!Q36)</f>
        <v>#N/A</v>
      </c>
      <c r="J35" t="e">
        <f>IF(OR(Sorting!S36=0,Sorting!S36="Grand Total"),"",Sorting!S36)</f>
        <v>#N/A</v>
      </c>
      <c r="K35" t="e">
        <f>IF(OR(Sorting!U36=0,Sorting!U36="Grand Total"),"",Sorting!U36)</f>
        <v>#N/A</v>
      </c>
      <c r="L35" t="e">
        <f>IF(OR(Sorting!W36=0,Sorting!W36="Grand Total"),"",Sorting!W36)</f>
        <v>#N/A</v>
      </c>
      <c r="M35" t="e">
        <f>IF(OR(Sorting!Y36=0,Sorting!Y36="Grand Total"),"",Sorting!Y36)</f>
        <v>#N/A</v>
      </c>
      <c r="N35" t="e">
        <f>MIN(B35,C35,D35,E35,F35,G35,H35,I35,J35,K35,L35,M35)</f>
        <v>#N/A</v>
      </c>
      <c r="O35">
        <v>33</v>
      </c>
      <c r="P35" t="e">
        <f>IF(OR(LOG10(SUM(B$3:B35))=P34,P34=""),"",LOG10(SUM(B$3:B35)))</f>
        <v>#N/A</v>
      </c>
      <c r="Q35" t="e">
        <f>IF(OR(LOG10(SUM(C$3:C35))=Q34,Q34=""),"",LOG10(SUM(C$3:C35)))</f>
        <v>#N/A</v>
      </c>
      <c r="R35" t="e">
        <f>IF(OR(LOG10(SUM(D$3:D35))=R34,R34=""),"",LOG10(SUM(D$3:D35)))</f>
        <v>#N/A</v>
      </c>
      <c r="S35" t="e">
        <f>IF(OR(LOG10(SUM(E$3:E35))=S34,S34=""),"",LOG10(SUM(E$3:E35)))</f>
        <v>#N/A</v>
      </c>
      <c r="T35" t="e">
        <f>IF(OR(LOG10(SUM(F$3:F35))=T34,T34=""),"",LOG10(SUM(F$3:F35)))</f>
        <v>#N/A</v>
      </c>
      <c r="U35" t="e">
        <f>IF(OR(LOG10(SUM(G$3:G35))=U34,U34=""),"",LOG10(SUM(G$3:G35)))</f>
        <v>#N/A</v>
      </c>
      <c r="V35" t="e">
        <f>IF(OR(LOG10(SUM(H$3:H35))=V34,V34=""),"",LOG10(SUM(H$3:H35)))</f>
        <v>#N/A</v>
      </c>
      <c r="W35" t="e">
        <f>IF(OR(LOG10(SUM(I$3:I35))=W34,W34=""),"",LOG10(SUM(I$3:I35)))</f>
        <v>#N/A</v>
      </c>
      <c r="X35" t="e">
        <f>IF(OR(LOG10(SUM(J$3:J35))=X34,X34=""),"",LOG10(SUM(J$3:J35)))</f>
        <v>#N/A</v>
      </c>
      <c r="Y35" t="e">
        <f>IF(OR(LOG10(SUM(K$3:K35))=Y34,Y34=""),"",LOG10(SUM(K$3:K35)))</f>
        <v>#N/A</v>
      </c>
      <c r="Z35" t="e">
        <f>IF(OR(LOG10(SUM(L$3:L35))=Z34,Z34=""),"",LOG10(SUM(L$3:L35)))</f>
        <v>#N/A</v>
      </c>
      <c r="AA35" t="e">
        <f>IF(OR(LOG10(SUM(M$3:M35))=AA34,AA34=""),"",LOG10(SUM(M$3:M35)))</f>
        <v>#N/A</v>
      </c>
      <c r="AB35" t="e">
        <f>IF(OR(LOG10(SUM(N$3:N35))=AB34,AB34=""),"",LOG10(SUM(N$3:N35)))</f>
        <v>#N/A</v>
      </c>
    </row>
    <row r="36" spans="1:28" x14ac:dyDescent="0.25">
      <c r="A36">
        <v>34</v>
      </c>
      <c r="B36" t="e">
        <f>IF(OR(Sorting!B37=0,Sorting!B37="Grand Total"),"",Sorting!B37)</f>
        <v>#N/A</v>
      </c>
      <c r="C36" t="e">
        <f>IF(OR(Sorting!D37=0,Sorting!D37="Grand Total"),"",Sorting!D37)</f>
        <v>#N/A</v>
      </c>
      <c r="D36" t="e">
        <f>IF(OR(Sorting!F37=0,Sorting!F37="Grand Total"),"",Sorting!F37)</f>
        <v>#N/A</v>
      </c>
      <c r="E36" t="e">
        <f>IF(OR(Sorting!H37=0,Sorting!H37="Grand Total"),"",Sorting!H37)</f>
        <v>#N/A</v>
      </c>
      <c r="F36" t="e">
        <f>IF(OR(Sorting!J37=0,Sorting!J37="Grand Total"),"",Sorting!J37)</f>
        <v>#N/A</v>
      </c>
      <c r="G36" t="e">
        <f>IF(OR(Sorting!L37=0,Sorting!L37="Grand Total"),"",Sorting!L37)</f>
        <v>#N/A</v>
      </c>
      <c r="H36" t="e">
        <f>IF(OR(Sorting!O37=0,Sorting!O37="Grand Total"),"",Sorting!O37)</f>
        <v>#N/A</v>
      </c>
      <c r="I36" t="e">
        <f>IF(OR(Sorting!Q37=0,Sorting!Q37="Grand Total"),"",Sorting!Q37)</f>
        <v>#N/A</v>
      </c>
      <c r="J36" t="e">
        <f>IF(OR(Sorting!S37=0,Sorting!S37="Grand Total"),"",Sorting!S37)</f>
        <v>#N/A</v>
      </c>
      <c r="K36" t="e">
        <f>IF(OR(Sorting!U37=0,Sorting!U37="Grand Total"),"",Sorting!U37)</f>
        <v>#N/A</v>
      </c>
      <c r="L36" t="e">
        <f>IF(OR(Sorting!W37=0,Sorting!W37="Grand Total"),"",Sorting!W37)</f>
        <v>#N/A</v>
      </c>
      <c r="M36" t="e">
        <f>IF(OR(Sorting!Y37=0,Sorting!Y37="Grand Total"),"",Sorting!Y37)</f>
        <v>#N/A</v>
      </c>
      <c r="N36" t="e">
        <f>MIN(B36,C36,D36,E36,F36,G36,H36,I36,J36,K36,L36,M36)</f>
        <v>#N/A</v>
      </c>
      <c r="O36">
        <v>34</v>
      </c>
      <c r="P36" t="e">
        <f>IF(OR(LOG10(SUM(B$3:B36))=P35,P35=""),"",LOG10(SUM(B$3:B36)))</f>
        <v>#N/A</v>
      </c>
      <c r="Q36" t="e">
        <f>IF(OR(LOG10(SUM(C$3:C36))=Q35,Q35=""),"",LOG10(SUM(C$3:C36)))</f>
        <v>#N/A</v>
      </c>
      <c r="R36" t="e">
        <f>IF(OR(LOG10(SUM(D$3:D36))=R35,R35=""),"",LOG10(SUM(D$3:D36)))</f>
        <v>#N/A</v>
      </c>
      <c r="S36" t="e">
        <f>IF(OR(LOG10(SUM(E$3:E36))=S35,S35=""),"",LOG10(SUM(E$3:E36)))</f>
        <v>#N/A</v>
      </c>
      <c r="T36" t="e">
        <f>IF(OR(LOG10(SUM(F$3:F36))=T35,T35=""),"",LOG10(SUM(F$3:F36)))</f>
        <v>#N/A</v>
      </c>
      <c r="U36" t="e">
        <f>IF(OR(LOG10(SUM(G$3:G36))=U35,U35=""),"",LOG10(SUM(G$3:G36)))</f>
        <v>#N/A</v>
      </c>
      <c r="V36" t="e">
        <f>IF(OR(LOG10(SUM(H$3:H36))=V35,V35=""),"",LOG10(SUM(H$3:H36)))</f>
        <v>#N/A</v>
      </c>
      <c r="W36" t="e">
        <f>IF(OR(LOG10(SUM(I$3:I36))=W35,W35=""),"",LOG10(SUM(I$3:I36)))</f>
        <v>#N/A</v>
      </c>
      <c r="X36" t="e">
        <f>IF(OR(LOG10(SUM(J$3:J36))=X35,X35=""),"",LOG10(SUM(J$3:J36)))</f>
        <v>#N/A</v>
      </c>
      <c r="Y36" t="e">
        <f>IF(OR(LOG10(SUM(K$3:K36))=Y35,Y35=""),"",LOG10(SUM(K$3:K36)))</f>
        <v>#N/A</v>
      </c>
      <c r="Z36" t="e">
        <f>IF(OR(LOG10(SUM(L$3:L36))=Z35,Z35=""),"",LOG10(SUM(L$3:L36)))</f>
        <v>#N/A</v>
      </c>
      <c r="AA36" t="e">
        <f>IF(OR(LOG10(SUM(M$3:M36))=AA35,AA35=""),"",LOG10(SUM(M$3:M36)))</f>
        <v>#N/A</v>
      </c>
      <c r="AB36" t="e">
        <f>IF(OR(LOG10(SUM(N$3:N36))=AB35,AB35=""),"",LOG10(SUM(N$3:N36)))</f>
        <v>#N/A</v>
      </c>
    </row>
    <row r="37" spans="1:28" x14ac:dyDescent="0.25">
      <c r="A37">
        <v>35</v>
      </c>
      <c r="B37" t="e">
        <f>IF(OR(Sorting!B38=0,Sorting!B38="Grand Total"),"",Sorting!B38)</f>
        <v>#N/A</v>
      </c>
      <c r="C37" t="e">
        <f>IF(OR(Sorting!D38=0,Sorting!D38="Grand Total"),"",Sorting!D38)</f>
        <v>#N/A</v>
      </c>
      <c r="D37" t="e">
        <f>IF(OR(Sorting!F38=0,Sorting!F38="Grand Total"),"",Sorting!F38)</f>
        <v>#N/A</v>
      </c>
      <c r="E37" t="e">
        <f>IF(OR(Sorting!H38=0,Sorting!H38="Grand Total"),"",Sorting!H38)</f>
        <v>#N/A</v>
      </c>
      <c r="F37" t="e">
        <f>IF(OR(Sorting!J38=0,Sorting!J38="Grand Total"),"",Sorting!J38)</f>
        <v>#N/A</v>
      </c>
      <c r="G37" t="e">
        <f>IF(OR(Sorting!L38=0,Sorting!L38="Grand Total"),"",Sorting!L38)</f>
        <v>#N/A</v>
      </c>
      <c r="H37" t="e">
        <f>IF(OR(Sorting!O38=0,Sorting!O38="Grand Total"),"",Sorting!O38)</f>
        <v>#N/A</v>
      </c>
      <c r="I37" t="e">
        <f>IF(OR(Sorting!Q38=0,Sorting!Q38="Grand Total"),"",Sorting!Q38)</f>
        <v>#N/A</v>
      </c>
      <c r="J37" t="e">
        <f>IF(OR(Sorting!S38=0,Sorting!S38="Grand Total"),"",Sorting!S38)</f>
        <v>#N/A</v>
      </c>
      <c r="K37" t="e">
        <f>IF(OR(Sorting!U38=0,Sorting!U38="Grand Total"),"",Sorting!U38)</f>
        <v>#N/A</v>
      </c>
      <c r="L37" t="e">
        <f>IF(OR(Sorting!W38=0,Sorting!W38="Grand Total"),"",Sorting!W38)</f>
        <v>#N/A</v>
      </c>
      <c r="M37" t="e">
        <f>IF(OR(Sorting!Y38=0,Sorting!Y38="Grand Total"),"",Sorting!Y38)</f>
        <v>#N/A</v>
      </c>
      <c r="N37" t="e">
        <f>MIN(B37,C37,D37,E37,F37,G37,H37,I37,J37,K37,L37,M37)</f>
        <v>#N/A</v>
      </c>
      <c r="O37">
        <v>35</v>
      </c>
      <c r="P37" t="e">
        <f>IF(OR(LOG10(SUM(B$3:B37))=P36,P36=""),"",LOG10(SUM(B$3:B37)))</f>
        <v>#N/A</v>
      </c>
      <c r="Q37" t="e">
        <f>IF(OR(LOG10(SUM(C$3:C37))=Q36,Q36=""),"",LOG10(SUM(C$3:C37)))</f>
        <v>#N/A</v>
      </c>
      <c r="R37" t="e">
        <f>IF(OR(LOG10(SUM(D$3:D37))=R36,R36=""),"",LOG10(SUM(D$3:D37)))</f>
        <v>#N/A</v>
      </c>
      <c r="S37" t="e">
        <f>IF(OR(LOG10(SUM(E$3:E37))=S36,S36=""),"",LOG10(SUM(E$3:E37)))</f>
        <v>#N/A</v>
      </c>
      <c r="T37" t="e">
        <f>IF(OR(LOG10(SUM(F$3:F37))=T36,T36=""),"",LOG10(SUM(F$3:F37)))</f>
        <v>#N/A</v>
      </c>
      <c r="U37" t="e">
        <f>IF(OR(LOG10(SUM(G$3:G37))=U36,U36=""),"",LOG10(SUM(G$3:G37)))</f>
        <v>#N/A</v>
      </c>
      <c r="V37" t="e">
        <f>IF(OR(LOG10(SUM(H$3:H37))=V36,V36=""),"",LOG10(SUM(H$3:H37)))</f>
        <v>#N/A</v>
      </c>
      <c r="W37" t="e">
        <f>IF(OR(LOG10(SUM(I$3:I37))=W36,W36=""),"",LOG10(SUM(I$3:I37)))</f>
        <v>#N/A</v>
      </c>
      <c r="X37" t="e">
        <f>IF(OR(LOG10(SUM(J$3:J37))=X36,X36=""),"",LOG10(SUM(J$3:J37)))</f>
        <v>#N/A</v>
      </c>
      <c r="Y37" t="e">
        <f>IF(OR(LOG10(SUM(K$3:K37))=Y36,Y36=""),"",LOG10(SUM(K$3:K37)))</f>
        <v>#N/A</v>
      </c>
      <c r="Z37" t="e">
        <f>IF(OR(LOG10(SUM(L$3:L37))=Z36,Z36=""),"",LOG10(SUM(L$3:L37)))</f>
        <v>#N/A</v>
      </c>
      <c r="AA37" t="e">
        <f>IF(OR(LOG10(SUM(M$3:M37))=AA36,AA36=""),"",LOG10(SUM(M$3:M37)))</f>
        <v>#N/A</v>
      </c>
      <c r="AB37" t="e">
        <f>IF(OR(LOG10(SUM(N$3:N37))=AB36,AB36=""),"",LOG10(SUM(N$3:N37)))</f>
        <v>#N/A</v>
      </c>
    </row>
    <row r="38" spans="1:28" x14ac:dyDescent="0.25">
      <c r="A38">
        <v>36</v>
      </c>
      <c r="B38" t="e">
        <f>IF(OR(Sorting!B39=0,Sorting!B39="Grand Total"),"",Sorting!B39)</f>
        <v>#N/A</v>
      </c>
      <c r="C38" t="e">
        <f>IF(OR(Sorting!D39=0,Sorting!D39="Grand Total"),"",Sorting!D39)</f>
        <v>#N/A</v>
      </c>
      <c r="D38" t="e">
        <f>IF(OR(Sorting!F39=0,Sorting!F39="Grand Total"),"",Sorting!F39)</f>
        <v>#N/A</v>
      </c>
      <c r="E38" t="e">
        <f>IF(OR(Sorting!H39=0,Sorting!H39="Grand Total"),"",Sorting!H39)</f>
        <v>#N/A</v>
      </c>
      <c r="F38" t="e">
        <f>IF(OR(Sorting!J39=0,Sorting!J39="Grand Total"),"",Sorting!J39)</f>
        <v>#N/A</v>
      </c>
      <c r="G38" t="e">
        <f>IF(OR(Sorting!L39=0,Sorting!L39="Grand Total"),"",Sorting!L39)</f>
        <v>#N/A</v>
      </c>
      <c r="H38" t="e">
        <f>IF(OR(Sorting!O39=0,Sorting!O39="Grand Total"),"",Sorting!O39)</f>
        <v>#N/A</v>
      </c>
      <c r="I38" t="e">
        <f>IF(OR(Sorting!Q39=0,Sorting!Q39="Grand Total"),"",Sorting!Q39)</f>
        <v>#N/A</v>
      </c>
      <c r="J38" t="e">
        <f>IF(OR(Sorting!S39=0,Sorting!S39="Grand Total"),"",Sorting!S39)</f>
        <v>#N/A</v>
      </c>
      <c r="K38" t="e">
        <f>IF(OR(Sorting!U39=0,Sorting!U39="Grand Total"),"",Sorting!U39)</f>
        <v>#N/A</v>
      </c>
      <c r="L38" t="e">
        <f>IF(OR(Sorting!W39=0,Sorting!W39="Grand Total"),"",Sorting!W39)</f>
        <v>#N/A</v>
      </c>
      <c r="M38" t="e">
        <f>IF(OR(Sorting!Y39=0,Sorting!Y39="Grand Total"),"",Sorting!Y39)</f>
        <v>#N/A</v>
      </c>
      <c r="N38" t="e">
        <f>MIN(B38,C38,D38,E38,F38,G38,H38,I38,J38,K38,L38,M38)</f>
        <v>#N/A</v>
      </c>
      <c r="O38">
        <v>36</v>
      </c>
      <c r="P38" t="e">
        <f>IF(OR(LOG10(SUM(B$3:B38))=P37,P37=""),"",LOG10(SUM(B$3:B38)))</f>
        <v>#N/A</v>
      </c>
      <c r="Q38" t="e">
        <f>IF(OR(LOG10(SUM(C$3:C38))=Q37,Q37=""),"",LOG10(SUM(C$3:C38)))</f>
        <v>#N/A</v>
      </c>
      <c r="R38" t="e">
        <f>IF(OR(LOG10(SUM(D$3:D38))=R37,R37=""),"",LOG10(SUM(D$3:D38)))</f>
        <v>#N/A</v>
      </c>
      <c r="S38" t="e">
        <f>IF(OR(LOG10(SUM(E$3:E38))=S37,S37=""),"",LOG10(SUM(E$3:E38)))</f>
        <v>#N/A</v>
      </c>
      <c r="T38" t="e">
        <f>IF(OR(LOG10(SUM(F$3:F38))=T37,T37=""),"",LOG10(SUM(F$3:F38)))</f>
        <v>#N/A</v>
      </c>
      <c r="U38" t="e">
        <f>IF(OR(LOG10(SUM(G$3:G38))=U37,U37=""),"",LOG10(SUM(G$3:G38)))</f>
        <v>#N/A</v>
      </c>
      <c r="V38" t="e">
        <f>IF(OR(LOG10(SUM(H$3:H38))=V37,V37=""),"",LOG10(SUM(H$3:H38)))</f>
        <v>#N/A</v>
      </c>
      <c r="W38" t="e">
        <f>IF(OR(LOG10(SUM(I$3:I38))=W37,W37=""),"",LOG10(SUM(I$3:I38)))</f>
        <v>#N/A</v>
      </c>
      <c r="X38" t="e">
        <f>IF(OR(LOG10(SUM(J$3:J38))=X37,X37=""),"",LOG10(SUM(J$3:J38)))</f>
        <v>#N/A</v>
      </c>
      <c r="Y38" t="e">
        <f>IF(OR(LOG10(SUM(K$3:K38))=Y37,Y37=""),"",LOG10(SUM(K$3:K38)))</f>
        <v>#N/A</v>
      </c>
      <c r="Z38" t="e">
        <f>IF(OR(LOG10(SUM(L$3:L38))=Z37,Z37=""),"",LOG10(SUM(L$3:L38)))</f>
        <v>#N/A</v>
      </c>
      <c r="AA38" t="e">
        <f>IF(OR(LOG10(SUM(M$3:M38))=AA37,AA37=""),"",LOG10(SUM(M$3:M38)))</f>
        <v>#N/A</v>
      </c>
      <c r="AB38" t="e">
        <f>IF(OR(LOG10(SUM(N$3:N38))=AB37,AB37=""),"",LOG10(SUM(N$3:N38)))</f>
        <v>#N/A</v>
      </c>
    </row>
    <row r="39" spans="1:28" x14ac:dyDescent="0.25">
      <c r="A39">
        <v>37</v>
      </c>
      <c r="B39" t="e">
        <f>IF(OR(Sorting!B40=0,Sorting!B40="Grand Total"),"",Sorting!B40)</f>
        <v>#N/A</v>
      </c>
      <c r="C39" t="e">
        <f>IF(OR(Sorting!D40=0,Sorting!D40="Grand Total"),"",Sorting!D40)</f>
        <v>#N/A</v>
      </c>
      <c r="D39" t="e">
        <f>IF(OR(Sorting!F40=0,Sorting!F40="Grand Total"),"",Sorting!F40)</f>
        <v>#N/A</v>
      </c>
      <c r="E39" t="e">
        <f>IF(OR(Sorting!H40=0,Sorting!H40="Grand Total"),"",Sorting!H40)</f>
        <v>#N/A</v>
      </c>
      <c r="F39" t="e">
        <f>IF(OR(Sorting!J40=0,Sorting!J40="Grand Total"),"",Sorting!J40)</f>
        <v>#N/A</v>
      </c>
      <c r="G39" t="e">
        <f>IF(OR(Sorting!L40=0,Sorting!L40="Grand Total"),"",Sorting!L40)</f>
        <v>#N/A</v>
      </c>
      <c r="H39" t="e">
        <f>IF(OR(Sorting!O40=0,Sorting!O40="Grand Total"),"",Sorting!O40)</f>
        <v>#N/A</v>
      </c>
      <c r="I39" t="e">
        <f>IF(OR(Sorting!Q40=0,Sorting!Q40="Grand Total"),"",Sorting!Q40)</f>
        <v>#N/A</v>
      </c>
      <c r="J39" t="e">
        <f>IF(OR(Sorting!S40=0,Sorting!S40="Grand Total"),"",Sorting!S40)</f>
        <v>#N/A</v>
      </c>
      <c r="K39" t="e">
        <f>IF(OR(Sorting!U40=0,Sorting!U40="Grand Total"),"",Sorting!U40)</f>
        <v>#N/A</v>
      </c>
      <c r="L39" t="e">
        <f>IF(OR(Sorting!W40=0,Sorting!W40="Grand Total"),"",Sorting!W40)</f>
        <v>#N/A</v>
      </c>
      <c r="M39" t="e">
        <f>IF(OR(Sorting!Y40=0,Sorting!Y40="Grand Total"),"",Sorting!Y40)</f>
        <v>#N/A</v>
      </c>
      <c r="N39" t="e">
        <f>MIN(B39,C39,D39,E39,F39,G39,H39,I39,J39,K39,L39,M39)</f>
        <v>#N/A</v>
      </c>
      <c r="O39">
        <v>37</v>
      </c>
      <c r="P39" t="e">
        <f>IF(OR(LOG10(SUM(B$3:B39))=P38,P38=""),"",LOG10(SUM(B$3:B39)))</f>
        <v>#N/A</v>
      </c>
      <c r="Q39" t="e">
        <f>IF(OR(LOG10(SUM(C$3:C39))=Q38,Q38=""),"",LOG10(SUM(C$3:C39)))</f>
        <v>#N/A</v>
      </c>
      <c r="R39" t="e">
        <f>IF(OR(LOG10(SUM(D$3:D39))=R38,R38=""),"",LOG10(SUM(D$3:D39)))</f>
        <v>#N/A</v>
      </c>
      <c r="S39" t="e">
        <f>IF(OR(LOG10(SUM(E$3:E39))=S38,S38=""),"",LOG10(SUM(E$3:E39)))</f>
        <v>#N/A</v>
      </c>
      <c r="T39" t="e">
        <f>IF(OR(LOG10(SUM(F$3:F39))=T38,T38=""),"",LOG10(SUM(F$3:F39)))</f>
        <v>#N/A</v>
      </c>
      <c r="U39" t="e">
        <f>IF(OR(LOG10(SUM(G$3:G39))=U38,U38=""),"",LOG10(SUM(G$3:G39)))</f>
        <v>#N/A</v>
      </c>
      <c r="V39" t="e">
        <f>IF(OR(LOG10(SUM(H$3:H39))=V38,V38=""),"",LOG10(SUM(H$3:H39)))</f>
        <v>#N/A</v>
      </c>
      <c r="W39" t="e">
        <f>IF(OR(LOG10(SUM(I$3:I39))=W38,W38=""),"",LOG10(SUM(I$3:I39)))</f>
        <v>#N/A</v>
      </c>
      <c r="X39" t="e">
        <f>IF(OR(LOG10(SUM(J$3:J39))=X38,X38=""),"",LOG10(SUM(J$3:J39)))</f>
        <v>#N/A</v>
      </c>
      <c r="Y39" t="e">
        <f>IF(OR(LOG10(SUM(K$3:K39))=Y38,Y38=""),"",LOG10(SUM(K$3:K39)))</f>
        <v>#N/A</v>
      </c>
      <c r="Z39" t="e">
        <f>IF(OR(LOG10(SUM(L$3:L39))=Z38,Z38=""),"",LOG10(SUM(L$3:L39)))</f>
        <v>#N/A</v>
      </c>
      <c r="AA39" t="e">
        <f>IF(OR(LOG10(SUM(M$3:M39))=AA38,AA38=""),"",LOG10(SUM(M$3:M39)))</f>
        <v>#N/A</v>
      </c>
      <c r="AB39" t="e">
        <f>IF(OR(LOG10(SUM(N$3:N39))=AB38,AB38=""),"",LOG10(SUM(N$3:N39)))</f>
        <v>#N/A</v>
      </c>
    </row>
    <row r="40" spans="1:28" x14ac:dyDescent="0.25">
      <c r="A40">
        <v>38</v>
      </c>
      <c r="B40" t="e">
        <f>IF(OR(Sorting!B41=0,Sorting!B41="Grand Total"),"",Sorting!B41)</f>
        <v>#N/A</v>
      </c>
      <c r="C40" t="e">
        <f>IF(OR(Sorting!D41=0,Sorting!D41="Grand Total"),"",Sorting!D41)</f>
        <v>#N/A</v>
      </c>
      <c r="D40" t="e">
        <f>IF(OR(Sorting!F41=0,Sorting!F41="Grand Total"),"",Sorting!F41)</f>
        <v>#N/A</v>
      </c>
      <c r="E40" t="e">
        <f>IF(OR(Sorting!H41=0,Sorting!H41="Grand Total"),"",Sorting!H41)</f>
        <v>#N/A</v>
      </c>
      <c r="F40" t="e">
        <f>IF(OR(Sorting!J41=0,Sorting!J41="Grand Total"),"",Sorting!J41)</f>
        <v>#N/A</v>
      </c>
      <c r="G40" t="e">
        <f>IF(OR(Sorting!L41=0,Sorting!L41="Grand Total"),"",Sorting!L41)</f>
        <v>#N/A</v>
      </c>
      <c r="H40" t="e">
        <f>IF(OR(Sorting!O41=0,Sorting!O41="Grand Total"),"",Sorting!O41)</f>
        <v>#N/A</v>
      </c>
      <c r="I40" t="e">
        <f>IF(OR(Sorting!Q41=0,Sorting!Q41="Grand Total"),"",Sorting!Q41)</f>
        <v>#N/A</v>
      </c>
      <c r="J40" t="e">
        <f>IF(OR(Sorting!S41=0,Sorting!S41="Grand Total"),"",Sorting!S41)</f>
        <v>#N/A</v>
      </c>
      <c r="K40" t="e">
        <f>IF(OR(Sorting!U41=0,Sorting!U41="Grand Total"),"",Sorting!U41)</f>
        <v>#N/A</v>
      </c>
      <c r="L40" t="e">
        <f>IF(OR(Sorting!W41=0,Sorting!W41="Grand Total"),"",Sorting!W41)</f>
        <v>#N/A</v>
      </c>
      <c r="M40" t="e">
        <f>IF(OR(Sorting!Y41=0,Sorting!Y41="Grand Total"),"",Sorting!Y41)</f>
        <v>#N/A</v>
      </c>
      <c r="N40" t="e">
        <f>MIN(B40,C40,D40,E40,F40,G40,H40,I40,J40,K40,L40,M40)</f>
        <v>#N/A</v>
      </c>
      <c r="O40">
        <v>38</v>
      </c>
      <c r="P40" t="e">
        <f>IF(OR(LOG10(SUM(B$3:B40))=P39,P39=""),"",LOG10(SUM(B$3:B40)))</f>
        <v>#N/A</v>
      </c>
      <c r="Q40" t="e">
        <f>IF(OR(LOG10(SUM(C$3:C40))=Q39,Q39=""),"",LOG10(SUM(C$3:C40)))</f>
        <v>#N/A</v>
      </c>
      <c r="R40" t="e">
        <f>IF(OR(LOG10(SUM(D$3:D40))=R39,R39=""),"",LOG10(SUM(D$3:D40)))</f>
        <v>#N/A</v>
      </c>
      <c r="S40" t="e">
        <f>IF(OR(LOG10(SUM(E$3:E40))=S39,S39=""),"",LOG10(SUM(E$3:E40)))</f>
        <v>#N/A</v>
      </c>
      <c r="T40" t="e">
        <f>IF(OR(LOG10(SUM(F$3:F40))=T39,T39=""),"",LOG10(SUM(F$3:F40)))</f>
        <v>#N/A</v>
      </c>
      <c r="U40" t="e">
        <f>IF(OR(LOG10(SUM(G$3:G40))=U39,U39=""),"",LOG10(SUM(G$3:G40)))</f>
        <v>#N/A</v>
      </c>
      <c r="V40" t="e">
        <f>IF(OR(LOG10(SUM(H$3:H40))=V39,V39=""),"",LOG10(SUM(H$3:H40)))</f>
        <v>#N/A</v>
      </c>
      <c r="W40" t="e">
        <f>IF(OR(LOG10(SUM(I$3:I40))=W39,W39=""),"",LOG10(SUM(I$3:I40)))</f>
        <v>#N/A</v>
      </c>
      <c r="X40" t="e">
        <f>IF(OR(LOG10(SUM(J$3:J40))=X39,X39=""),"",LOG10(SUM(J$3:J40)))</f>
        <v>#N/A</v>
      </c>
      <c r="Y40" t="e">
        <f>IF(OR(LOG10(SUM(K$3:K40))=Y39,Y39=""),"",LOG10(SUM(K$3:K40)))</f>
        <v>#N/A</v>
      </c>
      <c r="Z40" t="e">
        <f>IF(OR(LOG10(SUM(L$3:L40))=Z39,Z39=""),"",LOG10(SUM(L$3:L40)))</f>
        <v>#N/A</v>
      </c>
      <c r="AA40" t="e">
        <f>IF(OR(LOG10(SUM(M$3:M40))=AA39,AA39=""),"",LOG10(SUM(M$3:M40)))</f>
        <v>#N/A</v>
      </c>
      <c r="AB40" t="e">
        <f>IF(OR(LOG10(SUM(N$3:N40))=AB39,AB39=""),"",LOG10(SUM(N$3:N40)))</f>
        <v>#N/A</v>
      </c>
    </row>
    <row r="41" spans="1:28" x14ac:dyDescent="0.25">
      <c r="A41">
        <v>39</v>
      </c>
      <c r="B41" t="e">
        <f>IF(OR(Sorting!B42=0,Sorting!B42="Grand Total"),"",Sorting!B42)</f>
        <v>#N/A</v>
      </c>
      <c r="C41" t="e">
        <f>IF(OR(Sorting!D42=0,Sorting!D42="Grand Total"),"",Sorting!D42)</f>
        <v>#N/A</v>
      </c>
      <c r="D41" t="e">
        <f>IF(OR(Sorting!F42=0,Sorting!F42="Grand Total"),"",Sorting!F42)</f>
        <v>#N/A</v>
      </c>
      <c r="E41" t="e">
        <f>IF(OR(Sorting!H42=0,Sorting!H42="Grand Total"),"",Sorting!H42)</f>
        <v>#N/A</v>
      </c>
      <c r="F41" t="e">
        <f>IF(OR(Sorting!J42=0,Sorting!J42="Grand Total"),"",Sorting!J42)</f>
        <v>#N/A</v>
      </c>
      <c r="G41" t="e">
        <f>IF(OR(Sorting!L42=0,Sorting!L42="Grand Total"),"",Sorting!L42)</f>
        <v>#N/A</v>
      </c>
      <c r="H41" t="e">
        <f>IF(OR(Sorting!O42=0,Sorting!O42="Grand Total"),"",Sorting!O42)</f>
        <v>#N/A</v>
      </c>
      <c r="I41" t="e">
        <f>IF(OR(Sorting!Q42=0,Sorting!Q42="Grand Total"),"",Sorting!Q42)</f>
        <v>#N/A</v>
      </c>
      <c r="J41" t="e">
        <f>IF(OR(Sorting!S42=0,Sorting!S42="Grand Total"),"",Sorting!S42)</f>
        <v>#N/A</v>
      </c>
      <c r="K41" t="e">
        <f>IF(OR(Sorting!U42=0,Sorting!U42="Grand Total"),"",Sorting!U42)</f>
        <v>#N/A</v>
      </c>
      <c r="L41" t="e">
        <f>IF(OR(Sorting!W42=0,Sorting!W42="Grand Total"),"",Sorting!W42)</f>
        <v>#N/A</v>
      </c>
      <c r="M41" t="e">
        <f>IF(OR(Sorting!Y42=0,Sorting!Y42="Grand Total"),"",Sorting!Y42)</f>
        <v>#N/A</v>
      </c>
      <c r="N41" t="e">
        <f>MIN(B41,C41,D41,E41,F41,G41,H41,I41,J41,K41,L41,M41)</f>
        <v>#N/A</v>
      </c>
      <c r="O41">
        <v>39</v>
      </c>
      <c r="P41" t="e">
        <f>IF(OR(LOG10(SUM(B$3:B41))=P40,P40=""),"",LOG10(SUM(B$3:B41)))</f>
        <v>#N/A</v>
      </c>
      <c r="Q41" t="e">
        <f>IF(OR(LOG10(SUM(C$3:C41))=Q40,Q40=""),"",LOG10(SUM(C$3:C41)))</f>
        <v>#N/A</v>
      </c>
      <c r="R41" t="e">
        <f>IF(OR(LOG10(SUM(D$3:D41))=R40,R40=""),"",LOG10(SUM(D$3:D41)))</f>
        <v>#N/A</v>
      </c>
      <c r="S41" t="e">
        <f>IF(OR(LOG10(SUM(E$3:E41))=S40,S40=""),"",LOG10(SUM(E$3:E41)))</f>
        <v>#N/A</v>
      </c>
      <c r="T41" t="e">
        <f>IF(OR(LOG10(SUM(F$3:F41))=T40,T40=""),"",LOG10(SUM(F$3:F41)))</f>
        <v>#N/A</v>
      </c>
      <c r="U41" t="e">
        <f>IF(OR(LOG10(SUM(G$3:G41))=U40,U40=""),"",LOG10(SUM(G$3:G41)))</f>
        <v>#N/A</v>
      </c>
      <c r="V41" t="e">
        <f>IF(OR(LOG10(SUM(H$3:H41))=V40,V40=""),"",LOG10(SUM(H$3:H41)))</f>
        <v>#N/A</v>
      </c>
      <c r="W41" t="e">
        <f>IF(OR(LOG10(SUM(I$3:I41))=W40,W40=""),"",LOG10(SUM(I$3:I41)))</f>
        <v>#N/A</v>
      </c>
      <c r="X41" t="e">
        <f>IF(OR(LOG10(SUM(J$3:J41))=X40,X40=""),"",LOG10(SUM(J$3:J41)))</f>
        <v>#N/A</v>
      </c>
      <c r="Y41" t="e">
        <f>IF(OR(LOG10(SUM(K$3:K41))=Y40,Y40=""),"",LOG10(SUM(K$3:K41)))</f>
        <v>#N/A</v>
      </c>
      <c r="Z41" t="e">
        <f>IF(OR(LOG10(SUM(L$3:L41))=Z40,Z40=""),"",LOG10(SUM(L$3:L41)))</f>
        <v>#N/A</v>
      </c>
      <c r="AA41" t="e">
        <f>IF(OR(LOG10(SUM(M$3:M41))=AA40,AA40=""),"",LOG10(SUM(M$3:M41)))</f>
        <v>#N/A</v>
      </c>
      <c r="AB41" t="e">
        <f>IF(OR(LOG10(SUM(N$3:N41))=AB40,AB40=""),"",LOG10(SUM(N$3:N41)))</f>
        <v>#N/A</v>
      </c>
    </row>
    <row r="42" spans="1:28" x14ac:dyDescent="0.25">
      <c r="A42">
        <v>40</v>
      </c>
      <c r="B42" t="e">
        <f>IF(OR(Sorting!B43=0,Sorting!B43="Grand Total"),"",Sorting!B43)</f>
        <v>#N/A</v>
      </c>
      <c r="C42" t="e">
        <f>IF(OR(Sorting!D43=0,Sorting!D43="Grand Total"),"",Sorting!D43)</f>
        <v>#N/A</v>
      </c>
      <c r="D42" t="e">
        <f>IF(OR(Sorting!F43=0,Sorting!F43="Grand Total"),"",Sorting!F43)</f>
        <v>#N/A</v>
      </c>
      <c r="E42" t="e">
        <f>IF(OR(Sorting!H43=0,Sorting!H43="Grand Total"),"",Sorting!H43)</f>
        <v>#N/A</v>
      </c>
      <c r="F42" t="e">
        <f>IF(OR(Sorting!J43=0,Sorting!J43="Grand Total"),"",Sorting!J43)</f>
        <v>#N/A</v>
      </c>
      <c r="G42" t="e">
        <f>IF(OR(Sorting!L43=0,Sorting!L43="Grand Total"),"",Sorting!L43)</f>
        <v>#N/A</v>
      </c>
      <c r="H42" t="e">
        <f>IF(OR(Sorting!O43=0,Sorting!O43="Grand Total"),"",Sorting!O43)</f>
        <v>#N/A</v>
      </c>
      <c r="I42" t="e">
        <f>IF(OR(Sorting!Q43=0,Sorting!Q43="Grand Total"),"",Sorting!Q43)</f>
        <v>#N/A</v>
      </c>
      <c r="J42" t="e">
        <f>IF(OR(Sorting!S43=0,Sorting!S43="Grand Total"),"",Sorting!S43)</f>
        <v>#N/A</v>
      </c>
      <c r="K42" t="e">
        <f>IF(OR(Sorting!U43=0,Sorting!U43="Grand Total"),"",Sorting!U43)</f>
        <v>#N/A</v>
      </c>
      <c r="L42" t="e">
        <f>IF(OR(Sorting!W43=0,Sorting!W43="Grand Total"),"",Sorting!W43)</f>
        <v>#N/A</v>
      </c>
      <c r="M42" t="e">
        <f>IF(OR(Sorting!Y43=0,Sorting!Y43="Grand Total"),"",Sorting!Y43)</f>
        <v>#N/A</v>
      </c>
      <c r="N42" t="e">
        <f>MIN(B42,C42,D42,E42,F42,G42,H42,I42,J42,K42,L42,M42)</f>
        <v>#N/A</v>
      </c>
      <c r="O42">
        <v>40</v>
      </c>
      <c r="P42" t="e">
        <f>IF(OR(LOG10(SUM(B$3:B42))=P41,P41=""),"",LOG10(SUM(B$3:B42)))</f>
        <v>#N/A</v>
      </c>
      <c r="Q42" t="e">
        <f>IF(OR(LOG10(SUM(C$3:C42))=Q41,Q41=""),"",LOG10(SUM(C$3:C42)))</f>
        <v>#N/A</v>
      </c>
      <c r="R42" t="e">
        <f>IF(OR(LOG10(SUM(D$3:D42))=R41,R41=""),"",LOG10(SUM(D$3:D42)))</f>
        <v>#N/A</v>
      </c>
      <c r="S42" t="e">
        <f>IF(OR(LOG10(SUM(E$3:E42))=S41,S41=""),"",LOG10(SUM(E$3:E42)))</f>
        <v>#N/A</v>
      </c>
      <c r="T42" t="e">
        <f>IF(OR(LOG10(SUM(F$3:F42))=T41,T41=""),"",LOG10(SUM(F$3:F42)))</f>
        <v>#N/A</v>
      </c>
      <c r="U42" t="e">
        <f>IF(OR(LOG10(SUM(G$3:G42))=U41,U41=""),"",LOG10(SUM(G$3:G42)))</f>
        <v>#N/A</v>
      </c>
      <c r="V42" t="e">
        <f>IF(OR(LOG10(SUM(H$3:H42))=V41,V41=""),"",LOG10(SUM(H$3:H42)))</f>
        <v>#N/A</v>
      </c>
      <c r="W42" t="e">
        <f>IF(OR(LOG10(SUM(I$3:I42))=W41,W41=""),"",LOG10(SUM(I$3:I42)))</f>
        <v>#N/A</v>
      </c>
      <c r="X42" t="e">
        <f>IF(OR(LOG10(SUM(J$3:J42))=X41,X41=""),"",LOG10(SUM(J$3:J42)))</f>
        <v>#N/A</v>
      </c>
      <c r="Y42" t="e">
        <f>IF(OR(LOG10(SUM(K$3:K42))=Y41,Y41=""),"",LOG10(SUM(K$3:K42)))</f>
        <v>#N/A</v>
      </c>
      <c r="Z42" t="e">
        <f>IF(OR(LOG10(SUM(L$3:L42))=Z41,Z41=""),"",LOG10(SUM(L$3:L42)))</f>
        <v>#N/A</v>
      </c>
      <c r="AA42" t="e">
        <f>IF(OR(LOG10(SUM(M$3:M42))=AA41,AA41=""),"",LOG10(SUM(M$3:M42)))</f>
        <v>#N/A</v>
      </c>
      <c r="AB42" t="e">
        <f>IF(OR(LOG10(SUM(N$3:N42))=AB41,AB41=""),"",LOG10(SUM(N$3:N42)))</f>
        <v>#N/A</v>
      </c>
    </row>
    <row r="43" spans="1:28" x14ac:dyDescent="0.25">
      <c r="A43">
        <v>41</v>
      </c>
      <c r="B43" t="e">
        <f>IF(OR(Sorting!B44=0,Sorting!B44="Grand Total"),"",Sorting!B44)</f>
        <v>#N/A</v>
      </c>
      <c r="C43" t="e">
        <f>IF(OR(Sorting!D44=0,Sorting!D44="Grand Total"),"",Sorting!D44)</f>
        <v>#N/A</v>
      </c>
      <c r="D43" t="e">
        <f>IF(OR(Sorting!F44=0,Sorting!F44="Grand Total"),"",Sorting!F44)</f>
        <v>#N/A</v>
      </c>
      <c r="E43" t="e">
        <f>IF(OR(Sorting!H44=0,Sorting!H44="Grand Total"),"",Sorting!H44)</f>
        <v>#N/A</v>
      </c>
      <c r="F43" t="e">
        <f>IF(OR(Sorting!J44=0,Sorting!J44="Grand Total"),"",Sorting!J44)</f>
        <v>#N/A</v>
      </c>
      <c r="G43" t="e">
        <f>IF(OR(Sorting!L44=0,Sorting!L44="Grand Total"),"",Sorting!L44)</f>
        <v>#N/A</v>
      </c>
      <c r="H43" t="e">
        <f>IF(OR(Sorting!O44=0,Sorting!O44="Grand Total"),"",Sorting!O44)</f>
        <v>#N/A</v>
      </c>
      <c r="I43" t="e">
        <f>IF(OR(Sorting!Q44=0,Sorting!Q44="Grand Total"),"",Sorting!Q44)</f>
        <v>#N/A</v>
      </c>
      <c r="J43" t="e">
        <f>IF(OR(Sorting!S44=0,Sorting!S44="Grand Total"),"",Sorting!S44)</f>
        <v>#N/A</v>
      </c>
      <c r="K43" t="e">
        <f>IF(OR(Sorting!U44=0,Sorting!U44="Grand Total"),"",Sorting!U44)</f>
        <v>#N/A</v>
      </c>
      <c r="L43" t="e">
        <f>IF(OR(Sorting!W44=0,Sorting!W44="Grand Total"),"",Sorting!W44)</f>
        <v>#N/A</v>
      </c>
      <c r="M43" t="e">
        <f>IF(OR(Sorting!Y44=0,Sorting!Y44="Grand Total"),"",Sorting!Y44)</f>
        <v>#N/A</v>
      </c>
      <c r="N43" t="e">
        <f>MIN(B43,C43,D43,E43,F43,G43,H43,I43,J43,K43,L43,M43)</f>
        <v>#N/A</v>
      </c>
      <c r="O43">
        <v>41</v>
      </c>
      <c r="P43" t="e">
        <f>IF(OR(LOG10(SUM(B$3:B43))=P42,P42=""),"",LOG10(SUM(B$3:B43)))</f>
        <v>#N/A</v>
      </c>
      <c r="Q43" t="e">
        <f>IF(OR(LOG10(SUM(C$3:C43))=Q42,Q42=""),"",LOG10(SUM(C$3:C43)))</f>
        <v>#N/A</v>
      </c>
      <c r="R43" t="e">
        <f>IF(OR(LOG10(SUM(D$3:D43))=R42,R42=""),"",LOG10(SUM(D$3:D43)))</f>
        <v>#N/A</v>
      </c>
      <c r="S43" t="e">
        <f>IF(OR(LOG10(SUM(E$3:E43))=S42,S42=""),"",LOG10(SUM(E$3:E43)))</f>
        <v>#N/A</v>
      </c>
      <c r="T43" t="e">
        <f>IF(OR(LOG10(SUM(F$3:F43))=T42,T42=""),"",LOG10(SUM(F$3:F43)))</f>
        <v>#N/A</v>
      </c>
      <c r="U43" t="e">
        <f>IF(OR(LOG10(SUM(G$3:G43))=U42,U42=""),"",LOG10(SUM(G$3:G43)))</f>
        <v>#N/A</v>
      </c>
      <c r="V43" t="e">
        <f>IF(OR(LOG10(SUM(H$3:H43))=V42,V42=""),"",LOG10(SUM(H$3:H43)))</f>
        <v>#N/A</v>
      </c>
      <c r="W43" t="e">
        <f>IF(OR(LOG10(SUM(I$3:I43))=W42,W42=""),"",LOG10(SUM(I$3:I43)))</f>
        <v>#N/A</v>
      </c>
      <c r="X43" t="e">
        <f>IF(OR(LOG10(SUM(J$3:J43))=X42,X42=""),"",LOG10(SUM(J$3:J43)))</f>
        <v>#N/A</v>
      </c>
      <c r="Y43" t="e">
        <f>IF(OR(LOG10(SUM(K$3:K43))=Y42,Y42=""),"",LOG10(SUM(K$3:K43)))</f>
        <v>#N/A</v>
      </c>
      <c r="Z43" t="e">
        <f>IF(OR(LOG10(SUM(L$3:L43))=Z42,Z42=""),"",LOG10(SUM(L$3:L43)))</f>
        <v>#N/A</v>
      </c>
      <c r="AA43" t="e">
        <f>IF(OR(LOG10(SUM(M$3:M43))=AA42,AA42=""),"",LOG10(SUM(M$3:M43)))</f>
        <v>#N/A</v>
      </c>
      <c r="AB43" t="e">
        <f>IF(OR(LOG10(SUM(N$3:N43))=AB42,AB42=""),"",LOG10(SUM(N$3:N43)))</f>
        <v>#N/A</v>
      </c>
    </row>
    <row r="44" spans="1:28" x14ac:dyDescent="0.25">
      <c r="A44">
        <v>42</v>
      </c>
      <c r="B44" t="e">
        <f>IF(OR(Sorting!B45=0,Sorting!B45="Grand Total"),"",Sorting!B45)</f>
        <v>#N/A</v>
      </c>
      <c r="C44" t="e">
        <f>IF(OR(Sorting!D45=0,Sorting!D45="Grand Total"),"",Sorting!D45)</f>
        <v>#N/A</v>
      </c>
      <c r="D44" t="e">
        <f>IF(OR(Sorting!F45=0,Sorting!F45="Grand Total"),"",Sorting!F45)</f>
        <v>#N/A</v>
      </c>
      <c r="E44" t="e">
        <f>IF(OR(Sorting!H45=0,Sorting!H45="Grand Total"),"",Sorting!H45)</f>
        <v>#N/A</v>
      </c>
      <c r="F44" t="e">
        <f>IF(OR(Sorting!J45=0,Sorting!J45="Grand Total"),"",Sorting!J45)</f>
        <v>#N/A</v>
      </c>
      <c r="G44" t="e">
        <f>IF(OR(Sorting!L45=0,Sorting!L45="Grand Total"),"",Sorting!L45)</f>
        <v>#N/A</v>
      </c>
      <c r="H44" t="e">
        <f>IF(OR(Sorting!O45=0,Sorting!O45="Grand Total"),"",Sorting!O45)</f>
        <v>#N/A</v>
      </c>
      <c r="I44" t="e">
        <f>IF(OR(Sorting!Q45=0,Sorting!Q45="Grand Total"),"",Sorting!Q45)</f>
        <v>#N/A</v>
      </c>
      <c r="J44" t="e">
        <f>IF(OR(Sorting!S45=0,Sorting!S45="Grand Total"),"",Sorting!S45)</f>
        <v>#N/A</v>
      </c>
      <c r="K44" t="e">
        <f>IF(OR(Sorting!U45=0,Sorting!U45="Grand Total"),"",Sorting!U45)</f>
        <v>#N/A</v>
      </c>
      <c r="L44" t="e">
        <f>IF(OR(Sorting!W45=0,Sorting!W45="Grand Total"),"",Sorting!W45)</f>
        <v>#N/A</v>
      </c>
      <c r="M44" t="e">
        <f>IF(OR(Sorting!Y45=0,Sorting!Y45="Grand Total"),"",Sorting!Y45)</f>
        <v>#N/A</v>
      </c>
      <c r="N44" t="e">
        <f>MIN(B44,C44,D44,E44,F44,G44,H44,I44,J44,K44,L44,M44)</f>
        <v>#N/A</v>
      </c>
      <c r="O44">
        <v>42</v>
      </c>
      <c r="P44" t="e">
        <f>IF(OR(LOG10(SUM(B$3:B44))=P43,P43=""),"",LOG10(SUM(B$3:B44)))</f>
        <v>#N/A</v>
      </c>
      <c r="Q44" t="e">
        <f>IF(OR(LOG10(SUM(C$3:C44))=Q43,Q43=""),"",LOG10(SUM(C$3:C44)))</f>
        <v>#N/A</v>
      </c>
      <c r="R44" t="e">
        <f>IF(OR(LOG10(SUM(D$3:D44))=R43,R43=""),"",LOG10(SUM(D$3:D44)))</f>
        <v>#N/A</v>
      </c>
      <c r="S44" t="e">
        <f>IF(OR(LOG10(SUM(E$3:E44))=S43,S43=""),"",LOG10(SUM(E$3:E44)))</f>
        <v>#N/A</v>
      </c>
      <c r="T44" t="e">
        <f>IF(OR(LOG10(SUM(F$3:F44))=T43,T43=""),"",LOG10(SUM(F$3:F44)))</f>
        <v>#N/A</v>
      </c>
      <c r="U44" t="e">
        <f>IF(OR(LOG10(SUM(G$3:G44))=U43,U43=""),"",LOG10(SUM(G$3:G44)))</f>
        <v>#N/A</v>
      </c>
      <c r="V44" t="e">
        <f>IF(OR(LOG10(SUM(H$3:H44))=V43,V43=""),"",LOG10(SUM(H$3:H44)))</f>
        <v>#N/A</v>
      </c>
      <c r="W44" t="e">
        <f>IF(OR(LOG10(SUM(I$3:I44))=W43,W43=""),"",LOG10(SUM(I$3:I44)))</f>
        <v>#N/A</v>
      </c>
      <c r="X44" t="e">
        <f>IF(OR(LOG10(SUM(J$3:J44))=X43,X43=""),"",LOG10(SUM(J$3:J44)))</f>
        <v>#N/A</v>
      </c>
      <c r="Y44" t="e">
        <f>IF(OR(LOG10(SUM(K$3:K44))=Y43,Y43=""),"",LOG10(SUM(K$3:K44)))</f>
        <v>#N/A</v>
      </c>
      <c r="Z44" t="e">
        <f>IF(OR(LOG10(SUM(L$3:L44))=Z43,Z43=""),"",LOG10(SUM(L$3:L44)))</f>
        <v>#N/A</v>
      </c>
      <c r="AA44" t="e">
        <f>IF(OR(LOG10(SUM(M$3:M44))=AA43,AA43=""),"",LOG10(SUM(M$3:M44)))</f>
        <v>#N/A</v>
      </c>
      <c r="AB44" t="e">
        <f>IF(OR(LOG10(SUM(N$3:N44))=AB43,AB43=""),"",LOG10(SUM(N$3:N44)))</f>
        <v>#N/A</v>
      </c>
    </row>
    <row r="45" spans="1:28" x14ac:dyDescent="0.25">
      <c r="A45">
        <v>43</v>
      </c>
      <c r="B45" t="e">
        <f>IF(OR(Sorting!B46=0,Sorting!B46="Grand Total"),"",Sorting!B46)</f>
        <v>#N/A</v>
      </c>
      <c r="C45" t="e">
        <f>IF(OR(Sorting!D46=0,Sorting!D46="Grand Total"),"",Sorting!D46)</f>
        <v>#N/A</v>
      </c>
      <c r="D45" t="e">
        <f>IF(OR(Sorting!F46=0,Sorting!F46="Grand Total"),"",Sorting!F46)</f>
        <v>#N/A</v>
      </c>
      <c r="E45" t="e">
        <f>IF(OR(Sorting!H46=0,Sorting!H46="Grand Total"),"",Sorting!H46)</f>
        <v>#N/A</v>
      </c>
      <c r="F45" t="e">
        <f>IF(OR(Sorting!J46=0,Sorting!J46="Grand Total"),"",Sorting!J46)</f>
        <v>#N/A</v>
      </c>
      <c r="G45" t="e">
        <f>IF(OR(Sorting!L46=0,Sorting!L46="Grand Total"),"",Sorting!L46)</f>
        <v>#N/A</v>
      </c>
      <c r="H45" t="e">
        <f>IF(OR(Sorting!O46=0,Sorting!O46="Grand Total"),"",Sorting!O46)</f>
        <v>#N/A</v>
      </c>
      <c r="I45" t="e">
        <f>IF(OR(Sorting!Q46=0,Sorting!Q46="Grand Total"),"",Sorting!Q46)</f>
        <v>#N/A</v>
      </c>
      <c r="J45" t="e">
        <f>IF(OR(Sorting!S46=0,Sorting!S46="Grand Total"),"",Sorting!S46)</f>
        <v>#N/A</v>
      </c>
      <c r="K45" t="e">
        <f>IF(OR(Sorting!U46=0,Sorting!U46="Grand Total"),"",Sorting!U46)</f>
        <v>#N/A</v>
      </c>
      <c r="L45" t="e">
        <f>IF(OR(Sorting!W46=0,Sorting!W46="Grand Total"),"",Sorting!W46)</f>
        <v>#N/A</v>
      </c>
      <c r="M45" t="e">
        <f>IF(OR(Sorting!Y46=0,Sorting!Y46="Grand Total"),"",Sorting!Y46)</f>
        <v>#N/A</v>
      </c>
      <c r="N45" t="e">
        <f>MIN(B45,C45,D45,E45,F45,G45,H45,I45,J45,K45,L45,M45)</f>
        <v>#N/A</v>
      </c>
      <c r="O45">
        <v>43</v>
      </c>
      <c r="P45" t="e">
        <f>IF(OR(LOG10(SUM(B$3:B45))=P44,P44=""),"",LOG10(SUM(B$3:B45)))</f>
        <v>#N/A</v>
      </c>
      <c r="Q45" t="e">
        <f>IF(OR(LOG10(SUM(C$3:C45))=Q44,Q44=""),"",LOG10(SUM(C$3:C45)))</f>
        <v>#N/A</v>
      </c>
      <c r="R45" t="e">
        <f>IF(OR(LOG10(SUM(D$3:D45))=R44,R44=""),"",LOG10(SUM(D$3:D45)))</f>
        <v>#N/A</v>
      </c>
      <c r="S45" t="e">
        <f>IF(OR(LOG10(SUM(E$3:E45))=S44,S44=""),"",LOG10(SUM(E$3:E45)))</f>
        <v>#N/A</v>
      </c>
      <c r="T45" t="e">
        <f>IF(OR(LOG10(SUM(F$3:F45))=T44,T44=""),"",LOG10(SUM(F$3:F45)))</f>
        <v>#N/A</v>
      </c>
      <c r="U45" t="e">
        <f>IF(OR(LOG10(SUM(G$3:G45))=U44,U44=""),"",LOG10(SUM(G$3:G45)))</f>
        <v>#N/A</v>
      </c>
      <c r="V45" t="e">
        <f>IF(OR(LOG10(SUM(H$3:H45))=V44,V44=""),"",LOG10(SUM(H$3:H45)))</f>
        <v>#N/A</v>
      </c>
      <c r="W45" t="e">
        <f>IF(OR(LOG10(SUM(I$3:I45))=W44,W44=""),"",LOG10(SUM(I$3:I45)))</f>
        <v>#N/A</v>
      </c>
      <c r="X45" t="e">
        <f>IF(OR(LOG10(SUM(J$3:J45))=X44,X44=""),"",LOG10(SUM(J$3:J45)))</f>
        <v>#N/A</v>
      </c>
      <c r="Y45" t="e">
        <f>IF(OR(LOG10(SUM(K$3:K45))=Y44,Y44=""),"",LOG10(SUM(K$3:K45)))</f>
        <v>#N/A</v>
      </c>
      <c r="Z45" t="e">
        <f>IF(OR(LOG10(SUM(L$3:L45))=Z44,Z44=""),"",LOG10(SUM(L$3:L45)))</f>
        <v>#N/A</v>
      </c>
      <c r="AA45" t="e">
        <f>IF(OR(LOG10(SUM(M$3:M45))=AA44,AA44=""),"",LOG10(SUM(M$3:M45)))</f>
        <v>#N/A</v>
      </c>
      <c r="AB45" t="e">
        <f>IF(OR(LOG10(SUM(N$3:N45))=AB44,AB44=""),"",LOG10(SUM(N$3:N45)))</f>
        <v>#N/A</v>
      </c>
    </row>
    <row r="46" spans="1:28" x14ac:dyDescent="0.25">
      <c r="A46">
        <v>44</v>
      </c>
      <c r="B46" t="e">
        <f>IF(OR(Sorting!B47=0,Sorting!B47="Grand Total"),"",Sorting!B47)</f>
        <v>#N/A</v>
      </c>
      <c r="C46" t="e">
        <f>IF(OR(Sorting!D47=0,Sorting!D47="Grand Total"),"",Sorting!D47)</f>
        <v>#N/A</v>
      </c>
      <c r="D46" t="e">
        <f>IF(OR(Sorting!F47=0,Sorting!F47="Grand Total"),"",Sorting!F47)</f>
        <v>#N/A</v>
      </c>
      <c r="E46" t="e">
        <f>IF(OR(Sorting!H47=0,Sorting!H47="Grand Total"),"",Sorting!H47)</f>
        <v>#N/A</v>
      </c>
      <c r="F46" t="e">
        <f>IF(OR(Sorting!J47=0,Sorting!J47="Grand Total"),"",Sorting!J47)</f>
        <v>#N/A</v>
      </c>
      <c r="G46" t="e">
        <f>IF(OR(Sorting!L47=0,Sorting!L47="Grand Total"),"",Sorting!L47)</f>
        <v>#N/A</v>
      </c>
      <c r="H46" t="e">
        <f>IF(OR(Sorting!O47=0,Sorting!O47="Grand Total"),"",Sorting!O47)</f>
        <v>#N/A</v>
      </c>
      <c r="I46" t="e">
        <f>IF(OR(Sorting!Q47=0,Sorting!Q47="Grand Total"),"",Sorting!Q47)</f>
        <v>#N/A</v>
      </c>
      <c r="J46" t="e">
        <f>IF(OR(Sorting!S47=0,Sorting!S47="Grand Total"),"",Sorting!S47)</f>
        <v>#N/A</v>
      </c>
      <c r="K46" t="e">
        <f>IF(OR(Sorting!U47=0,Sorting!U47="Grand Total"),"",Sorting!U47)</f>
        <v>#N/A</v>
      </c>
      <c r="L46" t="e">
        <f>IF(OR(Sorting!W47=0,Sorting!W47="Grand Total"),"",Sorting!W47)</f>
        <v>#N/A</v>
      </c>
      <c r="M46" t="e">
        <f>IF(OR(Sorting!Y47=0,Sorting!Y47="Grand Total"),"",Sorting!Y47)</f>
        <v>#N/A</v>
      </c>
      <c r="N46" t="e">
        <f>MIN(B46,C46,D46,E46,F46,G46,H46,I46,J46,K46,L46,M46)</f>
        <v>#N/A</v>
      </c>
      <c r="O46">
        <v>44</v>
      </c>
      <c r="P46" t="e">
        <f>IF(OR(LOG10(SUM(B$3:B46))=P45,P45=""),"",LOG10(SUM(B$3:B46)))</f>
        <v>#N/A</v>
      </c>
      <c r="Q46" t="e">
        <f>IF(OR(LOG10(SUM(C$3:C46))=Q45,Q45=""),"",LOG10(SUM(C$3:C46)))</f>
        <v>#N/A</v>
      </c>
      <c r="R46" t="e">
        <f>IF(OR(LOG10(SUM(D$3:D46))=R45,R45=""),"",LOG10(SUM(D$3:D46)))</f>
        <v>#N/A</v>
      </c>
      <c r="S46" t="e">
        <f>IF(OR(LOG10(SUM(E$3:E46))=S45,S45=""),"",LOG10(SUM(E$3:E46)))</f>
        <v>#N/A</v>
      </c>
      <c r="T46" t="e">
        <f>IF(OR(LOG10(SUM(F$3:F46))=T45,T45=""),"",LOG10(SUM(F$3:F46)))</f>
        <v>#N/A</v>
      </c>
      <c r="U46" t="e">
        <f>IF(OR(LOG10(SUM(G$3:G46))=U45,U45=""),"",LOG10(SUM(G$3:G46)))</f>
        <v>#N/A</v>
      </c>
      <c r="V46" t="e">
        <f>IF(OR(LOG10(SUM(H$3:H46))=V45,V45=""),"",LOG10(SUM(H$3:H46)))</f>
        <v>#N/A</v>
      </c>
      <c r="W46" t="e">
        <f>IF(OR(LOG10(SUM(I$3:I46))=W45,W45=""),"",LOG10(SUM(I$3:I46)))</f>
        <v>#N/A</v>
      </c>
      <c r="X46" t="e">
        <f>IF(OR(LOG10(SUM(J$3:J46))=X45,X45=""),"",LOG10(SUM(J$3:J46)))</f>
        <v>#N/A</v>
      </c>
      <c r="Y46" t="e">
        <f>IF(OR(LOG10(SUM(K$3:K46))=Y45,Y45=""),"",LOG10(SUM(K$3:K46)))</f>
        <v>#N/A</v>
      </c>
      <c r="Z46" t="e">
        <f>IF(OR(LOG10(SUM(L$3:L46))=Z45,Z45=""),"",LOG10(SUM(L$3:L46)))</f>
        <v>#N/A</v>
      </c>
      <c r="AA46" t="e">
        <f>IF(OR(LOG10(SUM(M$3:M46))=AA45,AA45=""),"",LOG10(SUM(M$3:M46)))</f>
        <v>#N/A</v>
      </c>
      <c r="AB46" t="e">
        <f>IF(OR(LOG10(SUM(N$3:N46))=AB45,AB45=""),"",LOG10(SUM(N$3:N46)))</f>
        <v>#N/A</v>
      </c>
    </row>
    <row r="47" spans="1:28" x14ac:dyDescent="0.25">
      <c r="A47">
        <v>45</v>
      </c>
      <c r="B47" t="e">
        <f>IF(OR(Sorting!B48=0,Sorting!B48="Grand Total"),"",Sorting!B48)</f>
        <v>#N/A</v>
      </c>
      <c r="C47" t="e">
        <f>IF(OR(Sorting!D48=0,Sorting!D48="Grand Total"),"",Sorting!D48)</f>
        <v>#N/A</v>
      </c>
      <c r="D47" t="e">
        <f>IF(OR(Sorting!F48=0,Sorting!F48="Grand Total"),"",Sorting!F48)</f>
        <v>#N/A</v>
      </c>
      <c r="E47" t="e">
        <f>IF(OR(Sorting!H48=0,Sorting!H48="Grand Total"),"",Sorting!H48)</f>
        <v>#N/A</v>
      </c>
      <c r="F47" t="e">
        <f>IF(OR(Sorting!J48=0,Sorting!J48="Grand Total"),"",Sorting!J48)</f>
        <v>#N/A</v>
      </c>
      <c r="G47" t="e">
        <f>IF(OR(Sorting!L48=0,Sorting!L48="Grand Total"),"",Sorting!L48)</f>
        <v>#N/A</v>
      </c>
      <c r="H47" t="e">
        <f>IF(OR(Sorting!O48=0,Sorting!O48="Grand Total"),"",Sorting!O48)</f>
        <v>#N/A</v>
      </c>
      <c r="I47" t="e">
        <f>IF(OR(Sorting!Q48=0,Sorting!Q48="Grand Total"),"",Sorting!Q48)</f>
        <v>#N/A</v>
      </c>
      <c r="J47" t="e">
        <f>IF(OR(Sorting!S48=0,Sorting!S48="Grand Total"),"",Sorting!S48)</f>
        <v>#N/A</v>
      </c>
      <c r="K47" t="e">
        <f>IF(OR(Sorting!U48=0,Sorting!U48="Grand Total"),"",Sorting!U48)</f>
        <v>#N/A</v>
      </c>
      <c r="L47" t="e">
        <f>IF(OR(Sorting!W48=0,Sorting!W48="Grand Total"),"",Sorting!W48)</f>
        <v>#N/A</v>
      </c>
      <c r="M47" t="e">
        <f>IF(OR(Sorting!Y48=0,Sorting!Y48="Grand Total"),"",Sorting!Y48)</f>
        <v>#N/A</v>
      </c>
      <c r="N47" t="e">
        <f>MIN(B47,C47,D47,E47,F47,G47,H47,I47,J47,K47,L47,M47)</f>
        <v>#N/A</v>
      </c>
      <c r="O47">
        <v>45</v>
      </c>
      <c r="P47" t="e">
        <f>IF(OR(LOG10(SUM(B$3:B47))=P46,P46=""),"",LOG10(SUM(B$3:B47)))</f>
        <v>#N/A</v>
      </c>
      <c r="Q47" t="e">
        <f>IF(OR(LOG10(SUM(C$3:C47))=Q46,Q46=""),"",LOG10(SUM(C$3:C47)))</f>
        <v>#N/A</v>
      </c>
      <c r="R47" t="e">
        <f>IF(OR(LOG10(SUM(D$3:D47))=R46,R46=""),"",LOG10(SUM(D$3:D47)))</f>
        <v>#N/A</v>
      </c>
      <c r="S47" t="e">
        <f>IF(OR(LOG10(SUM(E$3:E47))=S46,S46=""),"",LOG10(SUM(E$3:E47)))</f>
        <v>#N/A</v>
      </c>
      <c r="T47" t="e">
        <f>IF(OR(LOG10(SUM(F$3:F47))=T46,T46=""),"",LOG10(SUM(F$3:F47)))</f>
        <v>#N/A</v>
      </c>
      <c r="U47" t="e">
        <f>IF(OR(LOG10(SUM(G$3:G47))=U46,U46=""),"",LOG10(SUM(G$3:G47)))</f>
        <v>#N/A</v>
      </c>
      <c r="V47" t="e">
        <f>IF(OR(LOG10(SUM(H$3:H47))=V46,V46=""),"",LOG10(SUM(H$3:H47)))</f>
        <v>#N/A</v>
      </c>
      <c r="W47" t="e">
        <f>IF(OR(LOG10(SUM(I$3:I47))=W46,W46=""),"",LOG10(SUM(I$3:I47)))</f>
        <v>#N/A</v>
      </c>
      <c r="X47" t="e">
        <f>IF(OR(LOG10(SUM(J$3:J47))=X46,X46=""),"",LOG10(SUM(J$3:J47)))</f>
        <v>#N/A</v>
      </c>
      <c r="Y47" t="e">
        <f>IF(OR(LOG10(SUM(K$3:K47))=Y46,Y46=""),"",LOG10(SUM(K$3:K47)))</f>
        <v>#N/A</v>
      </c>
      <c r="Z47" t="e">
        <f>IF(OR(LOG10(SUM(L$3:L47))=Z46,Z46=""),"",LOG10(SUM(L$3:L47)))</f>
        <v>#N/A</v>
      </c>
      <c r="AA47" t="e">
        <f>IF(OR(LOG10(SUM(M$3:M47))=AA46,AA46=""),"",LOG10(SUM(M$3:M47)))</f>
        <v>#N/A</v>
      </c>
      <c r="AB47" t="e">
        <f>IF(OR(LOG10(SUM(N$3:N47))=AB46,AB46=""),"",LOG10(SUM(N$3:N47)))</f>
        <v>#N/A</v>
      </c>
    </row>
    <row r="48" spans="1:28" x14ac:dyDescent="0.25">
      <c r="A48">
        <v>46</v>
      </c>
      <c r="B48" t="e">
        <f>IF(OR(Sorting!B49=0,Sorting!B49="Grand Total"),"",Sorting!B49)</f>
        <v>#N/A</v>
      </c>
      <c r="C48" t="e">
        <f>IF(OR(Sorting!D49=0,Sorting!D49="Grand Total"),"",Sorting!D49)</f>
        <v>#N/A</v>
      </c>
      <c r="D48" t="e">
        <f>IF(OR(Sorting!F49=0,Sorting!F49="Grand Total"),"",Sorting!F49)</f>
        <v>#N/A</v>
      </c>
      <c r="E48" t="e">
        <f>IF(OR(Sorting!H49=0,Sorting!H49="Grand Total"),"",Sorting!H49)</f>
        <v>#N/A</v>
      </c>
      <c r="F48" t="e">
        <f>IF(OR(Sorting!J49=0,Sorting!J49="Grand Total"),"",Sorting!J49)</f>
        <v>#N/A</v>
      </c>
      <c r="G48" t="e">
        <f>IF(OR(Sorting!L49=0,Sorting!L49="Grand Total"),"",Sorting!L49)</f>
        <v>#N/A</v>
      </c>
      <c r="H48" t="e">
        <f>IF(OR(Sorting!O49=0,Sorting!O49="Grand Total"),"",Sorting!O49)</f>
        <v>#N/A</v>
      </c>
      <c r="I48" t="e">
        <f>IF(OR(Sorting!Q49=0,Sorting!Q49="Grand Total"),"",Sorting!Q49)</f>
        <v>#N/A</v>
      </c>
      <c r="J48" t="e">
        <f>IF(OR(Sorting!S49=0,Sorting!S49="Grand Total"),"",Sorting!S49)</f>
        <v>#N/A</v>
      </c>
      <c r="K48" t="e">
        <f>IF(OR(Sorting!U49=0,Sorting!U49="Grand Total"),"",Sorting!U49)</f>
        <v>#N/A</v>
      </c>
      <c r="L48" t="e">
        <f>IF(OR(Sorting!W49=0,Sorting!W49="Grand Total"),"",Sorting!W49)</f>
        <v>#N/A</v>
      </c>
      <c r="M48" t="e">
        <f>IF(OR(Sorting!Y49=0,Sorting!Y49="Grand Total"),"",Sorting!Y49)</f>
        <v>#N/A</v>
      </c>
      <c r="N48" t="e">
        <f>MIN(B48,C48,D48,E48,F48,G48,H48,I48,J48,K48,L48,M48)</f>
        <v>#N/A</v>
      </c>
      <c r="O48">
        <v>46</v>
      </c>
      <c r="P48" t="e">
        <f>IF(OR(LOG10(SUM(B$3:B48))=P47,P47=""),"",LOG10(SUM(B$3:B48)))</f>
        <v>#N/A</v>
      </c>
      <c r="Q48" t="e">
        <f>IF(OR(LOG10(SUM(C$3:C48))=Q47,Q47=""),"",LOG10(SUM(C$3:C48)))</f>
        <v>#N/A</v>
      </c>
      <c r="R48" t="e">
        <f>IF(OR(LOG10(SUM(D$3:D48))=R47,R47=""),"",LOG10(SUM(D$3:D48)))</f>
        <v>#N/A</v>
      </c>
      <c r="S48" t="e">
        <f>IF(OR(LOG10(SUM(E$3:E48))=S47,S47=""),"",LOG10(SUM(E$3:E48)))</f>
        <v>#N/A</v>
      </c>
      <c r="T48" t="e">
        <f>IF(OR(LOG10(SUM(F$3:F48))=T47,T47=""),"",LOG10(SUM(F$3:F48)))</f>
        <v>#N/A</v>
      </c>
      <c r="U48" t="e">
        <f>IF(OR(LOG10(SUM(G$3:G48))=U47,U47=""),"",LOG10(SUM(G$3:G48)))</f>
        <v>#N/A</v>
      </c>
      <c r="V48" t="e">
        <f>IF(OR(LOG10(SUM(H$3:H48))=V47,V47=""),"",LOG10(SUM(H$3:H48)))</f>
        <v>#N/A</v>
      </c>
      <c r="W48" t="e">
        <f>IF(OR(LOG10(SUM(I$3:I48))=W47,W47=""),"",LOG10(SUM(I$3:I48)))</f>
        <v>#N/A</v>
      </c>
      <c r="X48" t="e">
        <f>IF(OR(LOG10(SUM(J$3:J48))=X47,X47=""),"",LOG10(SUM(J$3:J48)))</f>
        <v>#N/A</v>
      </c>
      <c r="Y48" t="e">
        <f>IF(OR(LOG10(SUM(K$3:K48))=Y47,Y47=""),"",LOG10(SUM(K$3:K48)))</f>
        <v>#N/A</v>
      </c>
      <c r="Z48" t="e">
        <f>IF(OR(LOG10(SUM(L$3:L48))=Z47,Z47=""),"",LOG10(SUM(L$3:L48)))</f>
        <v>#N/A</v>
      </c>
      <c r="AA48" t="e">
        <f>IF(OR(LOG10(SUM(M$3:M48))=AA47,AA47=""),"",LOG10(SUM(M$3:M48)))</f>
        <v>#N/A</v>
      </c>
      <c r="AB48" t="e">
        <f>IF(OR(LOG10(SUM(N$3:N48))=AB47,AB47=""),"",LOG10(SUM(N$3:N48)))</f>
        <v>#N/A</v>
      </c>
    </row>
    <row r="49" spans="1:28" x14ac:dyDescent="0.25">
      <c r="A49">
        <v>47</v>
      </c>
      <c r="B49" t="e">
        <f>IF(OR(Sorting!B50=0,Sorting!B50="Grand Total"),"",Sorting!B50)</f>
        <v>#N/A</v>
      </c>
      <c r="C49" t="e">
        <f>IF(OR(Sorting!D50=0,Sorting!D50="Grand Total"),"",Sorting!D50)</f>
        <v>#N/A</v>
      </c>
      <c r="D49" t="e">
        <f>IF(OR(Sorting!F50=0,Sorting!F50="Grand Total"),"",Sorting!F50)</f>
        <v>#N/A</v>
      </c>
      <c r="E49" t="e">
        <f>IF(OR(Sorting!H50=0,Sorting!H50="Grand Total"),"",Sorting!H50)</f>
        <v>#N/A</v>
      </c>
      <c r="F49" t="e">
        <f>IF(OR(Sorting!J50=0,Sorting!J50="Grand Total"),"",Sorting!J50)</f>
        <v>#N/A</v>
      </c>
      <c r="G49" t="e">
        <f>IF(OR(Sorting!L50=0,Sorting!L50="Grand Total"),"",Sorting!L50)</f>
        <v>#N/A</v>
      </c>
      <c r="H49" t="e">
        <f>IF(OR(Sorting!O50=0,Sorting!O50="Grand Total"),"",Sorting!O50)</f>
        <v>#N/A</v>
      </c>
      <c r="I49" t="e">
        <f>IF(OR(Sorting!Q50=0,Sorting!Q50="Grand Total"),"",Sorting!Q50)</f>
        <v>#N/A</v>
      </c>
      <c r="J49" t="e">
        <f>IF(OR(Sorting!S50=0,Sorting!S50="Grand Total"),"",Sorting!S50)</f>
        <v>#N/A</v>
      </c>
      <c r="K49" t="e">
        <f>IF(OR(Sorting!U50=0,Sorting!U50="Grand Total"),"",Sorting!U50)</f>
        <v>#N/A</v>
      </c>
      <c r="L49" t="e">
        <f>IF(OR(Sorting!W50=0,Sorting!W50="Grand Total"),"",Sorting!W50)</f>
        <v>#N/A</v>
      </c>
      <c r="M49" t="e">
        <f>IF(OR(Sorting!Y50=0,Sorting!Y50="Grand Total"),"",Sorting!Y50)</f>
        <v>#N/A</v>
      </c>
      <c r="N49" t="e">
        <f>MIN(B49,C49,D49,E49,F49,G49,H49,I49,J49,K49,L49,M49)</f>
        <v>#N/A</v>
      </c>
      <c r="O49">
        <v>47</v>
      </c>
      <c r="P49" t="e">
        <f>IF(OR(LOG10(SUM(B$3:B49))=P48,P48=""),"",LOG10(SUM(B$3:B49)))</f>
        <v>#N/A</v>
      </c>
      <c r="Q49" t="e">
        <f>IF(OR(LOG10(SUM(C$3:C49))=Q48,Q48=""),"",LOG10(SUM(C$3:C49)))</f>
        <v>#N/A</v>
      </c>
      <c r="R49" t="e">
        <f>IF(OR(LOG10(SUM(D$3:D49))=R48,R48=""),"",LOG10(SUM(D$3:D49)))</f>
        <v>#N/A</v>
      </c>
      <c r="S49" t="e">
        <f>IF(OR(LOG10(SUM(E$3:E49))=S48,S48=""),"",LOG10(SUM(E$3:E49)))</f>
        <v>#N/A</v>
      </c>
      <c r="T49" t="e">
        <f>IF(OR(LOG10(SUM(F$3:F49))=T48,T48=""),"",LOG10(SUM(F$3:F49)))</f>
        <v>#N/A</v>
      </c>
      <c r="U49" t="e">
        <f>IF(OR(LOG10(SUM(G$3:G49))=U48,U48=""),"",LOG10(SUM(G$3:G49)))</f>
        <v>#N/A</v>
      </c>
      <c r="V49" t="e">
        <f>IF(OR(LOG10(SUM(H$3:H49))=V48,V48=""),"",LOG10(SUM(H$3:H49)))</f>
        <v>#N/A</v>
      </c>
      <c r="W49" t="e">
        <f>IF(OR(LOG10(SUM(I$3:I49))=W48,W48=""),"",LOG10(SUM(I$3:I49)))</f>
        <v>#N/A</v>
      </c>
      <c r="X49" t="e">
        <f>IF(OR(LOG10(SUM(J$3:J49))=X48,X48=""),"",LOG10(SUM(J$3:J49)))</f>
        <v>#N/A</v>
      </c>
      <c r="Y49" t="e">
        <f>IF(OR(LOG10(SUM(K$3:K49))=Y48,Y48=""),"",LOG10(SUM(K$3:K49)))</f>
        <v>#N/A</v>
      </c>
      <c r="Z49" t="e">
        <f>IF(OR(LOG10(SUM(L$3:L49))=Z48,Z48=""),"",LOG10(SUM(L$3:L49)))</f>
        <v>#N/A</v>
      </c>
      <c r="AA49" t="e">
        <f>IF(OR(LOG10(SUM(M$3:M49))=AA48,AA48=""),"",LOG10(SUM(M$3:M49)))</f>
        <v>#N/A</v>
      </c>
      <c r="AB49" t="e">
        <f>IF(OR(LOG10(SUM(N$3:N49))=AB48,AB48=""),"",LOG10(SUM(N$3:N49)))</f>
        <v>#N/A</v>
      </c>
    </row>
    <row r="50" spans="1:28" x14ac:dyDescent="0.25">
      <c r="A50">
        <v>48</v>
      </c>
      <c r="B50" t="e">
        <f>IF(OR(Sorting!B51=0,Sorting!B51="Grand Total"),"",Sorting!B51)</f>
        <v>#N/A</v>
      </c>
      <c r="C50" t="e">
        <f>IF(OR(Sorting!D51=0,Sorting!D51="Grand Total"),"",Sorting!D51)</f>
        <v>#N/A</v>
      </c>
      <c r="D50" t="e">
        <f>IF(OR(Sorting!F51=0,Sorting!F51="Grand Total"),"",Sorting!F51)</f>
        <v>#N/A</v>
      </c>
      <c r="E50" t="e">
        <f>IF(OR(Sorting!H51=0,Sorting!H51="Grand Total"),"",Sorting!H51)</f>
        <v>#N/A</v>
      </c>
      <c r="F50" t="e">
        <f>IF(OR(Sorting!J51=0,Sorting!J51="Grand Total"),"",Sorting!J51)</f>
        <v>#N/A</v>
      </c>
      <c r="G50" t="e">
        <f>IF(OR(Sorting!L51=0,Sorting!L51="Grand Total"),"",Sorting!L51)</f>
        <v>#N/A</v>
      </c>
      <c r="H50" t="e">
        <f>IF(OR(Sorting!O51=0,Sorting!O51="Grand Total"),"",Sorting!O51)</f>
        <v>#N/A</v>
      </c>
      <c r="I50" t="e">
        <f>IF(OR(Sorting!Q51=0,Sorting!Q51="Grand Total"),"",Sorting!Q51)</f>
        <v>#N/A</v>
      </c>
      <c r="J50" t="e">
        <f>IF(OR(Sorting!S51=0,Sorting!S51="Grand Total"),"",Sorting!S51)</f>
        <v>#N/A</v>
      </c>
      <c r="K50" t="e">
        <f>IF(OR(Sorting!U51=0,Sorting!U51="Grand Total"),"",Sorting!U51)</f>
        <v>#N/A</v>
      </c>
      <c r="L50" t="e">
        <f>IF(OR(Sorting!W51=0,Sorting!W51="Grand Total"),"",Sorting!W51)</f>
        <v>#N/A</v>
      </c>
      <c r="M50" t="e">
        <f>IF(OR(Sorting!Y51=0,Sorting!Y51="Grand Total"),"",Sorting!Y51)</f>
        <v>#N/A</v>
      </c>
      <c r="N50" t="e">
        <f>MIN(B50,C50,D50,E50,F50,G50,H50,I50,J50,K50,L50,M50)</f>
        <v>#N/A</v>
      </c>
      <c r="O50">
        <v>48</v>
      </c>
      <c r="P50" t="e">
        <f>IF(OR(LOG10(SUM(B$3:B50))=P49,P49=""),"",LOG10(SUM(B$3:B50)))</f>
        <v>#N/A</v>
      </c>
      <c r="Q50" t="e">
        <f>IF(OR(LOG10(SUM(C$3:C50))=Q49,Q49=""),"",LOG10(SUM(C$3:C50)))</f>
        <v>#N/A</v>
      </c>
      <c r="R50" t="e">
        <f>IF(OR(LOG10(SUM(D$3:D50))=R49,R49=""),"",LOG10(SUM(D$3:D50)))</f>
        <v>#N/A</v>
      </c>
      <c r="S50" t="e">
        <f>IF(OR(LOG10(SUM(E$3:E50))=S49,S49=""),"",LOG10(SUM(E$3:E50)))</f>
        <v>#N/A</v>
      </c>
      <c r="T50" t="e">
        <f>IF(OR(LOG10(SUM(F$3:F50))=T49,T49=""),"",LOG10(SUM(F$3:F50)))</f>
        <v>#N/A</v>
      </c>
      <c r="U50" t="e">
        <f>IF(OR(LOG10(SUM(G$3:G50))=U49,U49=""),"",LOG10(SUM(G$3:G50)))</f>
        <v>#N/A</v>
      </c>
      <c r="V50" t="e">
        <f>IF(OR(LOG10(SUM(H$3:H50))=V49,V49=""),"",LOG10(SUM(H$3:H50)))</f>
        <v>#N/A</v>
      </c>
      <c r="W50" t="e">
        <f>IF(OR(LOG10(SUM(I$3:I50))=W49,W49=""),"",LOG10(SUM(I$3:I50)))</f>
        <v>#N/A</v>
      </c>
      <c r="X50" t="e">
        <f>IF(OR(LOG10(SUM(J$3:J50))=X49,X49=""),"",LOG10(SUM(J$3:J50)))</f>
        <v>#N/A</v>
      </c>
      <c r="Y50" t="e">
        <f>IF(OR(LOG10(SUM(K$3:K50))=Y49,Y49=""),"",LOG10(SUM(K$3:K50)))</f>
        <v>#N/A</v>
      </c>
      <c r="Z50" t="e">
        <f>IF(OR(LOG10(SUM(L$3:L50))=Z49,Z49=""),"",LOG10(SUM(L$3:L50)))</f>
        <v>#N/A</v>
      </c>
      <c r="AA50" t="e">
        <f>IF(OR(LOG10(SUM(M$3:M50))=AA49,AA49=""),"",LOG10(SUM(M$3:M50)))</f>
        <v>#N/A</v>
      </c>
      <c r="AB50" t="e">
        <f>IF(OR(LOG10(SUM(N$3:N50))=AB49,AB49=""),"",LOG10(SUM(N$3:N50)))</f>
        <v>#N/A</v>
      </c>
    </row>
    <row r="51" spans="1:28" x14ac:dyDescent="0.25">
      <c r="A51">
        <v>49</v>
      </c>
      <c r="B51" t="e">
        <f>IF(OR(Sorting!B52=0,Sorting!B52="Grand Total"),"",Sorting!B52)</f>
        <v>#N/A</v>
      </c>
      <c r="C51" t="e">
        <f>IF(OR(Sorting!D52=0,Sorting!D52="Grand Total"),"",Sorting!D52)</f>
        <v>#N/A</v>
      </c>
      <c r="D51" t="e">
        <f>IF(OR(Sorting!F52=0,Sorting!F52="Grand Total"),"",Sorting!F52)</f>
        <v>#N/A</v>
      </c>
      <c r="E51" t="e">
        <f>IF(OR(Sorting!H52=0,Sorting!H52="Grand Total"),"",Sorting!H52)</f>
        <v>#N/A</v>
      </c>
      <c r="F51" t="e">
        <f>IF(OR(Sorting!J52=0,Sorting!J52="Grand Total"),"",Sorting!J52)</f>
        <v>#N/A</v>
      </c>
      <c r="G51" t="e">
        <f>IF(OR(Sorting!L52=0,Sorting!L52="Grand Total"),"",Sorting!L52)</f>
        <v>#N/A</v>
      </c>
      <c r="H51" t="e">
        <f>IF(OR(Sorting!O52=0,Sorting!O52="Grand Total"),"",Sorting!O52)</f>
        <v>#N/A</v>
      </c>
      <c r="I51" t="e">
        <f>IF(OR(Sorting!Q52=0,Sorting!Q52="Grand Total"),"",Sorting!Q52)</f>
        <v>#N/A</v>
      </c>
      <c r="J51" t="e">
        <f>IF(OR(Sorting!S52=0,Sorting!S52="Grand Total"),"",Sorting!S52)</f>
        <v>#N/A</v>
      </c>
      <c r="K51" t="e">
        <f>IF(OR(Sorting!U52=0,Sorting!U52="Grand Total"),"",Sorting!U52)</f>
        <v>#N/A</v>
      </c>
      <c r="L51" t="e">
        <f>IF(OR(Sorting!W52=0,Sorting!W52="Grand Total"),"",Sorting!W52)</f>
        <v>#N/A</v>
      </c>
      <c r="M51" t="e">
        <f>IF(OR(Sorting!Y52=0,Sorting!Y52="Grand Total"),"",Sorting!Y52)</f>
        <v>#N/A</v>
      </c>
      <c r="N51" t="e">
        <f>MIN(B51,C51,D51,E51,F51,G51,H51,I51,J51,K51,L51,M51)</f>
        <v>#N/A</v>
      </c>
      <c r="O51">
        <v>49</v>
      </c>
      <c r="P51" t="e">
        <f>IF(OR(LOG10(SUM(B$3:B51))=P50,P50=""),"",LOG10(SUM(B$3:B51)))</f>
        <v>#N/A</v>
      </c>
      <c r="Q51" t="e">
        <f>IF(OR(LOG10(SUM(C$3:C51))=Q50,Q50=""),"",LOG10(SUM(C$3:C51)))</f>
        <v>#N/A</v>
      </c>
      <c r="R51" t="e">
        <f>IF(OR(LOG10(SUM(D$3:D51))=R50,R50=""),"",LOG10(SUM(D$3:D51)))</f>
        <v>#N/A</v>
      </c>
      <c r="S51" t="e">
        <f>IF(OR(LOG10(SUM(E$3:E51))=S50,S50=""),"",LOG10(SUM(E$3:E51)))</f>
        <v>#N/A</v>
      </c>
      <c r="T51" t="e">
        <f>IF(OR(LOG10(SUM(F$3:F51))=T50,T50=""),"",LOG10(SUM(F$3:F51)))</f>
        <v>#N/A</v>
      </c>
      <c r="U51" t="e">
        <f>IF(OR(LOG10(SUM(G$3:G51))=U50,U50=""),"",LOG10(SUM(G$3:G51)))</f>
        <v>#N/A</v>
      </c>
      <c r="V51" t="e">
        <f>IF(OR(LOG10(SUM(H$3:H51))=V50,V50=""),"",LOG10(SUM(H$3:H51)))</f>
        <v>#N/A</v>
      </c>
      <c r="W51" t="e">
        <f>IF(OR(LOG10(SUM(I$3:I51))=W50,W50=""),"",LOG10(SUM(I$3:I51)))</f>
        <v>#N/A</v>
      </c>
      <c r="X51" t="e">
        <f>IF(OR(LOG10(SUM(J$3:J51))=X50,X50=""),"",LOG10(SUM(J$3:J51)))</f>
        <v>#N/A</v>
      </c>
      <c r="Y51" t="e">
        <f>IF(OR(LOG10(SUM(K$3:K51))=Y50,Y50=""),"",LOG10(SUM(K$3:K51)))</f>
        <v>#N/A</v>
      </c>
      <c r="Z51" t="e">
        <f>IF(OR(LOG10(SUM(L$3:L51))=Z50,Z50=""),"",LOG10(SUM(L$3:L51)))</f>
        <v>#N/A</v>
      </c>
      <c r="AA51" t="e">
        <f>IF(OR(LOG10(SUM(M$3:M51))=AA50,AA50=""),"",LOG10(SUM(M$3:M51)))</f>
        <v>#N/A</v>
      </c>
      <c r="AB51" t="e">
        <f>IF(OR(LOG10(SUM(N$3:N51))=AB50,AB50=""),"",LOG10(SUM(N$3:N51)))</f>
        <v>#N/A</v>
      </c>
    </row>
    <row r="52" spans="1:28" x14ac:dyDescent="0.25">
      <c r="A52">
        <v>50</v>
      </c>
      <c r="B52" t="e">
        <f>IF(OR(Sorting!B53=0,Sorting!B53="Grand Total"),"",Sorting!B53)</f>
        <v>#N/A</v>
      </c>
      <c r="C52" t="e">
        <f>IF(OR(Sorting!D53=0,Sorting!D53="Grand Total"),"",Sorting!D53)</f>
        <v>#N/A</v>
      </c>
      <c r="D52" t="e">
        <f>IF(OR(Sorting!F53=0,Sorting!F53="Grand Total"),"",Sorting!F53)</f>
        <v>#N/A</v>
      </c>
      <c r="E52" t="e">
        <f>IF(OR(Sorting!H53=0,Sorting!H53="Grand Total"),"",Sorting!H53)</f>
        <v>#N/A</v>
      </c>
      <c r="F52" t="e">
        <f>IF(OR(Sorting!J53=0,Sorting!J53="Grand Total"),"",Sorting!J53)</f>
        <v>#N/A</v>
      </c>
      <c r="G52" t="e">
        <f>IF(OR(Sorting!L53=0,Sorting!L53="Grand Total"),"",Sorting!L53)</f>
        <v>#N/A</v>
      </c>
      <c r="H52" t="e">
        <f>IF(OR(Sorting!O53=0,Sorting!O53="Grand Total"),"",Sorting!O53)</f>
        <v>#N/A</v>
      </c>
      <c r="I52" t="e">
        <f>IF(OR(Sorting!Q53=0,Sorting!Q53="Grand Total"),"",Sorting!Q53)</f>
        <v>#N/A</v>
      </c>
      <c r="J52" t="e">
        <f>IF(OR(Sorting!S53=0,Sorting!S53="Grand Total"),"",Sorting!S53)</f>
        <v>#N/A</v>
      </c>
      <c r="K52" t="e">
        <f>IF(OR(Sorting!U53=0,Sorting!U53="Grand Total"),"",Sorting!U53)</f>
        <v>#N/A</v>
      </c>
      <c r="L52" t="e">
        <f>IF(OR(Sorting!W53=0,Sorting!W53="Grand Total"),"",Sorting!W53)</f>
        <v>#N/A</v>
      </c>
      <c r="M52" t="e">
        <f>IF(OR(Sorting!Y53=0,Sorting!Y53="Grand Total"),"",Sorting!Y53)</f>
        <v>#N/A</v>
      </c>
      <c r="N52" t="e">
        <f>MIN(B52,C52,D52,E52,F52,G52,H52,I52,J52,K52,L52,M52)</f>
        <v>#N/A</v>
      </c>
      <c r="O52">
        <v>50</v>
      </c>
      <c r="P52" t="e">
        <f>IF(OR(LOG10(SUM(B$3:B52))=P51,P51=""),"",LOG10(SUM(B$3:B52)))</f>
        <v>#N/A</v>
      </c>
      <c r="Q52" t="e">
        <f>IF(OR(LOG10(SUM(C$3:C52))=Q51,Q51=""),"",LOG10(SUM(C$3:C52)))</f>
        <v>#N/A</v>
      </c>
      <c r="R52" t="e">
        <f>IF(OR(LOG10(SUM(D$3:D52))=R51,R51=""),"",LOG10(SUM(D$3:D52)))</f>
        <v>#N/A</v>
      </c>
      <c r="S52" t="e">
        <f>IF(OR(LOG10(SUM(E$3:E52))=S51,S51=""),"",LOG10(SUM(E$3:E52)))</f>
        <v>#N/A</v>
      </c>
      <c r="T52" t="e">
        <f>IF(OR(LOG10(SUM(F$3:F52))=T51,T51=""),"",LOG10(SUM(F$3:F52)))</f>
        <v>#N/A</v>
      </c>
      <c r="U52" t="e">
        <f>IF(OR(LOG10(SUM(G$3:G52))=U51,U51=""),"",LOG10(SUM(G$3:G52)))</f>
        <v>#N/A</v>
      </c>
      <c r="V52" t="e">
        <f>IF(OR(LOG10(SUM(H$3:H52))=V51,V51=""),"",LOG10(SUM(H$3:H52)))</f>
        <v>#N/A</v>
      </c>
      <c r="W52" t="e">
        <f>IF(OR(LOG10(SUM(I$3:I52))=W51,W51=""),"",LOG10(SUM(I$3:I52)))</f>
        <v>#N/A</v>
      </c>
      <c r="X52" t="e">
        <f>IF(OR(LOG10(SUM(J$3:J52))=X51,X51=""),"",LOG10(SUM(J$3:J52)))</f>
        <v>#N/A</v>
      </c>
      <c r="Y52" t="e">
        <f>IF(OR(LOG10(SUM(K$3:K52))=Y51,Y51=""),"",LOG10(SUM(K$3:K52)))</f>
        <v>#N/A</v>
      </c>
      <c r="Z52" t="e">
        <f>IF(OR(LOG10(SUM(L$3:L52))=Z51,Z51=""),"",LOG10(SUM(L$3:L52)))</f>
        <v>#N/A</v>
      </c>
      <c r="AA52" t="e">
        <f>IF(OR(LOG10(SUM(M$3:M52))=AA51,AA51=""),"",LOG10(SUM(M$3:M52)))</f>
        <v>#N/A</v>
      </c>
      <c r="AB52" t="e">
        <f>IF(OR(LOG10(SUM(N$3:N52))=AB51,AB51=""),"",LOG10(SUM(N$3:N52)))</f>
        <v>#N/A</v>
      </c>
    </row>
    <row r="53" spans="1:28" x14ac:dyDescent="0.25">
      <c r="A53">
        <v>51</v>
      </c>
      <c r="B53" t="e">
        <f>IF(OR(Sorting!B54=0,Sorting!B54="Grand Total"),"",Sorting!B54)</f>
        <v>#N/A</v>
      </c>
      <c r="C53" t="e">
        <f>IF(OR(Sorting!D54=0,Sorting!D54="Grand Total"),"",Sorting!D54)</f>
        <v>#N/A</v>
      </c>
      <c r="D53" t="e">
        <f>IF(OR(Sorting!F54=0,Sorting!F54="Grand Total"),"",Sorting!F54)</f>
        <v>#N/A</v>
      </c>
      <c r="E53" t="e">
        <f>IF(OR(Sorting!H54=0,Sorting!H54="Grand Total"),"",Sorting!H54)</f>
        <v>#N/A</v>
      </c>
      <c r="F53" t="e">
        <f>IF(OR(Sorting!J54=0,Sorting!J54="Grand Total"),"",Sorting!J54)</f>
        <v>#N/A</v>
      </c>
      <c r="G53" t="e">
        <f>IF(OR(Sorting!L54=0,Sorting!L54="Grand Total"),"",Sorting!L54)</f>
        <v>#N/A</v>
      </c>
      <c r="H53" t="e">
        <f>IF(OR(Sorting!O54=0,Sorting!O54="Grand Total"),"",Sorting!O54)</f>
        <v>#N/A</v>
      </c>
      <c r="I53" t="e">
        <f>IF(OR(Sorting!Q54=0,Sorting!Q54="Grand Total"),"",Sorting!Q54)</f>
        <v>#N/A</v>
      </c>
      <c r="J53" t="e">
        <f>IF(OR(Sorting!S54=0,Sorting!S54="Grand Total"),"",Sorting!S54)</f>
        <v>#N/A</v>
      </c>
      <c r="K53" t="e">
        <f>IF(OR(Sorting!U54=0,Sorting!U54="Grand Total"),"",Sorting!U54)</f>
        <v>#N/A</v>
      </c>
      <c r="L53" t="e">
        <f>IF(OR(Sorting!W54=0,Sorting!W54="Grand Total"),"",Sorting!W54)</f>
        <v>#N/A</v>
      </c>
      <c r="M53" t="e">
        <f>IF(OR(Sorting!Y54=0,Sorting!Y54="Grand Total"),"",Sorting!Y54)</f>
        <v>#N/A</v>
      </c>
      <c r="N53" t="e">
        <f>MIN(B53,C53,D53,E53,F53,G53,H53,I53,J53,K53,L53,M53)</f>
        <v>#N/A</v>
      </c>
      <c r="O53">
        <v>51</v>
      </c>
      <c r="P53" t="e">
        <f>IF(OR(LOG10(SUM(B$3:B53))=P52,P52=""),"",LOG10(SUM(B$3:B53)))</f>
        <v>#N/A</v>
      </c>
      <c r="Q53" t="e">
        <f>IF(OR(LOG10(SUM(C$3:C53))=Q52,Q52=""),"",LOG10(SUM(C$3:C53)))</f>
        <v>#N/A</v>
      </c>
      <c r="R53" t="e">
        <f>IF(OR(LOG10(SUM(D$3:D53))=R52,R52=""),"",LOG10(SUM(D$3:D53)))</f>
        <v>#N/A</v>
      </c>
      <c r="S53" t="e">
        <f>IF(OR(LOG10(SUM(E$3:E53))=S52,S52=""),"",LOG10(SUM(E$3:E53)))</f>
        <v>#N/A</v>
      </c>
      <c r="T53" t="e">
        <f>IF(OR(LOG10(SUM(F$3:F53))=T52,T52=""),"",LOG10(SUM(F$3:F53)))</f>
        <v>#N/A</v>
      </c>
      <c r="U53" t="e">
        <f>IF(OR(LOG10(SUM(G$3:G53))=U52,U52=""),"",LOG10(SUM(G$3:G53)))</f>
        <v>#N/A</v>
      </c>
      <c r="V53" t="e">
        <f>IF(OR(LOG10(SUM(H$3:H53))=V52,V52=""),"",LOG10(SUM(H$3:H53)))</f>
        <v>#N/A</v>
      </c>
      <c r="W53" t="e">
        <f>IF(OR(LOG10(SUM(I$3:I53))=W52,W52=""),"",LOG10(SUM(I$3:I53)))</f>
        <v>#N/A</v>
      </c>
      <c r="X53" t="e">
        <f>IF(OR(LOG10(SUM(J$3:J53))=X52,X52=""),"",LOG10(SUM(J$3:J53)))</f>
        <v>#N/A</v>
      </c>
      <c r="Y53" t="e">
        <f>IF(OR(LOG10(SUM(K$3:K53))=Y52,Y52=""),"",LOG10(SUM(K$3:K53)))</f>
        <v>#N/A</v>
      </c>
      <c r="Z53" t="e">
        <f>IF(OR(LOG10(SUM(L$3:L53))=Z52,Z52=""),"",LOG10(SUM(L$3:L53)))</f>
        <v>#N/A</v>
      </c>
      <c r="AA53" t="e">
        <f>IF(OR(LOG10(SUM(M$3:M53))=AA52,AA52=""),"",LOG10(SUM(M$3:M53)))</f>
        <v>#N/A</v>
      </c>
      <c r="AB53" t="e">
        <f>IF(OR(LOG10(SUM(N$3:N53))=AB52,AB52=""),"",LOG10(SUM(N$3:N53)))</f>
        <v>#N/A</v>
      </c>
    </row>
    <row r="54" spans="1:28" x14ac:dyDescent="0.25">
      <c r="A54">
        <v>52</v>
      </c>
      <c r="B54" t="e">
        <f>IF(OR(Sorting!B55=0,Sorting!B55="Grand Total"),"",Sorting!B55)</f>
        <v>#N/A</v>
      </c>
      <c r="C54" t="e">
        <f>IF(OR(Sorting!D55=0,Sorting!D55="Grand Total"),"",Sorting!D55)</f>
        <v>#N/A</v>
      </c>
      <c r="D54" t="e">
        <f>IF(OR(Sorting!F55=0,Sorting!F55="Grand Total"),"",Sorting!F55)</f>
        <v>#N/A</v>
      </c>
      <c r="E54" t="e">
        <f>IF(OR(Sorting!H55=0,Sorting!H55="Grand Total"),"",Sorting!H55)</f>
        <v>#N/A</v>
      </c>
      <c r="F54" t="e">
        <f>IF(OR(Sorting!J55=0,Sorting!J55="Grand Total"),"",Sorting!J55)</f>
        <v>#N/A</v>
      </c>
      <c r="G54" t="e">
        <f>IF(OR(Sorting!L55=0,Sorting!L55="Grand Total"),"",Sorting!L55)</f>
        <v>#N/A</v>
      </c>
      <c r="H54" t="e">
        <f>IF(OR(Sorting!O55=0,Sorting!O55="Grand Total"),"",Sorting!O55)</f>
        <v>#N/A</v>
      </c>
      <c r="I54" t="e">
        <f>IF(OR(Sorting!Q55=0,Sorting!Q55="Grand Total"),"",Sorting!Q55)</f>
        <v>#N/A</v>
      </c>
      <c r="J54" t="e">
        <f>IF(OR(Sorting!S55=0,Sorting!S55="Grand Total"),"",Sorting!S55)</f>
        <v>#N/A</v>
      </c>
      <c r="K54" t="e">
        <f>IF(OR(Sorting!U55=0,Sorting!U55="Grand Total"),"",Sorting!U55)</f>
        <v>#N/A</v>
      </c>
      <c r="L54" t="e">
        <f>IF(OR(Sorting!W55=0,Sorting!W55="Grand Total"),"",Sorting!W55)</f>
        <v>#N/A</v>
      </c>
      <c r="M54" t="e">
        <f>IF(OR(Sorting!Y55=0,Sorting!Y55="Grand Total"),"",Sorting!Y55)</f>
        <v>#N/A</v>
      </c>
      <c r="N54" t="e">
        <f>MIN(B54,C54,D54,E54,F54,G54,H54,I54,J54,K54,L54,M54)</f>
        <v>#N/A</v>
      </c>
      <c r="O54">
        <v>52</v>
      </c>
      <c r="P54" t="e">
        <f>IF(OR(LOG10(SUM(B$3:B54))=P53,P53=""),"",LOG10(SUM(B$3:B54)))</f>
        <v>#N/A</v>
      </c>
      <c r="Q54" t="e">
        <f>IF(OR(LOG10(SUM(C$3:C54))=Q53,Q53=""),"",LOG10(SUM(C$3:C54)))</f>
        <v>#N/A</v>
      </c>
      <c r="R54" t="e">
        <f>IF(OR(LOG10(SUM(D$3:D54))=R53,R53=""),"",LOG10(SUM(D$3:D54)))</f>
        <v>#N/A</v>
      </c>
      <c r="S54" t="e">
        <f>IF(OR(LOG10(SUM(E$3:E54))=S53,S53=""),"",LOG10(SUM(E$3:E54)))</f>
        <v>#N/A</v>
      </c>
      <c r="T54" t="e">
        <f>IF(OR(LOG10(SUM(F$3:F54))=T53,T53=""),"",LOG10(SUM(F$3:F54)))</f>
        <v>#N/A</v>
      </c>
      <c r="U54" t="e">
        <f>IF(OR(LOG10(SUM(G$3:G54))=U53,U53=""),"",LOG10(SUM(G$3:G54)))</f>
        <v>#N/A</v>
      </c>
      <c r="V54" t="e">
        <f>IF(OR(LOG10(SUM(H$3:H54))=V53,V53=""),"",LOG10(SUM(H$3:H54)))</f>
        <v>#N/A</v>
      </c>
      <c r="W54" t="e">
        <f>IF(OR(LOG10(SUM(I$3:I54))=W53,W53=""),"",LOG10(SUM(I$3:I54)))</f>
        <v>#N/A</v>
      </c>
      <c r="X54" t="e">
        <f>IF(OR(LOG10(SUM(J$3:J54))=X53,X53=""),"",LOG10(SUM(J$3:J54)))</f>
        <v>#N/A</v>
      </c>
      <c r="Y54" t="e">
        <f>IF(OR(LOG10(SUM(K$3:K54))=Y53,Y53=""),"",LOG10(SUM(K$3:K54)))</f>
        <v>#N/A</v>
      </c>
      <c r="Z54" t="e">
        <f>IF(OR(LOG10(SUM(L$3:L54))=Z53,Z53=""),"",LOG10(SUM(L$3:L54)))</f>
        <v>#N/A</v>
      </c>
      <c r="AA54" t="e">
        <f>IF(OR(LOG10(SUM(M$3:M54))=AA53,AA53=""),"",LOG10(SUM(M$3:M54)))</f>
        <v>#N/A</v>
      </c>
      <c r="AB54" t="e">
        <f>IF(OR(LOG10(SUM(N$3:N54))=AB53,AB53=""),"",LOG10(SUM(N$3:N54)))</f>
        <v>#N/A</v>
      </c>
    </row>
    <row r="55" spans="1:28" x14ac:dyDescent="0.25">
      <c r="A55">
        <v>53</v>
      </c>
      <c r="B55" t="e">
        <f>IF(OR(Sorting!B56=0,Sorting!B56="Grand Total"),"",Sorting!B56)</f>
        <v>#N/A</v>
      </c>
      <c r="C55" t="e">
        <f>IF(OR(Sorting!D56=0,Sorting!D56="Grand Total"),"",Sorting!D56)</f>
        <v>#N/A</v>
      </c>
      <c r="D55" t="e">
        <f>IF(OR(Sorting!F56=0,Sorting!F56="Grand Total"),"",Sorting!F56)</f>
        <v>#N/A</v>
      </c>
      <c r="E55" t="e">
        <f>IF(OR(Sorting!H56=0,Sorting!H56="Grand Total"),"",Sorting!H56)</f>
        <v>#N/A</v>
      </c>
      <c r="F55" t="e">
        <f>IF(OR(Sorting!J56=0,Sorting!J56="Grand Total"),"",Sorting!J56)</f>
        <v>#N/A</v>
      </c>
      <c r="G55" t="e">
        <f>IF(OR(Sorting!L56=0,Sorting!L56="Grand Total"),"",Sorting!L56)</f>
        <v>#N/A</v>
      </c>
      <c r="H55" t="e">
        <f>IF(OR(Sorting!O56=0,Sorting!O56="Grand Total"),"",Sorting!O56)</f>
        <v>#N/A</v>
      </c>
      <c r="I55" t="e">
        <f>IF(OR(Sorting!Q56=0,Sorting!Q56="Grand Total"),"",Sorting!Q56)</f>
        <v>#N/A</v>
      </c>
      <c r="J55" t="e">
        <f>IF(OR(Sorting!S56=0,Sorting!S56="Grand Total"),"",Sorting!S56)</f>
        <v>#N/A</v>
      </c>
      <c r="K55" t="e">
        <f>IF(OR(Sorting!U56=0,Sorting!U56="Grand Total"),"",Sorting!U56)</f>
        <v>#N/A</v>
      </c>
      <c r="L55" t="e">
        <f>IF(OR(Sorting!W56=0,Sorting!W56="Grand Total"),"",Sorting!W56)</f>
        <v>#N/A</v>
      </c>
      <c r="M55" t="e">
        <f>IF(OR(Sorting!Y56=0,Sorting!Y56="Grand Total"),"",Sorting!Y56)</f>
        <v>#N/A</v>
      </c>
      <c r="N55" t="e">
        <f>MIN(B55,C55,D55,E55,F55,G55,H55,I55,J55,K55,L55,M55)</f>
        <v>#N/A</v>
      </c>
      <c r="O55">
        <v>53</v>
      </c>
      <c r="P55" t="e">
        <f>IF(OR(LOG10(SUM(B$3:B55))=P54,P54=""),"",LOG10(SUM(B$3:B55)))</f>
        <v>#N/A</v>
      </c>
      <c r="Q55" t="e">
        <f>IF(OR(LOG10(SUM(C$3:C55))=Q54,Q54=""),"",LOG10(SUM(C$3:C55)))</f>
        <v>#N/A</v>
      </c>
      <c r="R55" t="e">
        <f>IF(OR(LOG10(SUM(D$3:D55))=R54,R54=""),"",LOG10(SUM(D$3:D55)))</f>
        <v>#N/A</v>
      </c>
      <c r="S55" t="e">
        <f>IF(OR(LOG10(SUM(E$3:E55))=S54,S54=""),"",LOG10(SUM(E$3:E55)))</f>
        <v>#N/A</v>
      </c>
      <c r="T55" t="e">
        <f>IF(OR(LOG10(SUM(F$3:F55))=T54,T54=""),"",LOG10(SUM(F$3:F55)))</f>
        <v>#N/A</v>
      </c>
      <c r="U55" t="e">
        <f>IF(OR(LOG10(SUM(G$3:G55))=U54,U54=""),"",LOG10(SUM(G$3:G55)))</f>
        <v>#N/A</v>
      </c>
      <c r="V55" t="e">
        <f>IF(OR(LOG10(SUM(H$3:H55))=V54,V54=""),"",LOG10(SUM(H$3:H55)))</f>
        <v>#N/A</v>
      </c>
      <c r="W55" t="e">
        <f>IF(OR(LOG10(SUM(I$3:I55))=W54,W54=""),"",LOG10(SUM(I$3:I55)))</f>
        <v>#N/A</v>
      </c>
      <c r="X55" t="e">
        <f>IF(OR(LOG10(SUM(J$3:J55))=X54,X54=""),"",LOG10(SUM(J$3:J55)))</f>
        <v>#N/A</v>
      </c>
      <c r="Y55" t="e">
        <f>IF(OR(LOG10(SUM(K$3:K55))=Y54,Y54=""),"",LOG10(SUM(K$3:K55)))</f>
        <v>#N/A</v>
      </c>
      <c r="Z55" t="e">
        <f>IF(OR(LOG10(SUM(L$3:L55))=Z54,Z54=""),"",LOG10(SUM(L$3:L55)))</f>
        <v>#N/A</v>
      </c>
      <c r="AA55" t="e">
        <f>IF(OR(LOG10(SUM(M$3:M55))=AA54,AA54=""),"",LOG10(SUM(M$3:M55)))</f>
        <v>#N/A</v>
      </c>
      <c r="AB55" t="e">
        <f>IF(OR(LOG10(SUM(N$3:N55))=AB54,AB54=""),"",LOG10(SUM(N$3:N55)))</f>
        <v>#N/A</v>
      </c>
    </row>
    <row r="56" spans="1:28" x14ac:dyDescent="0.25">
      <c r="A56">
        <v>54</v>
      </c>
      <c r="B56" t="e">
        <f>IF(OR(Sorting!B57=0,Sorting!B57="Grand Total"),"",Sorting!B57)</f>
        <v>#N/A</v>
      </c>
      <c r="C56" t="e">
        <f>IF(OR(Sorting!D57=0,Sorting!D57="Grand Total"),"",Sorting!D57)</f>
        <v>#N/A</v>
      </c>
      <c r="D56" t="e">
        <f>IF(OR(Sorting!F57=0,Sorting!F57="Grand Total"),"",Sorting!F57)</f>
        <v>#N/A</v>
      </c>
      <c r="E56" t="e">
        <f>IF(OR(Sorting!H57=0,Sorting!H57="Grand Total"),"",Sorting!H57)</f>
        <v>#N/A</v>
      </c>
      <c r="F56" t="e">
        <f>IF(OR(Sorting!J57=0,Sorting!J57="Grand Total"),"",Sorting!J57)</f>
        <v>#N/A</v>
      </c>
      <c r="G56" t="e">
        <f>IF(OR(Sorting!L57=0,Sorting!L57="Grand Total"),"",Sorting!L57)</f>
        <v>#N/A</v>
      </c>
      <c r="H56" t="e">
        <f>IF(OR(Sorting!O57=0,Sorting!O57="Grand Total"),"",Sorting!O57)</f>
        <v>#N/A</v>
      </c>
      <c r="I56" t="e">
        <f>IF(OR(Sorting!Q57=0,Sorting!Q57="Grand Total"),"",Sorting!Q57)</f>
        <v>#N/A</v>
      </c>
      <c r="J56" t="e">
        <f>IF(OR(Sorting!S57=0,Sorting!S57="Grand Total"),"",Sorting!S57)</f>
        <v>#N/A</v>
      </c>
      <c r="K56" t="e">
        <f>IF(OR(Sorting!U57=0,Sorting!U57="Grand Total"),"",Sorting!U57)</f>
        <v>#N/A</v>
      </c>
      <c r="L56" t="e">
        <f>IF(OR(Sorting!W57=0,Sorting!W57="Grand Total"),"",Sorting!W57)</f>
        <v>#N/A</v>
      </c>
      <c r="M56" t="e">
        <f>IF(OR(Sorting!Y57=0,Sorting!Y57="Grand Total"),"",Sorting!Y57)</f>
        <v>#N/A</v>
      </c>
      <c r="N56" t="e">
        <f>MIN(B56,C56,D56,E56,F56,G56,H56,I56,J56,K56,L56,M56)</f>
        <v>#N/A</v>
      </c>
      <c r="O56">
        <v>54</v>
      </c>
      <c r="P56" t="e">
        <f>IF(OR(LOG10(SUM(B$3:B56))=P55,P55=""),"",LOG10(SUM(B$3:B56)))</f>
        <v>#N/A</v>
      </c>
      <c r="Q56" t="e">
        <f>IF(OR(LOG10(SUM(C$3:C56))=Q55,Q55=""),"",LOG10(SUM(C$3:C56)))</f>
        <v>#N/A</v>
      </c>
      <c r="R56" t="e">
        <f>IF(OR(LOG10(SUM(D$3:D56))=R55,R55=""),"",LOG10(SUM(D$3:D56)))</f>
        <v>#N/A</v>
      </c>
      <c r="S56" t="e">
        <f>IF(OR(LOG10(SUM(E$3:E56))=S55,S55=""),"",LOG10(SUM(E$3:E56)))</f>
        <v>#N/A</v>
      </c>
      <c r="T56" t="e">
        <f>IF(OR(LOG10(SUM(F$3:F56))=T55,T55=""),"",LOG10(SUM(F$3:F56)))</f>
        <v>#N/A</v>
      </c>
      <c r="U56" t="e">
        <f>IF(OR(LOG10(SUM(G$3:G56))=U55,U55=""),"",LOG10(SUM(G$3:G56)))</f>
        <v>#N/A</v>
      </c>
      <c r="V56" t="e">
        <f>IF(OR(LOG10(SUM(H$3:H56))=V55,V55=""),"",LOG10(SUM(H$3:H56)))</f>
        <v>#N/A</v>
      </c>
      <c r="W56" t="e">
        <f>IF(OR(LOG10(SUM(I$3:I56))=W55,W55=""),"",LOG10(SUM(I$3:I56)))</f>
        <v>#N/A</v>
      </c>
      <c r="X56" t="e">
        <f>IF(OR(LOG10(SUM(J$3:J56))=X55,X55=""),"",LOG10(SUM(J$3:J56)))</f>
        <v>#N/A</v>
      </c>
      <c r="Y56" t="e">
        <f>IF(OR(LOG10(SUM(K$3:K56))=Y55,Y55=""),"",LOG10(SUM(K$3:K56)))</f>
        <v>#N/A</v>
      </c>
      <c r="Z56" t="e">
        <f>IF(OR(LOG10(SUM(L$3:L56))=Z55,Z55=""),"",LOG10(SUM(L$3:L56)))</f>
        <v>#N/A</v>
      </c>
      <c r="AA56" t="e">
        <f>IF(OR(LOG10(SUM(M$3:M56))=AA55,AA55=""),"",LOG10(SUM(M$3:M56)))</f>
        <v>#N/A</v>
      </c>
      <c r="AB56" t="e">
        <f>IF(OR(LOG10(SUM(N$3:N56))=AB55,AB55=""),"",LOG10(SUM(N$3:N56)))</f>
        <v>#N/A</v>
      </c>
    </row>
    <row r="57" spans="1:28" x14ac:dyDescent="0.25">
      <c r="A57">
        <v>55</v>
      </c>
      <c r="B57" t="e">
        <f>IF(OR(Sorting!B58=0,Sorting!B58="Grand Total"),"",Sorting!B58)</f>
        <v>#N/A</v>
      </c>
      <c r="C57" t="e">
        <f>IF(OR(Sorting!D58=0,Sorting!D58="Grand Total"),"",Sorting!D58)</f>
        <v>#N/A</v>
      </c>
      <c r="D57" t="e">
        <f>IF(OR(Sorting!F58=0,Sorting!F58="Grand Total"),"",Sorting!F58)</f>
        <v>#N/A</v>
      </c>
      <c r="E57" t="e">
        <f>IF(OR(Sorting!H58=0,Sorting!H58="Grand Total"),"",Sorting!H58)</f>
        <v>#N/A</v>
      </c>
      <c r="F57" t="e">
        <f>IF(OR(Sorting!J58=0,Sorting!J58="Grand Total"),"",Sorting!J58)</f>
        <v>#N/A</v>
      </c>
      <c r="G57" t="e">
        <f>IF(OR(Sorting!L58=0,Sorting!L58="Grand Total"),"",Sorting!L58)</f>
        <v>#N/A</v>
      </c>
      <c r="H57" t="e">
        <f>IF(OR(Sorting!O58=0,Sorting!O58="Grand Total"),"",Sorting!O58)</f>
        <v>#N/A</v>
      </c>
      <c r="I57" t="e">
        <f>IF(OR(Sorting!Q58=0,Sorting!Q58="Grand Total"),"",Sorting!Q58)</f>
        <v>#N/A</v>
      </c>
      <c r="J57" t="e">
        <f>IF(OR(Sorting!S58=0,Sorting!S58="Grand Total"),"",Sorting!S58)</f>
        <v>#N/A</v>
      </c>
      <c r="K57" t="e">
        <f>IF(OR(Sorting!U58=0,Sorting!U58="Grand Total"),"",Sorting!U58)</f>
        <v>#N/A</v>
      </c>
      <c r="L57" t="e">
        <f>IF(OR(Sorting!W58=0,Sorting!W58="Grand Total"),"",Sorting!W58)</f>
        <v>#N/A</v>
      </c>
      <c r="M57" t="e">
        <f>IF(OR(Sorting!Y58=0,Sorting!Y58="Grand Total"),"",Sorting!Y58)</f>
        <v>#N/A</v>
      </c>
      <c r="N57" t="e">
        <f>MIN(B57,C57,D57,E57,F57,G57,H57,I57,J57,K57,L57,M57)</f>
        <v>#N/A</v>
      </c>
      <c r="O57">
        <v>55</v>
      </c>
      <c r="P57" t="e">
        <f>IF(OR(LOG10(SUM(B$3:B57))=P56,P56=""),"",LOG10(SUM(B$3:B57)))</f>
        <v>#N/A</v>
      </c>
      <c r="Q57" t="e">
        <f>IF(OR(LOG10(SUM(C$3:C57))=Q56,Q56=""),"",LOG10(SUM(C$3:C57)))</f>
        <v>#N/A</v>
      </c>
      <c r="R57" t="e">
        <f>IF(OR(LOG10(SUM(D$3:D57))=R56,R56=""),"",LOG10(SUM(D$3:D57)))</f>
        <v>#N/A</v>
      </c>
      <c r="S57" t="e">
        <f>IF(OR(LOG10(SUM(E$3:E57))=S56,S56=""),"",LOG10(SUM(E$3:E57)))</f>
        <v>#N/A</v>
      </c>
      <c r="T57" t="e">
        <f>IF(OR(LOG10(SUM(F$3:F57))=T56,T56=""),"",LOG10(SUM(F$3:F57)))</f>
        <v>#N/A</v>
      </c>
      <c r="U57" t="e">
        <f>IF(OR(LOG10(SUM(G$3:G57))=U56,U56=""),"",LOG10(SUM(G$3:G57)))</f>
        <v>#N/A</v>
      </c>
      <c r="V57" t="e">
        <f>IF(OR(LOG10(SUM(H$3:H57))=V56,V56=""),"",LOG10(SUM(H$3:H57)))</f>
        <v>#N/A</v>
      </c>
      <c r="W57" t="e">
        <f>IF(OR(LOG10(SUM(I$3:I57))=W56,W56=""),"",LOG10(SUM(I$3:I57)))</f>
        <v>#N/A</v>
      </c>
      <c r="X57" t="e">
        <f>IF(OR(LOG10(SUM(J$3:J57))=X56,X56=""),"",LOG10(SUM(J$3:J57)))</f>
        <v>#N/A</v>
      </c>
      <c r="Y57" t="e">
        <f>IF(OR(LOG10(SUM(K$3:K57))=Y56,Y56=""),"",LOG10(SUM(K$3:K57)))</f>
        <v>#N/A</v>
      </c>
      <c r="Z57" t="e">
        <f>IF(OR(LOG10(SUM(L$3:L57))=Z56,Z56=""),"",LOG10(SUM(L$3:L57)))</f>
        <v>#N/A</v>
      </c>
      <c r="AA57" t="e">
        <f>IF(OR(LOG10(SUM(M$3:M57))=AA56,AA56=""),"",LOG10(SUM(M$3:M57)))</f>
        <v>#N/A</v>
      </c>
      <c r="AB57" t="e">
        <f>IF(OR(LOG10(SUM(N$3:N57))=AB56,AB56=""),"",LOG10(SUM(N$3:N57)))</f>
        <v>#N/A</v>
      </c>
    </row>
    <row r="58" spans="1:28" x14ac:dyDescent="0.25">
      <c r="A58">
        <v>56</v>
      </c>
      <c r="B58" t="e">
        <f>IF(OR(Sorting!B59=0,Sorting!B59="Grand Total"),"",Sorting!B59)</f>
        <v>#N/A</v>
      </c>
      <c r="C58" t="e">
        <f>IF(OR(Sorting!D59=0,Sorting!D59="Grand Total"),"",Sorting!D59)</f>
        <v>#N/A</v>
      </c>
      <c r="D58" t="e">
        <f>IF(OR(Sorting!F59=0,Sorting!F59="Grand Total"),"",Sorting!F59)</f>
        <v>#N/A</v>
      </c>
      <c r="E58" t="e">
        <f>IF(OR(Sorting!H59=0,Sorting!H59="Grand Total"),"",Sorting!H59)</f>
        <v>#N/A</v>
      </c>
      <c r="F58" t="e">
        <f>IF(OR(Sorting!J59=0,Sorting!J59="Grand Total"),"",Sorting!J59)</f>
        <v>#N/A</v>
      </c>
      <c r="G58" t="e">
        <f>IF(OR(Sorting!L59=0,Sorting!L59="Grand Total"),"",Sorting!L59)</f>
        <v>#N/A</v>
      </c>
      <c r="H58" t="e">
        <f>IF(OR(Sorting!O59=0,Sorting!O59="Grand Total"),"",Sorting!O59)</f>
        <v>#N/A</v>
      </c>
      <c r="I58" t="e">
        <f>IF(OR(Sorting!Q59=0,Sorting!Q59="Grand Total"),"",Sorting!Q59)</f>
        <v>#N/A</v>
      </c>
      <c r="J58" t="e">
        <f>IF(OR(Sorting!S59=0,Sorting!S59="Grand Total"),"",Sorting!S59)</f>
        <v>#N/A</v>
      </c>
      <c r="K58" t="e">
        <f>IF(OR(Sorting!U59=0,Sorting!U59="Grand Total"),"",Sorting!U59)</f>
        <v>#N/A</v>
      </c>
      <c r="L58" t="e">
        <f>IF(OR(Sorting!W59=0,Sorting!W59="Grand Total"),"",Sorting!W59)</f>
        <v>#N/A</v>
      </c>
      <c r="M58" t="e">
        <f>IF(OR(Sorting!Y59=0,Sorting!Y59="Grand Total"),"",Sorting!Y59)</f>
        <v>#N/A</v>
      </c>
      <c r="N58" t="e">
        <f>MIN(B58,C58,D58,E58,F58,G58,H58,I58,J58,K58,L58,M58)</f>
        <v>#N/A</v>
      </c>
      <c r="O58">
        <v>56</v>
      </c>
      <c r="P58" t="e">
        <f>IF(OR(LOG10(SUM(B$3:B58))=P57,P57=""),"",LOG10(SUM(B$3:B58)))</f>
        <v>#N/A</v>
      </c>
      <c r="Q58" t="e">
        <f>IF(OR(LOG10(SUM(C$3:C58))=Q57,Q57=""),"",LOG10(SUM(C$3:C58)))</f>
        <v>#N/A</v>
      </c>
      <c r="R58" t="e">
        <f>IF(OR(LOG10(SUM(D$3:D58))=R57,R57=""),"",LOG10(SUM(D$3:D58)))</f>
        <v>#N/A</v>
      </c>
      <c r="S58" t="e">
        <f>IF(OR(LOG10(SUM(E$3:E58))=S57,S57=""),"",LOG10(SUM(E$3:E58)))</f>
        <v>#N/A</v>
      </c>
      <c r="T58" t="e">
        <f>IF(OR(LOG10(SUM(F$3:F58))=T57,T57=""),"",LOG10(SUM(F$3:F58)))</f>
        <v>#N/A</v>
      </c>
      <c r="U58" t="e">
        <f>IF(OR(LOG10(SUM(G$3:G58))=U57,U57=""),"",LOG10(SUM(G$3:G58)))</f>
        <v>#N/A</v>
      </c>
      <c r="V58" t="e">
        <f>IF(OR(LOG10(SUM(H$3:H58))=V57,V57=""),"",LOG10(SUM(H$3:H58)))</f>
        <v>#N/A</v>
      </c>
      <c r="W58" t="e">
        <f>IF(OR(LOG10(SUM(I$3:I58))=W57,W57=""),"",LOG10(SUM(I$3:I58)))</f>
        <v>#N/A</v>
      </c>
      <c r="X58" t="e">
        <f>IF(OR(LOG10(SUM(J$3:J58))=X57,X57=""),"",LOG10(SUM(J$3:J58)))</f>
        <v>#N/A</v>
      </c>
      <c r="Y58" t="e">
        <f>IF(OR(LOG10(SUM(K$3:K58))=Y57,Y57=""),"",LOG10(SUM(K$3:K58)))</f>
        <v>#N/A</v>
      </c>
      <c r="Z58" t="e">
        <f>IF(OR(LOG10(SUM(L$3:L58))=Z57,Z57=""),"",LOG10(SUM(L$3:L58)))</f>
        <v>#N/A</v>
      </c>
      <c r="AA58" t="e">
        <f>IF(OR(LOG10(SUM(M$3:M58))=AA57,AA57=""),"",LOG10(SUM(M$3:M58)))</f>
        <v>#N/A</v>
      </c>
      <c r="AB58" t="e">
        <f>IF(OR(LOG10(SUM(N$3:N58))=AB57,AB57=""),"",LOG10(SUM(N$3:N58)))</f>
        <v>#N/A</v>
      </c>
    </row>
    <row r="59" spans="1:28" x14ac:dyDescent="0.25">
      <c r="A59">
        <v>57</v>
      </c>
      <c r="B59" t="e">
        <f>IF(OR(Sorting!B60=0,Sorting!B60="Grand Total"),"",Sorting!B60)</f>
        <v>#N/A</v>
      </c>
      <c r="C59" t="e">
        <f>IF(OR(Sorting!D60=0,Sorting!D60="Grand Total"),"",Sorting!D60)</f>
        <v>#N/A</v>
      </c>
      <c r="D59" t="e">
        <f>IF(OR(Sorting!F60=0,Sorting!F60="Grand Total"),"",Sorting!F60)</f>
        <v>#N/A</v>
      </c>
      <c r="E59" t="e">
        <f>IF(OR(Sorting!H60=0,Sorting!H60="Grand Total"),"",Sorting!H60)</f>
        <v>#N/A</v>
      </c>
      <c r="F59" t="e">
        <f>IF(OR(Sorting!J60=0,Sorting!J60="Grand Total"),"",Sorting!J60)</f>
        <v>#N/A</v>
      </c>
      <c r="G59" t="e">
        <f>IF(OR(Sorting!L60=0,Sorting!L60="Grand Total"),"",Sorting!L60)</f>
        <v>#N/A</v>
      </c>
      <c r="H59" t="e">
        <f>IF(OR(Sorting!O60=0,Sorting!O60="Grand Total"),"",Sorting!O60)</f>
        <v>#N/A</v>
      </c>
      <c r="I59" t="e">
        <f>IF(OR(Sorting!Q60=0,Sorting!Q60="Grand Total"),"",Sorting!Q60)</f>
        <v>#N/A</v>
      </c>
      <c r="J59" t="e">
        <f>IF(OR(Sorting!S60=0,Sorting!S60="Grand Total"),"",Sorting!S60)</f>
        <v>#N/A</v>
      </c>
      <c r="K59" t="e">
        <f>IF(OR(Sorting!U60=0,Sorting!U60="Grand Total"),"",Sorting!U60)</f>
        <v>#N/A</v>
      </c>
      <c r="L59" t="e">
        <f>IF(OR(Sorting!W60=0,Sorting!W60="Grand Total"),"",Sorting!W60)</f>
        <v>#N/A</v>
      </c>
      <c r="M59" t="e">
        <f>IF(OR(Sorting!Y60=0,Sorting!Y60="Grand Total"),"",Sorting!Y60)</f>
        <v>#N/A</v>
      </c>
      <c r="N59" t="e">
        <f>MIN(B59,C59,D59,E59,F59,G59,H59,I59,J59,K59,L59,M59)</f>
        <v>#N/A</v>
      </c>
      <c r="O59">
        <v>57</v>
      </c>
      <c r="P59" t="e">
        <f>IF(OR(LOG10(SUM(B$3:B59))=P58,P58=""),"",LOG10(SUM(B$3:B59)))</f>
        <v>#N/A</v>
      </c>
      <c r="Q59" t="e">
        <f>IF(OR(LOG10(SUM(C$3:C59))=Q58,Q58=""),"",LOG10(SUM(C$3:C59)))</f>
        <v>#N/A</v>
      </c>
      <c r="R59" t="e">
        <f>IF(OR(LOG10(SUM(D$3:D59))=R58,R58=""),"",LOG10(SUM(D$3:D59)))</f>
        <v>#N/A</v>
      </c>
      <c r="S59" t="e">
        <f>IF(OR(LOG10(SUM(E$3:E59))=S58,S58=""),"",LOG10(SUM(E$3:E59)))</f>
        <v>#N/A</v>
      </c>
      <c r="T59" t="e">
        <f>IF(OR(LOG10(SUM(F$3:F59))=T58,T58=""),"",LOG10(SUM(F$3:F59)))</f>
        <v>#N/A</v>
      </c>
      <c r="U59" t="e">
        <f>IF(OR(LOG10(SUM(G$3:G59))=U58,U58=""),"",LOG10(SUM(G$3:G59)))</f>
        <v>#N/A</v>
      </c>
      <c r="V59" t="e">
        <f>IF(OR(LOG10(SUM(H$3:H59))=V58,V58=""),"",LOG10(SUM(H$3:H59)))</f>
        <v>#N/A</v>
      </c>
      <c r="W59" t="e">
        <f>IF(OR(LOG10(SUM(I$3:I59))=W58,W58=""),"",LOG10(SUM(I$3:I59)))</f>
        <v>#N/A</v>
      </c>
      <c r="X59" t="e">
        <f>IF(OR(LOG10(SUM(J$3:J59))=X58,X58=""),"",LOG10(SUM(J$3:J59)))</f>
        <v>#N/A</v>
      </c>
      <c r="Y59" t="e">
        <f>IF(OR(LOG10(SUM(K$3:K59))=Y58,Y58=""),"",LOG10(SUM(K$3:K59)))</f>
        <v>#N/A</v>
      </c>
      <c r="Z59" t="e">
        <f>IF(OR(LOG10(SUM(L$3:L59))=Z58,Z58=""),"",LOG10(SUM(L$3:L59)))</f>
        <v>#N/A</v>
      </c>
      <c r="AA59" t="e">
        <f>IF(OR(LOG10(SUM(M$3:M59))=AA58,AA58=""),"",LOG10(SUM(M$3:M59)))</f>
        <v>#N/A</v>
      </c>
      <c r="AB59" t="e">
        <f>IF(OR(LOG10(SUM(N$3:N59))=AB58,AB58=""),"",LOG10(SUM(N$3:N59)))</f>
        <v>#N/A</v>
      </c>
    </row>
    <row r="60" spans="1:28" x14ac:dyDescent="0.25">
      <c r="A60">
        <v>58</v>
      </c>
      <c r="B60" t="e">
        <f>IF(OR(Sorting!B61=0,Sorting!B61="Grand Total"),"",Sorting!B61)</f>
        <v>#N/A</v>
      </c>
      <c r="C60" t="e">
        <f>IF(OR(Sorting!D61=0,Sorting!D61="Grand Total"),"",Sorting!D61)</f>
        <v>#N/A</v>
      </c>
      <c r="D60" t="e">
        <f>IF(OR(Sorting!F61=0,Sorting!F61="Grand Total"),"",Sorting!F61)</f>
        <v>#N/A</v>
      </c>
      <c r="E60" t="e">
        <f>IF(OR(Sorting!H61=0,Sorting!H61="Grand Total"),"",Sorting!H61)</f>
        <v>#N/A</v>
      </c>
      <c r="F60" t="e">
        <f>IF(OR(Sorting!J61=0,Sorting!J61="Grand Total"),"",Sorting!J61)</f>
        <v>#N/A</v>
      </c>
      <c r="G60" t="e">
        <f>IF(OR(Sorting!L61=0,Sorting!L61="Grand Total"),"",Sorting!L61)</f>
        <v>#N/A</v>
      </c>
      <c r="H60" t="e">
        <f>IF(OR(Sorting!O61=0,Sorting!O61="Grand Total"),"",Sorting!O61)</f>
        <v>#N/A</v>
      </c>
      <c r="I60" t="e">
        <f>IF(OR(Sorting!Q61=0,Sorting!Q61="Grand Total"),"",Sorting!Q61)</f>
        <v>#N/A</v>
      </c>
      <c r="J60" t="e">
        <f>IF(OR(Sorting!S61=0,Sorting!S61="Grand Total"),"",Sorting!S61)</f>
        <v>#N/A</v>
      </c>
      <c r="K60" t="e">
        <f>IF(OR(Sorting!U61=0,Sorting!U61="Grand Total"),"",Sorting!U61)</f>
        <v>#N/A</v>
      </c>
      <c r="L60" t="e">
        <f>IF(OR(Sorting!W61=0,Sorting!W61="Grand Total"),"",Sorting!W61)</f>
        <v>#N/A</v>
      </c>
      <c r="M60" t="e">
        <f>IF(OR(Sorting!Y61=0,Sorting!Y61="Grand Total"),"",Sorting!Y61)</f>
        <v>#N/A</v>
      </c>
      <c r="N60" t="e">
        <f>MIN(B60,C60,D60,E60,F60,G60,H60,I60,J60,K60,L60,M60)</f>
        <v>#N/A</v>
      </c>
      <c r="O60">
        <v>58</v>
      </c>
      <c r="P60" t="e">
        <f>IF(OR(LOG10(SUM(B$3:B60))=P59,P59=""),"",LOG10(SUM(B$3:B60)))</f>
        <v>#N/A</v>
      </c>
      <c r="Q60" t="e">
        <f>IF(OR(LOG10(SUM(C$3:C60))=Q59,Q59=""),"",LOG10(SUM(C$3:C60)))</f>
        <v>#N/A</v>
      </c>
      <c r="R60" t="e">
        <f>IF(OR(LOG10(SUM(D$3:D60))=R59,R59=""),"",LOG10(SUM(D$3:D60)))</f>
        <v>#N/A</v>
      </c>
      <c r="S60" t="e">
        <f>IF(OR(LOG10(SUM(E$3:E60))=S59,S59=""),"",LOG10(SUM(E$3:E60)))</f>
        <v>#N/A</v>
      </c>
      <c r="T60" t="e">
        <f>IF(OR(LOG10(SUM(F$3:F60))=T59,T59=""),"",LOG10(SUM(F$3:F60)))</f>
        <v>#N/A</v>
      </c>
      <c r="U60" t="e">
        <f>IF(OR(LOG10(SUM(G$3:G60))=U59,U59=""),"",LOG10(SUM(G$3:G60)))</f>
        <v>#N/A</v>
      </c>
      <c r="V60" t="e">
        <f>IF(OR(LOG10(SUM(H$3:H60))=V59,V59=""),"",LOG10(SUM(H$3:H60)))</f>
        <v>#N/A</v>
      </c>
      <c r="W60" t="e">
        <f>IF(OR(LOG10(SUM(I$3:I60))=W59,W59=""),"",LOG10(SUM(I$3:I60)))</f>
        <v>#N/A</v>
      </c>
      <c r="X60" t="e">
        <f>IF(OR(LOG10(SUM(J$3:J60))=X59,X59=""),"",LOG10(SUM(J$3:J60)))</f>
        <v>#N/A</v>
      </c>
      <c r="Y60" t="e">
        <f>IF(OR(LOG10(SUM(K$3:K60))=Y59,Y59=""),"",LOG10(SUM(K$3:K60)))</f>
        <v>#N/A</v>
      </c>
      <c r="Z60" t="e">
        <f>IF(OR(LOG10(SUM(L$3:L60))=Z59,Z59=""),"",LOG10(SUM(L$3:L60)))</f>
        <v>#N/A</v>
      </c>
      <c r="AA60" t="e">
        <f>IF(OR(LOG10(SUM(M$3:M60))=AA59,AA59=""),"",LOG10(SUM(M$3:M60)))</f>
        <v>#N/A</v>
      </c>
      <c r="AB60" t="e">
        <f>IF(OR(LOG10(SUM(N$3:N60))=AB59,AB59=""),"",LOG10(SUM(N$3:N60)))</f>
        <v>#N/A</v>
      </c>
    </row>
    <row r="61" spans="1:28" x14ac:dyDescent="0.25">
      <c r="A61">
        <v>59</v>
      </c>
      <c r="B61" t="e">
        <f>IF(OR(Sorting!B62=0,Sorting!B62="Grand Total"),"",Sorting!B62)</f>
        <v>#N/A</v>
      </c>
      <c r="C61" t="e">
        <f>IF(OR(Sorting!D62=0,Sorting!D62="Grand Total"),"",Sorting!D62)</f>
        <v>#N/A</v>
      </c>
      <c r="D61" t="e">
        <f>IF(OR(Sorting!F62=0,Sorting!F62="Grand Total"),"",Sorting!F62)</f>
        <v>#N/A</v>
      </c>
      <c r="E61" t="e">
        <f>IF(OR(Sorting!H62=0,Sorting!H62="Grand Total"),"",Sorting!H62)</f>
        <v>#N/A</v>
      </c>
      <c r="F61" t="e">
        <f>IF(OR(Sorting!J62=0,Sorting!J62="Grand Total"),"",Sorting!J62)</f>
        <v>#N/A</v>
      </c>
      <c r="G61" t="e">
        <f>IF(OR(Sorting!L62=0,Sorting!L62="Grand Total"),"",Sorting!L62)</f>
        <v>#N/A</v>
      </c>
      <c r="H61" t="e">
        <f>IF(OR(Sorting!O62=0,Sorting!O62="Grand Total"),"",Sorting!O62)</f>
        <v>#N/A</v>
      </c>
      <c r="I61" t="e">
        <f>IF(OR(Sorting!Q62=0,Sorting!Q62="Grand Total"),"",Sorting!Q62)</f>
        <v>#N/A</v>
      </c>
      <c r="J61" t="e">
        <f>IF(OR(Sorting!S62=0,Sorting!S62="Grand Total"),"",Sorting!S62)</f>
        <v>#N/A</v>
      </c>
      <c r="K61" t="e">
        <f>IF(OR(Sorting!U62=0,Sorting!U62="Grand Total"),"",Sorting!U62)</f>
        <v>#N/A</v>
      </c>
      <c r="L61" t="e">
        <f>IF(OR(Sorting!W62=0,Sorting!W62="Grand Total"),"",Sorting!W62)</f>
        <v>#N/A</v>
      </c>
      <c r="M61" t="e">
        <f>IF(OR(Sorting!Y62=0,Sorting!Y62="Grand Total"),"",Sorting!Y62)</f>
        <v>#N/A</v>
      </c>
      <c r="N61" t="e">
        <f>MIN(B61,C61,D61,E61,F61,G61,H61,I61,J61,K61,L61,M61)</f>
        <v>#N/A</v>
      </c>
      <c r="O61">
        <v>59</v>
      </c>
      <c r="P61" t="e">
        <f>IF(OR(LOG10(SUM(B$3:B61))=P60,P60=""),"",LOG10(SUM(B$3:B61)))</f>
        <v>#N/A</v>
      </c>
      <c r="Q61" t="e">
        <f>IF(OR(LOG10(SUM(C$3:C61))=Q60,Q60=""),"",LOG10(SUM(C$3:C61)))</f>
        <v>#N/A</v>
      </c>
      <c r="R61" t="e">
        <f>IF(OR(LOG10(SUM(D$3:D61))=R60,R60=""),"",LOG10(SUM(D$3:D61)))</f>
        <v>#N/A</v>
      </c>
      <c r="S61" t="e">
        <f>IF(OR(LOG10(SUM(E$3:E61))=S60,S60=""),"",LOG10(SUM(E$3:E61)))</f>
        <v>#N/A</v>
      </c>
      <c r="T61" t="e">
        <f>IF(OR(LOG10(SUM(F$3:F61))=T60,T60=""),"",LOG10(SUM(F$3:F61)))</f>
        <v>#N/A</v>
      </c>
      <c r="U61" t="e">
        <f>IF(OR(LOG10(SUM(G$3:G61))=U60,U60=""),"",LOG10(SUM(G$3:G61)))</f>
        <v>#N/A</v>
      </c>
      <c r="V61" t="e">
        <f>IF(OR(LOG10(SUM(H$3:H61))=V60,V60=""),"",LOG10(SUM(H$3:H61)))</f>
        <v>#N/A</v>
      </c>
      <c r="W61" t="e">
        <f>IF(OR(LOG10(SUM(I$3:I61))=W60,W60=""),"",LOG10(SUM(I$3:I61)))</f>
        <v>#N/A</v>
      </c>
      <c r="X61" t="e">
        <f>IF(OR(LOG10(SUM(J$3:J61))=X60,X60=""),"",LOG10(SUM(J$3:J61)))</f>
        <v>#N/A</v>
      </c>
      <c r="Y61" t="e">
        <f>IF(OR(LOG10(SUM(K$3:K61))=Y60,Y60=""),"",LOG10(SUM(K$3:K61)))</f>
        <v>#N/A</v>
      </c>
      <c r="Z61" t="e">
        <f>IF(OR(LOG10(SUM(L$3:L61))=Z60,Z60=""),"",LOG10(SUM(L$3:L61)))</f>
        <v>#N/A</v>
      </c>
      <c r="AA61" t="e">
        <f>IF(OR(LOG10(SUM(M$3:M61))=AA60,AA60=""),"",LOG10(SUM(M$3:M61)))</f>
        <v>#N/A</v>
      </c>
      <c r="AB61" t="e">
        <f>IF(OR(LOG10(SUM(N$3:N61))=AB60,AB60=""),"",LOG10(SUM(N$3:N61)))</f>
        <v>#N/A</v>
      </c>
    </row>
    <row r="62" spans="1:28" x14ac:dyDescent="0.25">
      <c r="A62">
        <v>60</v>
      </c>
      <c r="B62" t="e">
        <f>IF(OR(Sorting!B63=0,Sorting!B63="Grand Total"),"",Sorting!B63)</f>
        <v>#N/A</v>
      </c>
      <c r="C62" t="e">
        <f>IF(OR(Sorting!D63=0,Sorting!D63="Grand Total"),"",Sorting!D63)</f>
        <v>#N/A</v>
      </c>
      <c r="D62" t="e">
        <f>IF(OR(Sorting!F63=0,Sorting!F63="Grand Total"),"",Sorting!F63)</f>
        <v>#N/A</v>
      </c>
      <c r="E62" t="e">
        <f>IF(OR(Sorting!H63=0,Sorting!H63="Grand Total"),"",Sorting!H63)</f>
        <v>#N/A</v>
      </c>
      <c r="F62" t="e">
        <f>IF(OR(Sorting!J63=0,Sorting!J63="Grand Total"),"",Sorting!J63)</f>
        <v>#N/A</v>
      </c>
      <c r="G62" t="e">
        <f>IF(OR(Sorting!L63=0,Sorting!L63="Grand Total"),"",Sorting!L63)</f>
        <v>#N/A</v>
      </c>
      <c r="H62" t="e">
        <f>IF(OR(Sorting!O63=0,Sorting!O63="Grand Total"),"",Sorting!O63)</f>
        <v>#N/A</v>
      </c>
      <c r="I62" t="e">
        <f>IF(OR(Sorting!Q63=0,Sorting!Q63="Grand Total"),"",Sorting!Q63)</f>
        <v>#N/A</v>
      </c>
      <c r="J62" t="e">
        <f>IF(OR(Sorting!S63=0,Sorting!S63="Grand Total"),"",Sorting!S63)</f>
        <v>#N/A</v>
      </c>
      <c r="K62" t="e">
        <f>IF(OR(Sorting!U63=0,Sorting!U63="Grand Total"),"",Sorting!U63)</f>
        <v>#N/A</v>
      </c>
      <c r="L62" t="e">
        <f>IF(OR(Sorting!W63=0,Sorting!W63="Grand Total"),"",Sorting!W63)</f>
        <v>#N/A</v>
      </c>
      <c r="M62" t="e">
        <f>IF(OR(Sorting!Y63=0,Sorting!Y63="Grand Total"),"",Sorting!Y63)</f>
        <v>#N/A</v>
      </c>
      <c r="N62" t="e">
        <f>MIN(B62,C62,D62,E62,F62,G62,H62,I62,J62,K62,L62,M62)</f>
        <v>#N/A</v>
      </c>
      <c r="O62">
        <v>60</v>
      </c>
      <c r="P62" t="e">
        <f>IF(OR(LOG10(SUM(B$3:B62))=P61,P61=""),"",LOG10(SUM(B$3:B62)))</f>
        <v>#N/A</v>
      </c>
      <c r="Q62" t="e">
        <f>IF(OR(LOG10(SUM(C$3:C62))=Q61,Q61=""),"",LOG10(SUM(C$3:C62)))</f>
        <v>#N/A</v>
      </c>
      <c r="R62" t="e">
        <f>IF(OR(LOG10(SUM(D$3:D62))=R61,R61=""),"",LOG10(SUM(D$3:D62)))</f>
        <v>#N/A</v>
      </c>
      <c r="S62" t="e">
        <f>IF(OR(LOG10(SUM(E$3:E62))=S61,S61=""),"",LOG10(SUM(E$3:E62)))</f>
        <v>#N/A</v>
      </c>
      <c r="T62" t="e">
        <f>IF(OR(LOG10(SUM(F$3:F62))=T61,T61=""),"",LOG10(SUM(F$3:F62)))</f>
        <v>#N/A</v>
      </c>
      <c r="U62" t="e">
        <f>IF(OR(LOG10(SUM(G$3:G62))=U61,U61=""),"",LOG10(SUM(G$3:G62)))</f>
        <v>#N/A</v>
      </c>
      <c r="V62" t="e">
        <f>IF(OR(LOG10(SUM(H$3:H62))=V61,V61=""),"",LOG10(SUM(H$3:H62)))</f>
        <v>#N/A</v>
      </c>
      <c r="W62" t="e">
        <f>IF(OR(LOG10(SUM(I$3:I62))=W61,W61=""),"",LOG10(SUM(I$3:I62)))</f>
        <v>#N/A</v>
      </c>
      <c r="X62" t="e">
        <f>IF(OR(LOG10(SUM(J$3:J62))=X61,X61=""),"",LOG10(SUM(J$3:J62)))</f>
        <v>#N/A</v>
      </c>
      <c r="Y62" t="e">
        <f>IF(OR(LOG10(SUM(K$3:K62))=Y61,Y61=""),"",LOG10(SUM(K$3:K62)))</f>
        <v>#N/A</v>
      </c>
      <c r="Z62" t="e">
        <f>IF(OR(LOG10(SUM(L$3:L62))=Z61,Z61=""),"",LOG10(SUM(L$3:L62)))</f>
        <v>#N/A</v>
      </c>
      <c r="AA62" t="e">
        <f>IF(OR(LOG10(SUM(M$3:M62))=AA61,AA61=""),"",LOG10(SUM(M$3:M62)))</f>
        <v>#N/A</v>
      </c>
      <c r="AB62" t="e">
        <f>IF(OR(LOG10(SUM(N$3:N62))=AB61,AB61=""),"",LOG10(SUM(N$3:N62)))</f>
        <v>#N/A</v>
      </c>
    </row>
    <row r="63" spans="1:28" x14ac:dyDescent="0.25">
      <c r="A63">
        <v>61</v>
      </c>
      <c r="B63" t="e">
        <f>IF(OR(Sorting!B64=0,Sorting!B64="Grand Total"),"",Sorting!B64)</f>
        <v>#N/A</v>
      </c>
      <c r="C63" t="e">
        <f>IF(OR(Sorting!D64=0,Sorting!D64="Grand Total"),"",Sorting!D64)</f>
        <v>#N/A</v>
      </c>
      <c r="D63" t="e">
        <f>IF(OR(Sorting!F64=0,Sorting!F64="Grand Total"),"",Sorting!F64)</f>
        <v>#N/A</v>
      </c>
      <c r="E63" t="e">
        <f>IF(OR(Sorting!H64=0,Sorting!H64="Grand Total"),"",Sorting!H64)</f>
        <v>#N/A</v>
      </c>
      <c r="F63" t="e">
        <f>IF(OR(Sorting!J64=0,Sorting!J64="Grand Total"),"",Sorting!J64)</f>
        <v>#N/A</v>
      </c>
      <c r="G63" t="e">
        <f>IF(OR(Sorting!L64=0,Sorting!L64="Grand Total"),"",Sorting!L64)</f>
        <v>#N/A</v>
      </c>
      <c r="H63" t="e">
        <f>IF(OR(Sorting!O64=0,Sorting!O64="Grand Total"),"",Sorting!O64)</f>
        <v>#N/A</v>
      </c>
      <c r="I63" t="e">
        <f>IF(OR(Sorting!Q64=0,Sorting!Q64="Grand Total"),"",Sorting!Q64)</f>
        <v>#N/A</v>
      </c>
      <c r="J63" t="e">
        <f>IF(OR(Sorting!S64=0,Sorting!S64="Grand Total"),"",Sorting!S64)</f>
        <v>#N/A</v>
      </c>
      <c r="K63" t="e">
        <f>IF(OR(Sorting!U64=0,Sorting!U64="Grand Total"),"",Sorting!U64)</f>
        <v>#N/A</v>
      </c>
      <c r="L63" t="e">
        <f>IF(OR(Sorting!W64=0,Sorting!W64="Grand Total"),"",Sorting!W64)</f>
        <v>#N/A</v>
      </c>
      <c r="M63" t="e">
        <f>IF(OR(Sorting!Y64=0,Sorting!Y64="Grand Total"),"",Sorting!Y64)</f>
        <v>#N/A</v>
      </c>
      <c r="N63" t="e">
        <f>MIN(B63,C63,D63,E63,F63,G63,H63,I63,J63,K63,L63,M63)</f>
        <v>#N/A</v>
      </c>
      <c r="O63">
        <v>61</v>
      </c>
      <c r="P63" t="e">
        <f>IF(OR(LOG10(SUM(B$3:B63))=P62,P62=""),"",LOG10(SUM(B$3:B63)))</f>
        <v>#N/A</v>
      </c>
      <c r="Q63" t="e">
        <f>IF(OR(LOG10(SUM(C$3:C63))=Q62,Q62=""),"",LOG10(SUM(C$3:C63)))</f>
        <v>#N/A</v>
      </c>
      <c r="R63" t="e">
        <f>IF(OR(LOG10(SUM(D$3:D63))=R62,R62=""),"",LOG10(SUM(D$3:D63)))</f>
        <v>#N/A</v>
      </c>
      <c r="S63" t="e">
        <f>IF(OR(LOG10(SUM(E$3:E63))=S62,S62=""),"",LOG10(SUM(E$3:E63)))</f>
        <v>#N/A</v>
      </c>
      <c r="T63" t="e">
        <f>IF(OR(LOG10(SUM(F$3:F63))=T62,T62=""),"",LOG10(SUM(F$3:F63)))</f>
        <v>#N/A</v>
      </c>
      <c r="U63" t="e">
        <f>IF(OR(LOG10(SUM(G$3:G63))=U62,U62=""),"",LOG10(SUM(G$3:G63)))</f>
        <v>#N/A</v>
      </c>
      <c r="V63" t="e">
        <f>IF(OR(LOG10(SUM(H$3:H63))=V62,V62=""),"",LOG10(SUM(H$3:H63)))</f>
        <v>#N/A</v>
      </c>
      <c r="W63" t="e">
        <f>IF(OR(LOG10(SUM(I$3:I63))=W62,W62=""),"",LOG10(SUM(I$3:I63)))</f>
        <v>#N/A</v>
      </c>
      <c r="X63" t="e">
        <f>IF(OR(LOG10(SUM(J$3:J63))=X62,X62=""),"",LOG10(SUM(J$3:J63)))</f>
        <v>#N/A</v>
      </c>
      <c r="Y63" t="e">
        <f>IF(OR(LOG10(SUM(K$3:K63))=Y62,Y62=""),"",LOG10(SUM(K$3:K63)))</f>
        <v>#N/A</v>
      </c>
      <c r="Z63" t="e">
        <f>IF(OR(LOG10(SUM(L$3:L63))=Z62,Z62=""),"",LOG10(SUM(L$3:L63)))</f>
        <v>#N/A</v>
      </c>
      <c r="AA63" t="e">
        <f>IF(OR(LOG10(SUM(M$3:M63))=AA62,AA62=""),"",LOG10(SUM(M$3:M63)))</f>
        <v>#N/A</v>
      </c>
      <c r="AB63" t="e">
        <f>IF(OR(LOG10(SUM(N$3:N63))=AB62,AB62=""),"",LOG10(SUM(N$3:N63)))</f>
        <v>#N/A</v>
      </c>
    </row>
    <row r="64" spans="1:28" x14ac:dyDescent="0.25">
      <c r="A64">
        <v>62</v>
      </c>
      <c r="B64" t="e">
        <f>IF(OR(Sorting!B65=0,Sorting!B65="Grand Total"),"",Sorting!B65)</f>
        <v>#N/A</v>
      </c>
      <c r="C64" t="e">
        <f>IF(OR(Sorting!D65=0,Sorting!D65="Grand Total"),"",Sorting!D65)</f>
        <v>#N/A</v>
      </c>
      <c r="D64" t="e">
        <f>IF(OR(Sorting!F65=0,Sorting!F65="Grand Total"),"",Sorting!F65)</f>
        <v>#N/A</v>
      </c>
      <c r="E64" t="e">
        <f>IF(OR(Sorting!H65=0,Sorting!H65="Grand Total"),"",Sorting!H65)</f>
        <v>#N/A</v>
      </c>
      <c r="F64" t="e">
        <f>IF(OR(Sorting!J65=0,Sorting!J65="Grand Total"),"",Sorting!J65)</f>
        <v>#N/A</v>
      </c>
      <c r="G64" t="e">
        <f>IF(OR(Sorting!L65=0,Sorting!L65="Grand Total"),"",Sorting!L65)</f>
        <v>#N/A</v>
      </c>
      <c r="H64" t="e">
        <f>IF(OR(Sorting!O65=0,Sorting!O65="Grand Total"),"",Sorting!O65)</f>
        <v>#N/A</v>
      </c>
      <c r="I64" t="e">
        <f>IF(OR(Sorting!Q65=0,Sorting!Q65="Grand Total"),"",Sorting!Q65)</f>
        <v>#N/A</v>
      </c>
      <c r="J64" t="e">
        <f>IF(OR(Sorting!S65=0,Sorting!S65="Grand Total"),"",Sorting!S65)</f>
        <v>#N/A</v>
      </c>
      <c r="K64" t="e">
        <f>IF(OR(Sorting!U65=0,Sorting!U65="Grand Total"),"",Sorting!U65)</f>
        <v>#N/A</v>
      </c>
      <c r="L64" t="e">
        <f>IF(OR(Sorting!W65=0,Sorting!W65="Grand Total"),"",Sorting!W65)</f>
        <v>#N/A</v>
      </c>
      <c r="M64" t="e">
        <f>IF(OR(Sorting!Y65=0,Sorting!Y65="Grand Total"),"",Sorting!Y65)</f>
        <v>#N/A</v>
      </c>
      <c r="N64" t="e">
        <f>MIN(B64,C64,D64,E64,F64,G64,H64,I64,J64,K64,L64,M64)</f>
        <v>#N/A</v>
      </c>
      <c r="O64">
        <v>62</v>
      </c>
      <c r="P64" t="e">
        <f>IF(OR(LOG10(SUM(B$3:B64))=P63,P63=""),"",LOG10(SUM(B$3:B64)))</f>
        <v>#N/A</v>
      </c>
      <c r="Q64" t="e">
        <f>IF(OR(LOG10(SUM(C$3:C64))=Q63,Q63=""),"",LOG10(SUM(C$3:C64)))</f>
        <v>#N/A</v>
      </c>
      <c r="R64" t="e">
        <f>IF(OR(LOG10(SUM(D$3:D64))=R63,R63=""),"",LOG10(SUM(D$3:D64)))</f>
        <v>#N/A</v>
      </c>
      <c r="S64" t="e">
        <f>IF(OR(LOG10(SUM(E$3:E64))=S63,S63=""),"",LOG10(SUM(E$3:E64)))</f>
        <v>#N/A</v>
      </c>
      <c r="T64" t="e">
        <f>IF(OR(LOG10(SUM(F$3:F64))=T63,T63=""),"",LOG10(SUM(F$3:F64)))</f>
        <v>#N/A</v>
      </c>
      <c r="U64" t="e">
        <f>IF(OR(LOG10(SUM(G$3:G64))=U63,U63=""),"",LOG10(SUM(G$3:G64)))</f>
        <v>#N/A</v>
      </c>
      <c r="V64" t="e">
        <f>IF(OR(LOG10(SUM(H$3:H64))=V63,V63=""),"",LOG10(SUM(H$3:H64)))</f>
        <v>#N/A</v>
      </c>
      <c r="W64" t="e">
        <f>IF(OR(LOG10(SUM(I$3:I64))=W63,W63=""),"",LOG10(SUM(I$3:I64)))</f>
        <v>#N/A</v>
      </c>
      <c r="X64" t="e">
        <f>IF(OR(LOG10(SUM(J$3:J64))=X63,X63=""),"",LOG10(SUM(J$3:J64)))</f>
        <v>#N/A</v>
      </c>
      <c r="Y64" t="e">
        <f>IF(OR(LOG10(SUM(K$3:K64))=Y63,Y63=""),"",LOG10(SUM(K$3:K64)))</f>
        <v>#N/A</v>
      </c>
      <c r="Z64" t="e">
        <f>IF(OR(LOG10(SUM(L$3:L64))=Z63,Z63=""),"",LOG10(SUM(L$3:L64)))</f>
        <v>#N/A</v>
      </c>
      <c r="AA64" t="e">
        <f>IF(OR(LOG10(SUM(M$3:M64))=AA63,AA63=""),"",LOG10(SUM(M$3:M64)))</f>
        <v>#N/A</v>
      </c>
      <c r="AB64" t="e">
        <f>IF(OR(LOG10(SUM(N$3:N64))=AB63,AB63=""),"",LOG10(SUM(N$3:N64)))</f>
        <v>#N/A</v>
      </c>
    </row>
    <row r="65" spans="1:28" x14ac:dyDescent="0.25">
      <c r="A65">
        <v>63</v>
      </c>
      <c r="B65" t="e">
        <f>IF(OR(Sorting!B66=0,Sorting!B66="Grand Total"),"",Sorting!B66)</f>
        <v>#N/A</v>
      </c>
      <c r="C65" t="e">
        <f>IF(OR(Sorting!D66=0,Sorting!D66="Grand Total"),"",Sorting!D66)</f>
        <v>#N/A</v>
      </c>
      <c r="D65" t="e">
        <f>IF(OR(Sorting!F66=0,Sorting!F66="Grand Total"),"",Sorting!F66)</f>
        <v>#N/A</v>
      </c>
      <c r="E65" t="e">
        <f>IF(OR(Sorting!H66=0,Sorting!H66="Grand Total"),"",Sorting!H66)</f>
        <v>#N/A</v>
      </c>
      <c r="F65" t="e">
        <f>IF(OR(Sorting!J66=0,Sorting!J66="Grand Total"),"",Sorting!J66)</f>
        <v>#N/A</v>
      </c>
      <c r="G65" t="e">
        <f>IF(OR(Sorting!L66=0,Sorting!L66="Grand Total"),"",Sorting!L66)</f>
        <v>#N/A</v>
      </c>
      <c r="H65" t="e">
        <f>IF(OR(Sorting!O66=0,Sorting!O66="Grand Total"),"",Sorting!O66)</f>
        <v>#N/A</v>
      </c>
      <c r="I65" t="e">
        <f>IF(OR(Sorting!Q66=0,Sorting!Q66="Grand Total"),"",Sorting!Q66)</f>
        <v>#N/A</v>
      </c>
      <c r="J65" t="e">
        <f>IF(OR(Sorting!S66=0,Sorting!S66="Grand Total"),"",Sorting!S66)</f>
        <v>#N/A</v>
      </c>
      <c r="K65" t="e">
        <f>IF(OR(Sorting!U66=0,Sorting!U66="Grand Total"),"",Sorting!U66)</f>
        <v>#N/A</v>
      </c>
      <c r="L65" t="e">
        <f>IF(OR(Sorting!W66=0,Sorting!W66="Grand Total"),"",Sorting!W66)</f>
        <v>#N/A</v>
      </c>
      <c r="M65" t="e">
        <f>IF(OR(Sorting!Y66=0,Sorting!Y66="Grand Total"),"",Sorting!Y66)</f>
        <v>#N/A</v>
      </c>
      <c r="N65" t="e">
        <f>MIN(B65,C65,D65,E65,F65,G65,H65,I65,J65,K65,L65,M65)</f>
        <v>#N/A</v>
      </c>
      <c r="O65">
        <v>63</v>
      </c>
      <c r="P65" t="e">
        <f>IF(OR(LOG10(SUM(B$3:B65))=P64,P64=""),"",LOG10(SUM(B$3:B65)))</f>
        <v>#N/A</v>
      </c>
      <c r="Q65" t="e">
        <f>IF(OR(LOG10(SUM(C$3:C65))=Q64,Q64=""),"",LOG10(SUM(C$3:C65)))</f>
        <v>#N/A</v>
      </c>
      <c r="R65" t="e">
        <f>IF(OR(LOG10(SUM(D$3:D65))=R64,R64=""),"",LOG10(SUM(D$3:D65)))</f>
        <v>#N/A</v>
      </c>
      <c r="S65" t="e">
        <f>IF(OR(LOG10(SUM(E$3:E65))=S64,S64=""),"",LOG10(SUM(E$3:E65)))</f>
        <v>#N/A</v>
      </c>
      <c r="T65" t="e">
        <f>IF(OR(LOG10(SUM(F$3:F65))=T64,T64=""),"",LOG10(SUM(F$3:F65)))</f>
        <v>#N/A</v>
      </c>
      <c r="U65" t="e">
        <f>IF(OR(LOG10(SUM(G$3:G65))=U64,U64=""),"",LOG10(SUM(G$3:G65)))</f>
        <v>#N/A</v>
      </c>
      <c r="V65" t="e">
        <f>IF(OR(LOG10(SUM(H$3:H65))=V64,V64=""),"",LOG10(SUM(H$3:H65)))</f>
        <v>#N/A</v>
      </c>
      <c r="W65" t="e">
        <f>IF(OR(LOG10(SUM(I$3:I65))=W64,W64=""),"",LOG10(SUM(I$3:I65)))</f>
        <v>#N/A</v>
      </c>
      <c r="X65" t="e">
        <f>IF(OR(LOG10(SUM(J$3:J65))=X64,X64=""),"",LOG10(SUM(J$3:J65)))</f>
        <v>#N/A</v>
      </c>
      <c r="Y65" t="e">
        <f>IF(OR(LOG10(SUM(K$3:K65))=Y64,Y64=""),"",LOG10(SUM(K$3:K65)))</f>
        <v>#N/A</v>
      </c>
      <c r="Z65" t="e">
        <f>IF(OR(LOG10(SUM(L$3:L65))=Z64,Z64=""),"",LOG10(SUM(L$3:L65)))</f>
        <v>#N/A</v>
      </c>
      <c r="AA65" t="e">
        <f>IF(OR(LOG10(SUM(M$3:M65))=AA64,AA64=""),"",LOG10(SUM(M$3:M65)))</f>
        <v>#N/A</v>
      </c>
      <c r="AB65" t="e">
        <f>IF(OR(LOG10(SUM(N$3:N65))=AB64,AB64=""),"",LOG10(SUM(N$3:N65)))</f>
        <v>#N/A</v>
      </c>
    </row>
    <row r="66" spans="1:28" x14ac:dyDescent="0.25">
      <c r="A66">
        <v>64</v>
      </c>
      <c r="B66" t="e">
        <f>IF(OR(Sorting!B67=0,Sorting!B67="Grand Total"),"",Sorting!B67)</f>
        <v>#N/A</v>
      </c>
      <c r="C66" t="e">
        <f>IF(OR(Sorting!D67=0,Sorting!D67="Grand Total"),"",Sorting!D67)</f>
        <v>#N/A</v>
      </c>
      <c r="D66" t="e">
        <f>IF(OR(Sorting!F67=0,Sorting!F67="Grand Total"),"",Sorting!F67)</f>
        <v>#N/A</v>
      </c>
      <c r="E66" t="e">
        <f>IF(OR(Sorting!H67=0,Sorting!H67="Grand Total"),"",Sorting!H67)</f>
        <v>#N/A</v>
      </c>
      <c r="F66" t="e">
        <f>IF(OR(Sorting!J67=0,Sorting!J67="Grand Total"),"",Sorting!J67)</f>
        <v>#N/A</v>
      </c>
      <c r="G66" t="e">
        <f>IF(OR(Sorting!L67=0,Sorting!L67="Grand Total"),"",Sorting!L67)</f>
        <v>#N/A</v>
      </c>
      <c r="H66" t="e">
        <f>IF(OR(Sorting!O67=0,Sorting!O67="Grand Total"),"",Sorting!O67)</f>
        <v>#N/A</v>
      </c>
      <c r="I66" t="e">
        <f>IF(OR(Sorting!Q67=0,Sorting!Q67="Grand Total"),"",Sorting!Q67)</f>
        <v>#N/A</v>
      </c>
      <c r="J66" t="e">
        <f>IF(OR(Sorting!S67=0,Sorting!S67="Grand Total"),"",Sorting!S67)</f>
        <v>#N/A</v>
      </c>
      <c r="K66" t="e">
        <f>IF(OR(Sorting!U67=0,Sorting!U67="Grand Total"),"",Sorting!U67)</f>
        <v>#N/A</v>
      </c>
      <c r="L66" t="e">
        <f>IF(OR(Sorting!W67=0,Sorting!W67="Grand Total"),"",Sorting!W67)</f>
        <v>#N/A</v>
      </c>
      <c r="M66" t="e">
        <f>IF(OR(Sorting!Y67=0,Sorting!Y67="Grand Total"),"",Sorting!Y67)</f>
        <v>#N/A</v>
      </c>
      <c r="N66" t="e">
        <f>MIN(B66,C66,D66,E66,F66,G66,H66,I66,J66,K66,L66,M66)</f>
        <v>#N/A</v>
      </c>
      <c r="O66">
        <v>64</v>
      </c>
      <c r="P66" t="e">
        <f>IF(OR(LOG10(SUM(B$3:B66))=P65,P65=""),"",LOG10(SUM(B$3:B66)))</f>
        <v>#N/A</v>
      </c>
      <c r="Q66" t="e">
        <f>IF(OR(LOG10(SUM(C$3:C66))=Q65,Q65=""),"",LOG10(SUM(C$3:C66)))</f>
        <v>#N/A</v>
      </c>
      <c r="R66" t="e">
        <f>IF(OR(LOG10(SUM(D$3:D66))=R65,R65=""),"",LOG10(SUM(D$3:D66)))</f>
        <v>#N/A</v>
      </c>
      <c r="S66" t="e">
        <f>IF(OR(LOG10(SUM(E$3:E66))=S65,S65=""),"",LOG10(SUM(E$3:E66)))</f>
        <v>#N/A</v>
      </c>
      <c r="T66" t="e">
        <f>IF(OR(LOG10(SUM(F$3:F66))=T65,T65=""),"",LOG10(SUM(F$3:F66)))</f>
        <v>#N/A</v>
      </c>
      <c r="U66" t="e">
        <f>IF(OR(LOG10(SUM(G$3:G66))=U65,U65=""),"",LOG10(SUM(G$3:G66)))</f>
        <v>#N/A</v>
      </c>
      <c r="V66" t="e">
        <f>IF(OR(LOG10(SUM(H$3:H66))=V65,V65=""),"",LOG10(SUM(H$3:H66)))</f>
        <v>#N/A</v>
      </c>
      <c r="W66" t="e">
        <f>IF(OR(LOG10(SUM(I$3:I66))=W65,W65=""),"",LOG10(SUM(I$3:I66)))</f>
        <v>#N/A</v>
      </c>
      <c r="X66" t="e">
        <f>IF(OR(LOG10(SUM(J$3:J66))=X65,X65=""),"",LOG10(SUM(J$3:J66)))</f>
        <v>#N/A</v>
      </c>
      <c r="Y66" t="e">
        <f>IF(OR(LOG10(SUM(K$3:K66))=Y65,Y65=""),"",LOG10(SUM(K$3:K66)))</f>
        <v>#N/A</v>
      </c>
      <c r="Z66" t="e">
        <f>IF(OR(LOG10(SUM(L$3:L66))=Z65,Z65=""),"",LOG10(SUM(L$3:L66)))</f>
        <v>#N/A</v>
      </c>
      <c r="AA66" t="e">
        <f>IF(OR(LOG10(SUM(M$3:M66))=AA65,AA65=""),"",LOG10(SUM(M$3:M66)))</f>
        <v>#N/A</v>
      </c>
      <c r="AB66" t="e">
        <f>IF(OR(LOG10(SUM(N$3:N66))=AB65,AB65=""),"",LOG10(SUM(N$3:N66)))</f>
        <v>#N/A</v>
      </c>
    </row>
    <row r="67" spans="1:28" x14ac:dyDescent="0.25">
      <c r="A67">
        <v>65</v>
      </c>
      <c r="B67" t="e">
        <f>IF(OR(Sorting!B68=0,Sorting!B68="Grand Total"),"",Sorting!B68)</f>
        <v>#N/A</v>
      </c>
      <c r="C67" t="e">
        <f>IF(OR(Sorting!D68=0,Sorting!D68="Grand Total"),"",Sorting!D68)</f>
        <v>#N/A</v>
      </c>
      <c r="D67" t="e">
        <f>IF(OR(Sorting!F68=0,Sorting!F68="Grand Total"),"",Sorting!F68)</f>
        <v>#N/A</v>
      </c>
      <c r="E67" t="e">
        <f>IF(OR(Sorting!H68=0,Sorting!H68="Grand Total"),"",Sorting!H68)</f>
        <v>#N/A</v>
      </c>
      <c r="F67" t="e">
        <f>IF(OR(Sorting!J68=0,Sorting!J68="Grand Total"),"",Sorting!J68)</f>
        <v>#N/A</v>
      </c>
      <c r="G67" t="e">
        <f>IF(OR(Sorting!L68=0,Sorting!L68="Grand Total"),"",Sorting!L68)</f>
        <v>#N/A</v>
      </c>
      <c r="H67" t="e">
        <f>IF(OR(Sorting!O68=0,Sorting!O68="Grand Total"),"",Sorting!O68)</f>
        <v>#N/A</v>
      </c>
      <c r="I67" t="e">
        <f>IF(OR(Sorting!Q68=0,Sorting!Q68="Grand Total"),"",Sorting!Q68)</f>
        <v>#N/A</v>
      </c>
      <c r="J67" t="e">
        <f>IF(OR(Sorting!S68=0,Sorting!S68="Grand Total"),"",Sorting!S68)</f>
        <v>#N/A</v>
      </c>
      <c r="K67" t="e">
        <f>IF(OR(Sorting!U68=0,Sorting!U68="Grand Total"),"",Sorting!U68)</f>
        <v>#N/A</v>
      </c>
      <c r="L67" t="e">
        <f>IF(OR(Sorting!W68=0,Sorting!W68="Grand Total"),"",Sorting!W68)</f>
        <v>#N/A</v>
      </c>
      <c r="M67" t="e">
        <f>IF(OR(Sorting!Y68=0,Sorting!Y68="Grand Total"),"",Sorting!Y68)</f>
        <v>#N/A</v>
      </c>
      <c r="N67" t="e">
        <f>MIN(B67,C67,D67,E67,F67,G67,H67,I67,J67,K67,L67,M67)</f>
        <v>#N/A</v>
      </c>
      <c r="O67">
        <v>65</v>
      </c>
      <c r="P67" t="e">
        <f>IF(OR(LOG10(SUM(B$3:B67))=P66,P66=""),"",LOG10(SUM(B$3:B67)))</f>
        <v>#N/A</v>
      </c>
      <c r="Q67" t="e">
        <f>IF(OR(LOG10(SUM(C$3:C67))=Q66,Q66=""),"",LOG10(SUM(C$3:C67)))</f>
        <v>#N/A</v>
      </c>
      <c r="R67" t="e">
        <f>IF(OR(LOG10(SUM(D$3:D67))=R66,R66=""),"",LOG10(SUM(D$3:D67)))</f>
        <v>#N/A</v>
      </c>
      <c r="S67" t="e">
        <f>IF(OR(LOG10(SUM(E$3:E67))=S66,S66=""),"",LOG10(SUM(E$3:E67)))</f>
        <v>#N/A</v>
      </c>
      <c r="T67" t="e">
        <f>IF(OR(LOG10(SUM(F$3:F67))=T66,T66=""),"",LOG10(SUM(F$3:F67)))</f>
        <v>#N/A</v>
      </c>
      <c r="U67" t="e">
        <f>IF(OR(LOG10(SUM(G$3:G67))=U66,U66=""),"",LOG10(SUM(G$3:G67)))</f>
        <v>#N/A</v>
      </c>
      <c r="V67" t="e">
        <f>IF(OR(LOG10(SUM(H$3:H67))=V66,V66=""),"",LOG10(SUM(H$3:H67)))</f>
        <v>#N/A</v>
      </c>
      <c r="W67" t="e">
        <f>IF(OR(LOG10(SUM(I$3:I67))=W66,W66=""),"",LOG10(SUM(I$3:I67)))</f>
        <v>#N/A</v>
      </c>
      <c r="X67" t="e">
        <f>IF(OR(LOG10(SUM(J$3:J67))=X66,X66=""),"",LOG10(SUM(J$3:J67)))</f>
        <v>#N/A</v>
      </c>
      <c r="Y67" t="e">
        <f>IF(OR(LOG10(SUM(K$3:K67))=Y66,Y66=""),"",LOG10(SUM(K$3:K67)))</f>
        <v>#N/A</v>
      </c>
      <c r="Z67" t="e">
        <f>IF(OR(LOG10(SUM(L$3:L67))=Z66,Z66=""),"",LOG10(SUM(L$3:L67)))</f>
        <v>#N/A</v>
      </c>
      <c r="AA67" t="e">
        <f>IF(OR(LOG10(SUM(M$3:M67))=AA66,AA66=""),"",LOG10(SUM(M$3:M67)))</f>
        <v>#N/A</v>
      </c>
      <c r="AB67" t="e">
        <f>IF(OR(LOG10(SUM(N$3:N67))=AB66,AB66=""),"",LOG10(SUM(N$3:N67)))</f>
        <v>#N/A</v>
      </c>
    </row>
    <row r="68" spans="1:28" x14ac:dyDescent="0.25">
      <c r="A68">
        <v>66</v>
      </c>
      <c r="B68" t="e">
        <f>IF(OR(Sorting!B69=0,Sorting!B69="Grand Total"),"",Sorting!B69)</f>
        <v>#N/A</v>
      </c>
      <c r="C68" t="e">
        <f>IF(OR(Sorting!D69=0,Sorting!D69="Grand Total"),"",Sorting!D69)</f>
        <v>#N/A</v>
      </c>
      <c r="D68" t="e">
        <f>IF(OR(Sorting!F69=0,Sorting!F69="Grand Total"),"",Sorting!F69)</f>
        <v>#N/A</v>
      </c>
      <c r="E68" t="e">
        <f>IF(OR(Sorting!H69=0,Sorting!H69="Grand Total"),"",Sorting!H69)</f>
        <v>#N/A</v>
      </c>
      <c r="F68" t="e">
        <f>IF(OR(Sorting!J69=0,Sorting!J69="Grand Total"),"",Sorting!J69)</f>
        <v>#N/A</v>
      </c>
      <c r="G68" t="e">
        <f>IF(OR(Sorting!L69=0,Sorting!L69="Grand Total"),"",Sorting!L69)</f>
        <v>#N/A</v>
      </c>
      <c r="H68" t="e">
        <f>IF(OR(Sorting!O69=0,Sorting!O69="Grand Total"),"",Sorting!O69)</f>
        <v>#N/A</v>
      </c>
      <c r="I68" t="e">
        <f>IF(OR(Sorting!Q69=0,Sorting!Q69="Grand Total"),"",Sorting!Q69)</f>
        <v>#N/A</v>
      </c>
      <c r="J68" t="e">
        <f>IF(OR(Sorting!S69=0,Sorting!S69="Grand Total"),"",Sorting!S69)</f>
        <v>#N/A</v>
      </c>
      <c r="K68" t="e">
        <f>IF(OR(Sorting!U69=0,Sorting!U69="Grand Total"),"",Sorting!U69)</f>
        <v>#N/A</v>
      </c>
      <c r="L68" t="e">
        <f>IF(OR(Sorting!W69=0,Sorting!W69="Grand Total"),"",Sorting!W69)</f>
        <v>#N/A</v>
      </c>
      <c r="M68" t="e">
        <f>IF(OR(Sorting!Y69=0,Sorting!Y69="Grand Total"),"",Sorting!Y69)</f>
        <v>#N/A</v>
      </c>
      <c r="N68" t="e">
        <f>MIN(B68,C68,D68,E68,F68,G68,H68,I68,J68,K68,L68,M68)</f>
        <v>#N/A</v>
      </c>
      <c r="O68">
        <v>66</v>
      </c>
      <c r="P68" t="e">
        <f>IF(OR(LOG10(SUM(B$3:B68))=P67,P67=""),"",LOG10(SUM(B$3:B68)))</f>
        <v>#N/A</v>
      </c>
      <c r="Q68" t="e">
        <f>IF(OR(LOG10(SUM(C$3:C68))=Q67,Q67=""),"",LOG10(SUM(C$3:C68)))</f>
        <v>#N/A</v>
      </c>
      <c r="R68" t="e">
        <f>IF(OR(LOG10(SUM(D$3:D68))=R67,R67=""),"",LOG10(SUM(D$3:D68)))</f>
        <v>#N/A</v>
      </c>
      <c r="S68" t="e">
        <f>IF(OR(LOG10(SUM(E$3:E68))=S67,S67=""),"",LOG10(SUM(E$3:E68)))</f>
        <v>#N/A</v>
      </c>
      <c r="T68" t="e">
        <f>IF(OR(LOG10(SUM(F$3:F68))=T67,T67=""),"",LOG10(SUM(F$3:F68)))</f>
        <v>#N/A</v>
      </c>
      <c r="U68" t="e">
        <f>IF(OR(LOG10(SUM(G$3:G68))=U67,U67=""),"",LOG10(SUM(G$3:G68)))</f>
        <v>#N/A</v>
      </c>
      <c r="V68" t="e">
        <f>IF(OR(LOG10(SUM(H$3:H68))=V67,V67=""),"",LOG10(SUM(H$3:H68)))</f>
        <v>#N/A</v>
      </c>
      <c r="W68" t="e">
        <f>IF(OR(LOG10(SUM(I$3:I68))=W67,W67=""),"",LOG10(SUM(I$3:I68)))</f>
        <v>#N/A</v>
      </c>
      <c r="X68" t="e">
        <f>IF(OR(LOG10(SUM(J$3:J68))=X67,X67=""),"",LOG10(SUM(J$3:J68)))</f>
        <v>#N/A</v>
      </c>
      <c r="Y68" t="e">
        <f>IF(OR(LOG10(SUM(K$3:K68))=Y67,Y67=""),"",LOG10(SUM(K$3:K68)))</f>
        <v>#N/A</v>
      </c>
      <c r="Z68" t="e">
        <f>IF(OR(LOG10(SUM(L$3:L68))=Z67,Z67=""),"",LOG10(SUM(L$3:L68)))</f>
        <v>#N/A</v>
      </c>
      <c r="AA68" t="e">
        <f>IF(OR(LOG10(SUM(M$3:M68))=AA67,AA67=""),"",LOG10(SUM(M$3:M68)))</f>
        <v>#N/A</v>
      </c>
      <c r="AB68" t="e">
        <f>IF(OR(LOG10(SUM(N$3:N68))=AB67,AB67=""),"",LOG10(SUM(N$3:N68)))</f>
        <v>#N/A</v>
      </c>
    </row>
    <row r="69" spans="1:28" x14ac:dyDescent="0.25">
      <c r="A69">
        <v>67</v>
      </c>
      <c r="B69" t="e">
        <f>IF(OR(Sorting!B70=0,Sorting!B70="Grand Total"),"",Sorting!B70)</f>
        <v>#N/A</v>
      </c>
      <c r="C69" t="e">
        <f>IF(OR(Sorting!D70=0,Sorting!D70="Grand Total"),"",Sorting!D70)</f>
        <v>#N/A</v>
      </c>
      <c r="D69" t="e">
        <f>IF(OR(Sorting!F70=0,Sorting!F70="Grand Total"),"",Sorting!F70)</f>
        <v>#N/A</v>
      </c>
      <c r="E69" t="e">
        <f>IF(OR(Sorting!H70=0,Sorting!H70="Grand Total"),"",Sorting!H70)</f>
        <v>#N/A</v>
      </c>
      <c r="F69" t="e">
        <f>IF(OR(Sorting!J70=0,Sorting!J70="Grand Total"),"",Sorting!J70)</f>
        <v>#N/A</v>
      </c>
      <c r="G69" t="e">
        <f>IF(OR(Sorting!L70=0,Sorting!L70="Grand Total"),"",Sorting!L70)</f>
        <v>#N/A</v>
      </c>
      <c r="H69" t="e">
        <f>IF(OR(Sorting!O70=0,Sorting!O70="Grand Total"),"",Sorting!O70)</f>
        <v>#N/A</v>
      </c>
      <c r="I69" t="e">
        <f>IF(OR(Sorting!Q70=0,Sorting!Q70="Grand Total"),"",Sorting!Q70)</f>
        <v>#N/A</v>
      </c>
      <c r="J69" t="e">
        <f>IF(OR(Sorting!S70=0,Sorting!S70="Grand Total"),"",Sorting!S70)</f>
        <v>#N/A</v>
      </c>
      <c r="K69" t="e">
        <f>IF(OR(Sorting!U70=0,Sorting!U70="Grand Total"),"",Sorting!U70)</f>
        <v>#N/A</v>
      </c>
      <c r="L69" t="e">
        <f>IF(OR(Sorting!W70=0,Sorting!W70="Grand Total"),"",Sorting!W70)</f>
        <v>#N/A</v>
      </c>
      <c r="M69" t="e">
        <f>IF(OR(Sorting!Y70=0,Sorting!Y70="Grand Total"),"",Sorting!Y70)</f>
        <v>#N/A</v>
      </c>
      <c r="N69" t="e">
        <f>MIN(B69,C69,D69,E69,F69,G69,H69,I69,J69,K69,L69,M69)</f>
        <v>#N/A</v>
      </c>
      <c r="O69">
        <v>67</v>
      </c>
      <c r="P69" t="e">
        <f>IF(OR(LOG10(SUM(B$3:B69))=P68,P68=""),"",LOG10(SUM(B$3:B69)))</f>
        <v>#N/A</v>
      </c>
      <c r="Q69" t="e">
        <f>IF(OR(LOG10(SUM(C$3:C69))=Q68,Q68=""),"",LOG10(SUM(C$3:C69)))</f>
        <v>#N/A</v>
      </c>
      <c r="R69" t="e">
        <f>IF(OR(LOG10(SUM(D$3:D69))=R68,R68=""),"",LOG10(SUM(D$3:D69)))</f>
        <v>#N/A</v>
      </c>
      <c r="S69" t="e">
        <f>IF(OR(LOG10(SUM(E$3:E69))=S68,S68=""),"",LOG10(SUM(E$3:E69)))</f>
        <v>#N/A</v>
      </c>
      <c r="T69" t="e">
        <f>IF(OR(LOG10(SUM(F$3:F69))=T68,T68=""),"",LOG10(SUM(F$3:F69)))</f>
        <v>#N/A</v>
      </c>
      <c r="U69" t="e">
        <f>IF(OR(LOG10(SUM(G$3:G69))=U68,U68=""),"",LOG10(SUM(G$3:G69)))</f>
        <v>#N/A</v>
      </c>
      <c r="V69" t="e">
        <f>IF(OR(LOG10(SUM(H$3:H69))=V68,V68=""),"",LOG10(SUM(H$3:H69)))</f>
        <v>#N/A</v>
      </c>
      <c r="W69" t="e">
        <f>IF(OR(LOG10(SUM(I$3:I69))=W68,W68=""),"",LOG10(SUM(I$3:I69)))</f>
        <v>#N/A</v>
      </c>
      <c r="X69" t="e">
        <f>IF(OR(LOG10(SUM(J$3:J69))=X68,X68=""),"",LOG10(SUM(J$3:J69)))</f>
        <v>#N/A</v>
      </c>
      <c r="Y69" t="e">
        <f>IF(OR(LOG10(SUM(K$3:K69))=Y68,Y68=""),"",LOG10(SUM(K$3:K69)))</f>
        <v>#N/A</v>
      </c>
      <c r="Z69" t="e">
        <f>IF(OR(LOG10(SUM(L$3:L69))=Z68,Z68=""),"",LOG10(SUM(L$3:L69)))</f>
        <v>#N/A</v>
      </c>
      <c r="AA69" t="e">
        <f>IF(OR(LOG10(SUM(M$3:M69))=AA68,AA68=""),"",LOG10(SUM(M$3:M69)))</f>
        <v>#N/A</v>
      </c>
      <c r="AB69" t="e">
        <f>IF(OR(LOG10(SUM(N$3:N69))=AB68,AB68=""),"",LOG10(SUM(N$3:N69)))</f>
        <v>#N/A</v>
      </c>
    </row>
  </sheetData>
  <mergeCells count="2">
    <mergeCell ref="B1:M1"/>
    <mergeCell ref="P1:AA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BDE2-B8B3-41CC-A12A-F155C929C720}">
  <dimension ref="A1"/>
  <sheetViews>
    <sheetView zoomScale="85" zoomScaleNormal="85" workbookViewId="0">
      <selection activeCell="O58" sqref="O5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2103-E1F6-4081-B719-887C93A2FB89}">
  <dimension ref="A1"/>
  <sheetViews>
    <sheetView zoomScale="85" zoomScaleNormal="85" workbookViewId="0">
      <selection activeCell="AA2" sqref="AA2"/>
    </sheetView>
  </sheetViews>
  <sheetFormatPr defaultRowHeight="15" x14ac:dyDescent="0.25"/>
  <cols>
    <col min="13" max="13" width="3.140625" customWidth="1"/>
    <col min="26" max="26" width="3.42578125" customWidth="1"/>
  </cols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4777-7769-4CEE-B266-8191D5D66031}">
  <dimension ref="A1"/>
  <sheetViews>
    <sheetView zoomScale="85" zoomScaleNormal="85" workbookViewId="0">
      <selection activeCell="AA14" sqref="AA14"/>
    </sheetView>
  </sheetViews>
  <sheetFormatPr defaultRowHeight="15" x14ac:dyDescent="0.25"/>
  <cols>
    <col min="13" max="13" width="3.140625" customWidth="1"/>
    <col min="26" max="26" width="3.425781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Stats</vt:lpstr>
      <vt:lpstr>Template</vt:lpstr>
      <vt:lpstr>1</vt:lpstr>
      <vt:lpstr>2</vt:lpstr>
      <vt:lpstr>3</vt:lpstr>
      <vt:lpstr>4</vt:lpstr>
      <vt:lpstr>5</vt:lpstr>
      <vt:lpstr>6</vt:lpstr>
      <vt:lpstr>Meta</vt:lpstr>
      <vt:lpstr>Sorting</vt:lpstr>
      <vt:lpstr>Sorting 2</vt:lpstr>
      <vt:lpstr>SurvPlot1</vt:lpstr>
      <vt:lpstr>SurvPlot2</vt:lpstr>
      <vt:lpstr>SurvPlot3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 Lee</dc:creator>
  <cp:lastModifiedBy>Corin Lee</cp:lastModifiedBy>
  <dcterms:created xsi:type="dcterms:W3CDTF">2025-05-13T18:06:08Z</dcterms:created>
  <dcterms:modified xsi:type="dcterms:W3CDTF">2025-10-21T17:36:38Z</dcterms:modified>
</cp:coreProperties>
</file>
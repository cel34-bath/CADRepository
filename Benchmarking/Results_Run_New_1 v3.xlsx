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in\Documents\GitHub\CADRepository\Benchmarking\"/>
    </mc:Choice>
  </mc:AlternateContent>
  <xr:revisionPtr revIDLastSave="0" documentId="13_ncr:1_{C2E38E2F-C915-494D-85DC-3492B49491F5}" xr6:coauthVersionLast="47" xr6:coauthVersionMax="47" xr10:uidLastSave="{00000000-0000-0000-0000-000000000000}"/>
  <bookViews>
    <workbookView xWindow="28680" yWindow="-120" windowWidth="29040" windowHeight="15840" xr2:uid="{BFFDA01C-38C2-46E9-B4EA-CD86F89D2D30}"/>
  </bookViews>
  <sheets>
    <sheet name="1" sheetId="4" r:id="rId1"/>
    <sheet name="2" sheetId="5" r:id="rId2"/>
    <sheet name="3" sheetId="6" r:id="rId3"/>
    <sheet name="4" sheetId="7" r:id="rId4"/>
    <sheet name="5" sheetId="8" r:id="rId5"/>
    <sheet name="6" sheetId="9" r:id="rId6"/>
    <sheet name="Meta" sheetId="3" r:id="rId7"/>
    <sheet name="Meta_cells" sheetId="23" r:id="rId8"/>
    <sheet name="Meta_memory" sheetId="24" r:id="rId9"/>
    <sheet name="Sorting" sheetId="10" r:id="rId10"/>
    <sheet name="Sorting 2" sheetId="11" r:id="rId11"/>
    <sheet name="SurvPlot1" sheetId="13" r:id="rId12"/>
    <sheet name="SurvPlot2" sheetId="14" r:id="rId13"/>
    <sheet name="SurvPlot3" sheetId="15" r:id="rId14"/>
    <sheet name="SurvPlot3 (2)" sheetId="16" r:id="rId15"/>
  </sheets>
  <definedNames>
    <definedName name="_xlnm._FilterDatabase" localSheetId="0" hidden="1">'1'!$A$1:$X$68</definedName>
    <definedName name="_xlnm._FilterDatabase" localSheetId="1" hidden="1">'2'!$A$1:$K$68</definedName>
    <definedName name="_xlnm._FilterDatabase" localSheetId="2" hidden="1">'3'!$A$1:$X$68</definedName>
    <definedName name="_xlnm._FilterDatabase" localSheetId="3" hidden="1">'4'!$A$1:$X$68</definedName>
    <definedName name="_xlnm._FilterDatabase" localSheetId="4" hidden="1">'5'!$A$1:$X$68</definedName>
    <definedName name="_xlnm._FilterDatabase" localSheetId="5" hidden="1">'6'!$A$1:$AQ$68</definedName>
    <definedName name="_xlnm._FilterDatabase" localSheetId="6" hidden="1">Meta!$A$1:$AE$69</definedName>
    <definedName name="_xlnm._FilterDatabase" localSheetId="7" hidden="1">Meta_cells!$A$1:$AF$69</definedName>
    <definedName name="_xlnm._FilterDatabase" localSheetId="8" hidden="1">Meta_memory!$A$1:$AF$69</definedName>
  </definedNames>
  <calcPr calcId="18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70" i="11" l="1"/>
  <c r="BE70" i="11"/>
  <c r="BF70" i="11"/>
  <c r="BC70" i="11"/>
  <c r="BC4" i="11"/>
  <c r="BD4" i="11"/>
  <c r="BE4" i="11"/>
  <c r="BF4" i="11"/>
  <c r="BC5" i="11"/>
  <c r="BD5" i="11"/>
  <c r="BE5" i="11"/>
  <c r="BF5" i="11"/>
  <c r="BC6" i="11"/>
  <c r="BD6" i="11"/>
  <c r="BE6" i="11"/>
  <c r="BF6" i="11"/>
  <c r="BC7" i="11"/>
  <c r="BD7" i="11"/>
  <c r="BE7" i="11"/>
  <c r="BF7" i="11"/>
  <c r="BC8" i="11"/>
  <c r="BD8" i="11"/>
  <c r="BE8" i="11"/>
  <c r="BF8" i="11"/>
  <c r="BC9" i="11"/>
  <c r="BD9" i="11"/>
  <c r="BE9" i="11"/>
  <c r="BF9" i="11"/>
  <c r="BC10" i="11"/>
  <c r="BD10" i="11"/>
  <c r="BE10" i="11"/>
  <c r="BF10" i="11"/>
  <c r="BC11" i="11"/>
  <c r="BD11" i="11"/>
  <c r="BE11" i="11"/>
  <c r="BF11" i="11"/>
  <c r="BC12" i="11"/>
  <c r="BD12" i="11"/>
  <c r="BE12" i="11"/>
  <c r="BF12" i="11"/>
  <c r="BC13" i="11"/>
  <c r="BD13" i="11"/>
  <c r="BE13" i="11"/>
  <c r="BF13" i="11"/>
  <c r="BC14" i="11"/>
  <c r="BD14" i="11"/>
  <c r="BE14" i="11"/>
  <c r="BF14" i="11"/>
  <c r="BC15" i="11"/>
  <c r="BD15" i="11"/>
  <c r="BE15" i="11"/>
  <c r="BF15" i="11"/>
  <c r="BC16" i="11"/>
  <c r="BD16" i="11"/>
  <c r="BE16" i="11"/>
  <c r="BF16" i="11"/>
  <c r="BC17" i="11"/>
  <c r="BD17" i="11"/>
  <c r="BE17" i="11"/>
  <c r="BF17" i="11"/>
  <c r="BC18" i="11"/>
  <c r="BD18" i="11"/>
  <c r="BE18" i="11"/>
  <c r="BF18" i="11"/>
  <c r="BC19" i="11"/>
  <c r="BD19" i="11"/>
  <c r="BE19" i="11"/>
  <c r="BF19" i="11"/>
  <c r="BC20" i="11"/>
  <c r="BD20" i="11"/>
  <c r="BE20" i="11"/>
  <c r="BF20" i="11"/>
  <c r="BC21" i="11"/>
  <c r="BD21" i="11"/>
  <c r="BE21" i="11"/>
  <c r="BF21" i="11"/>
  <c r="BC22" i="11"/>
  <c r="BD22" i="11"/>
  <c r="BE22" i="11"/>
  <c r="BF22" i="11"/>
  <c r="BC23" i="11"/>
  <c r="BD23" i="11"/>
  <c r="BE23" i="11"/>
  <c r="BF23" i="11"/>
  <c r="BC24" i="11"/>
  <c r="BD24" i="11"/>
  <c r="BE24" i="11"/>
  <c r="BF24" i="11"/>
  <c r="BC25" i="11"/>
  <c r="BD25" i="11"/>
  <c r="BE25" i="11"/>
  <c r="BF25" i="11"/>
  <c r="BC26" i="11"/>
  <c r="BD26" i="11"/>
  <c r="BE26" i="11"/>
  <c r="BF26" i="11"/>
  <c r="BC27" i="11"/>
  <c r="BD27" i="11"/>
  <c r="BE27" i="11"/>
  <c r="BF27" i="11"/>
  <c r="BC28" i="11"/>
  <c r="BD28" i="11"/>
  <c r="BE28" i="11"/>
  <c r="BF28" i="11"/>
  <c r="BC29" i="11"/>
  <c r="BD29" i="11"/>
  <c r="BE29" i="11"/>
  <c r="BF29" i="11"/>
  <c r="BC30" i="11"/>
  <c r="BD30" i="11"/>
  <c r="BE30" i="11"/>
  <c r="BF30" i="11"/>
  <c r="BC31" i="11"/>
  <c r="BD31" i="11"/>
  <c r="BE31" i="11"/>
  <c r="BF31" i="11"/>
  <c r="BC32" i="11"/>
  <c r="BD32" i="11"/>
  <c r="BE32" i="11"/>
  <c r="BF32" i="11"/>
  <c r="BC33" i="11"/>
  <c r="BD33" i="11"/>
  <c r="BE33" i="11"/>
  <c r="BF33" i="11"/>
  <c r="BC34" i="11"/>
  <c r="BD34" i="11"/>
  <c r="BE34" i="11"/>
  <c r="BF34" i="11"/>
  <c r="BC35" i="11"/>
  <c r="BD35" i="11"/>
  <c r="BE35" i="11"/>
  <c r="BF35" i="11"/>
  <c r="BC36" i="11"/>
  <c r="BD36" i="11"/>
  <c r="BE36" i="11"/>
  <c r="BF36" i="11"/>
  <c r="BC37" i="11"/>
  <c r="BD37" i="11"/>
  <c r="BE37" i="11"/>
  <c r="BF37" i="11"/>
  <c r="BC38" i="11"/>
  <c r="BD38" i="11"/>
  <c r="BE38" i="11"/>
  <c r="BF38" i="11"/>
  <c r="BC39" i="11"/>
  <c r="BD39" i="11"/>
  <c r="BE39" i="11"/>
  <c r="BF39" i="11"/>
  <c r="BC40" i="11"/>
  <c r="BD40" i="11"/>
  <c r="BE40" i="11"/>
  <c r="BF40" i="11"/>
  <c r="BC41" i="11"/>
  <c r="BD41" i="11"/>
  <c r="BE41" i="11"/>
  <c r="BF41" i="11"/>
  <c r="BC42" i="11"/>
  <c r="BD42" i="11"/>
  <c r="BE42" i="11"/>
  <c r="BF42" i="11"/>
  <c r="BC43" i="11"/>
  <c r="BD43" i="11"/>
  <c r="BE43" i="11"/>
  <c r="BF43" i="11"/>
  <c r="BC44" i="11"/>
  <c r="BD44" i="11"/>
  <c r="BE44" i="11"/>
  <c r="BF44" i="11"/>
  <c r="BC45" i="11"/>
  <c r="BD45" i="11"/>
  <c r="BE45" i="11"/>
  <c r="BF45" i="11"/>
  <c r="BC46" i="11"/>
  <c r="BD46" i="11"/>
  <c r="BE46" i="11"/>
  <c r="BF46" i="11"/>
  <c r="BC47" i="11"/>
  <c r="BD47" i="11"/>
  <c r="BE47" i="11"/>
  <c r="BF47" i="11"/>
  <c r="BC48" i="11"/>
  <c r="BD48" i="11"/>
  <c r="BE48" i="11"/>
  <c r="BF48" i="11"/>
  <c r="BC49" i="11"/>
  <c r="BD49" i="11"/>
  <c r="BE49" i="11"/>
  <c r="BF49" i="11"/>
  <c r="BC50" i="11"/>
  <c r="BD50" i="11"/>
  <c r="BE50" i="11"/>
  <c r="BF50" i="11"/>
  <c r="BC51" i="11"/>
  <c r="BD51" i="11"/>
  <c r="BE51" i="11"/>
  <c r="BF51" i="11"/>
  <c r="BC52" i="11"/>
  <c r="BD52" i="11"/>
  <c r="BE52" i="11"/>
  <c r="BF52" i="11"/>
  <c r="BC53" i="11"/>
  <c r="BD53" i="11"/>
  <c r="BE53" i="11"/>
  <c r="BF53" i="11"/>
  <c r="BC54" i="11"/>
  <c r="BD54" i="11"/>
  <c r="BE54" i="11"/>
  <c r="BF54" i="11"/>
  <c r="BC55" i="11"/>
  <c r="BD55" i="11"/>
  <c r="BE55" i="11"/>
  <c r="BF55" i="11"/>
  <c r="BC56" i="11"/>
  <c r="BD56" i="11"/>
  <c r="BE56" i="11"/>
  <c r="BF56" i="11"/>
  <c r="BC57" i="11"/>
  <c r="BD57" i="11"/>
  <c r="BE57" i="11"/>
  <c r="BF57" i="11"/>
  <c r="BC58" i="11"/>
  <c r="BD58" i="11"/>
  <c r="BE58" i="11"/>
  <c r="BF58" i="11"/>
  <c r="BC59" i="11"/>
  <c r="BD59" i="11"/>
  <c r="BE59" i="11"/>
  <c r="BF59" i="11"/>
  <c r="BC60" i="11"/>
  <c r="BD60" i="11"/>
  <c r="BE60" i="11"/>
  <c r="BF60" i="11"/>
  <c r="BC61" i="11"/>
  <c r="BD61" i="11"/>
  <c r="BE61" i="11"/>
  <c r="BF61" i="11"/>
  <c r="BC62" i="11"/>
  <c r="BD62" i="11"/>
  <c r="BE62" i="11"/>
  <c r="BF62" i="11"/>
  <c r="BC63" i="11"/>
  <c r="BD63" i="11"/>
  <c r="BE63" i="11"/>
  <c r="BF63" i="11"/>
  <c r="BC64" i="11"/>
  <c r="BD64" i="11"/>
  <c r="BE64" i="11"/>
  <c r="BF64" i="11"/>
  <c r="BC65" i="11"/>
  <c r="BD65" i="11"/>
  <c r="BE65" i="11"/>
  <c r="BF65" i="11"/>
  <c r="BC66" i="11"/>
  <c r="BD66" i="11"/>
  <c r="BE66" i="11"/>
  <c r="BF66" i="11"/>
  <c r="BC67" i="11"/>
  <c r="BD67" i="11"/>
  <c r="BE67" i="11"/>
  <c r="BF67" i="11"/>
  <c r="BC68" i="11"/>
  <c r="BD68" i="11"/>
  <c r="BE68" i="11"/>
  <c r="BF68" i="11"/>
  <c r="BC69" i="11"/>
  <c r="BD69" i="11"/>
  <c r="BE69" i="11"/>
  <c r="BF69" i="11"/>
  <c r="BD3" i="11"/>
  <c r="BE3" i="11"/>
  <c r="BF3" i="11"/>
  <c r="M4" i="11"/>
  <c r="M5" i="11"/>
  <c r="M6" i="11"/>
  <c r="M7" i="11"/>
  <c r="AV7" i="11" s="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AV39" i="11" s="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3" i="11"/>
  <c r="J4" i="11"/>
  <c r="J5" i="11"/>
  <c r="J6" i="11"/>
  <c r="J7" i="11"/>
  <c r="J8" i="11"/>
  <c r="J9" i="11"/>
  <c r="J10" i="11"/>
  <c r="J11" i="11"/>
  <c r="J12" i="11"/>
  <c r="J13" i="11"/>
  <c r="J14" i="11"/>
  <c r="AV14" i="11" s="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AV31" i="11" s="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AV46" i="11" s="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AV63" i="11" s="1"/>
  <c r="J64" i="11"/>
  <c r="J65" i="11"/>
  <c r="J66" i="11"/>
  <c r="J67" i="11"/>
  <c r="J68" i="11"/>
  <c r="J69" i="11"/>
  <c r="J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3" i="11"/>
  <c r="H4" i="11"/>
  <c r="H5" i="11"/>
  <c r="H6" i="11"/>
  <c r="H7" i="11"/>
  <c r="H8" i="11"/>
  <c r="H9" i="11"/>
  <c r="H10" i="11"/>
  <c r="AV10" i="11" s="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AV26" i="11" s="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AV42" i="11" s="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AV58" i="11" s="1"/>
  <c r="H59" i="11"/>
  <c r="H60" i="11"/>
  <c r="H61" i="11"/>
  <c r="H62" i="11"/>
  <c r="H63" i="11"/>
  <c r="H64" i="11"/>
  <c r="H65" i="11"/>
  <c r="H66" i="11"/>
  <c r="H67" i="11"/>
  <c r="H68" i="11"/>
  <c r="H69" i="11"/>
  <c r="H3" i="11"/>
  <c r="G4" i="11"/>
  <c r="G5" i="11"/>
  <c r="G6" i="11"/>
  <c r="G7" i="11"/>
  <c r="AT7" i="11" s="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AT23" i="11" s="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AT39" i="11" s="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AT55" i="11" s="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3" i="11"/>
  <c r="F4" i="11"/>
  <c r="AT4" i="11" s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AT36" i="11" s="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AT68" i="11" s="1"/>
  <c r="F69" i="11"/>
  <c r="F3" i="11"/>
  <c r="E4" i="11"/>
  <c r="E5" i="11"/>
  <c r="E6" i="11"/>
  <c r="E7" i="11"/>
  <c r="E8" i="11"/>
  <c r="E9" i="11"/>
  <c r="E10" i="11"/>
  <c r="AT10" i="11" s="1"/>
  <c r="E11" i="11"/>
  <c r="AT11" i="11" s="1"/>
  <c r="E12" i="11"/>
  <c r="AT12" i="11" s="1"/>
  <c r="E13" i="11"/>
  <c r="AT13" i="11" s="1"/>
  <c r="E14" i="11"/>
  <c r="E15" i="11"/>
  <c r="AT15" i="11" s="1"/>
  <c r="E16" i="11"/>
  <c r="AT16" i="11" s="1"/>
  <c r="E17" i="11"/>
  <c r="E18" i="11"/>
  <c r="E19" i="11"/>
  <c r="E20" i="11"/>
  <c r="E21" i="11"/>
  <c r="E22" i="11"/>
  <c r="E23" i="11"/>
  <c r="E24" i="11"/>
  <c r="E25" i="11"/>
  <c r="E26" i="11"/>
  <c r="AT26" i="11" s="1"/>
  <c r="E27" i="11"/>
  <c r="AT27" i="11" s="1"/>
  <c r="E28" i="11"/>
  <c r="AT28" i="11" s="1"/>
  <c r="E29" i="11"/>
  <c r="AT29" i="11" s="1"/>
  <c r="E30" i="11"/>
  <c r="AT30" i="11" s="1"/>
  <c r="E31" i="11"/>
  <c r="AT31" i="11" s="1"/>
  <c r="E32" i="11"/>
  <c r="AT32" i="11" s="1"/>
  <c r="E33" i="11"/>
  <c r="E34" i="11"/>
  <c r="E35" i="11"/>
  <c r="E36" i="11"/>
  <c r="E37" i="11"/>
  <c r="E38" i="11"/>
  <c r="E39" i="11"/>
  <c r="E40" i="11"/>
  <c r="E41" i="11"/>
  <c r="E42" i="11"/>
  <c r="AT42" i="11" s="1"/>
  <c r="E43" i="11"/>
  <c r="AT43" i="11" s="1"/>
  <c r="E44" i="11"/>
  <c r="AT44" i="11" s="1"/>
  <c r="E45" i="11"/>
  <c r="AT45" i="11" s="1"/>
  <c r="E46" i="11"/>
  <c r="E47" i="11"/>
  <c r="AT47" i="11" s="1"/>
  <c r="E48" i="11"/>
  <c r="AT48" i="11" s="1"/>
  <c r="E49" i="11"/>
  <c r="E50" i="11"/>
  <c r="E51" i="11"/>
  <c r="E52" i="11"/>
  <c r="E53" i="11"/>
  <c r="E54" i="11"/>
  <c r="E55" i="11"/>
  <c r="E56" i="11"/>
  <c r="E57" i="11"/>
  <c r="E58" i="11"/>
  <c r="AT58" i="11" s="1"/>
  <c r="E59" i="11"/>
  <c r="AT59" i="11" s="1"/>
  <c r="E60" i="11"/>
  <c r="AT60" i="11" s="1"/>
  <c r="E61" i="11"/>
  <c r="AT61" i="11" s="1"/>
  <c r="E62" i="11"/>
  <c r="AT62" i="11" s="1"/>
  <c r="E63" i="11"/>
  <c r="AT63" i="11" s="1"/>
  <c r="E64" i="11"/>
  <c r="AT64" i="11" s="1"/>
  <c r="E65" i="11"/>
  <c r="E66" i="11"/>
  <c r="E67" i="11"/>
  <c r="E68" i="11"/>
  <c r="E69" i="11"/>
  <c r="E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AU30" i="11" s="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AU62" i="11" s="1"/>
  <c r="D63" i="11"/>
  <c r="D64" i="11"/>
  <c r="D65" i="11"/>
  <c r="D66" i="11"/>
  <c r="D67" i="11"/>
  <c r="D68" i="11"/>
  <c r="D69" i="11"/>
  <c r="D3" i="11"/>
  <c r="C4" i="11"/>
  <c r="C5" i="11"/>
  <c r="C6" i="11"/>
  <c r="C7" i="11"/>
  <c r="C8" i="11"/>
  <c r="C9" i="11"/>
  <c r="C10" i="11"/>
  <c r="AU10" i="11" s="1"/>
  <c r="C11" i="11"/>
  <c r="AS11" i="11" s="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AU26" i="11" s="1"/>
  <c r="C27" i="11"/>
  <c r="AU27" i="11" s="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AU42" i="11" s="1"/>
  <c r="C43" i="11"/>
  <c r="AS43" i="11" s="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AU58" i="11" s="1"/>
  <c r="C59" i="11"/>
  <c r="AU59" i="11" s="1"/>
  <c r="C60" i="11"/>
  <c r="C61" i="11"/>
  <c r="C62" i="11"/>
  <c r="C63" i="11"/>
  <c r="C64" i="11"/>
  <c r="C65" i="11"/>
  <c r="C66" i="11"/>
  <c r="C67" i="11"/>
  <c r="C68" i="11"/>
  <c r="C69" i="11"/>
  <c r="C3" i="11"/>
  <c r="B4" i="11"/>
  <c r="AS4" i="11" s="1"/>
  <c r="B5" i="11"/>
  <c r="B6" i="11"/>
  <c r="AS6" i="11" s="1"/>
  <c r="B7" i="11"/>
  <c r="AS7" i="11" s="1"/>
  <c r="B8" i="11"/>
  <c r="AS8" i="11" s="1"/>
  <c r="B9" i="11"/>
  <c r="B10" i="11"/>
  <c r="B11" i="11"/>
  <c r="B12" i="11"/>
  <c r="B13" i="11"/>
  <c r="B14" i="11"/>
  <c r="B15" i="11"/>
  <c r="B16" i="11"/>
  <c r="B17" i="11"/>
  <c r="B18" i="11"/>
  <c r="AS18" i="11" s="1"/>
  <c r="B19" i="11"/>
  <c r="AS19" i="11" s="1"/>
  <c r="B20" i="11"/>
  <c r="B21" i="11"/>
  <c r="B22" i="11"/>
  <c r="AS22" i="11" s="1"/>
  <c r="B23" i="11"/>
  <c r="AS23" i="11" s="1"/>
  <c r="B24" i="11"/>
  <c r="AS24" i="11" s="1"/>
  <c r="B25" i="11"/>
  <c r="B26" i="11"/>
  <c r="B27" i="11"/>
  <c r="B28" i="11"/>
  <c r="B29" i="11"/>
  <c r="B30" i="11"/>
  <c r="B31" i="11"/>
  <c r="B32" i="11"/>
  <c r="B33" i="11"/>
  <c r="B34" i="11"/>
  <c r="AS34" i="11" s="1"/>
  <c r="B35" i="11"/>
  <c r="AS35" i="11" s="1"/>
  <c r="B36" i="11"/>
  <c r="AS36" i="11" s="1"/>
  <c r="B37" i="11"/>
  <c r="B38" i="11"/>
  <c r="AS38" i="11" s="1"/>
  <c r="B39" i="11"/>
  <c r="AS39" i="11" s="1"/>
  <c r="B40" i="11"/>
  <c r="AS40" i="11" s="1"/>
  <c r="B41" i="11"/>
  <c r="B42" i="11"/>
  <c r="B43" i="11"/>
  <c r="B44" i="11"/>
  <c r="B45" i="11"/>
  <c r="B46" i="11"/>
  <c r="B47" i="11"/>
  <c r="B48" i="11"/>
  <c r="B49" i="11"/>
  <c r="B50" i="11"/>
  <c r="AS50" i="11" s="1"/>
  <c r="B51" i="11"/>
  <c r="AS51" i="11" s="1"/>
  <c r="B52" i="11"/>
  <c r="AS52" i="11" s="1"/>
  <c r="B53" i="11"/>
  <c r="B54" i="11"/>
  <c r="AS54" i="11" s="1"/>
  <c r="B55" i="11"/>
  <c r="AS55" i="11" s="1"/>
  <c r="B56" i="11"/>
  <c r="AS56" i="11" s="1"/>
  <c r="B57" i="11"/>
  <c r="B58" i="11"/>
  <c r="B59" i="11"/>
  <c r="B60" i="11"/>
  <c r="B61" i="11"/>
  <c r="B62" i="11"/>
  <c r="B63" i="11"/>
  <c r="B64" i="11"/>
  <c r="AU64" i="11" s="1"/>
  <c r="B65" i="11"/>
  <c r="B66" i="11"/>
  <c r="AS66" i="11" s="1"/>
  <c r="B67" i="11"/>
  <c r="AS67" i="11" s="1"/>
  <c r="B68" i="11"/>
  <c r="AS68" i="11" s="1"/>
  <c r="B69" i="11"/>
  <c r="B3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T38" i="11" l="1"/>
  <c r="AT67" i="11"/>
  <c r="AS60" i="11"/>
  <c r="AS44" i="11"/>
  <c r="AS28" i="11"/>
  <c r="AS12" i="11"/>
  <c r="AS63" i="11"/>
  <c r="AS47" i="11"/>
  <c r="AS31" i="11"/>
  <c r="AS15" i="11"/>
  <c r="AT50" i="11"/>
  <c r="AT18" i="11"/>
  <c r="AT56" i="11"/>
  <c r="AT40" i="11"/>
  <c r="AT24" i="11"/>
  <c r="AT8" i="11"/>
  <c r="AV59" i="11"/>
  <c r="AV43" i="11"/>
  <c r="AV27" i="11"/>
  <c r="AV11" i="11"/>
  <c r="AV62" i="11"/>
  <c r="AV30" i="11"/>
  <c r="AT51" i="11"/>
  <c r="AV24" i="11"/>
  <c r="AS59" i="11"/>
  <c r="AS27" i="11"/>
  <c r="AU46" i="11"/>
  <c r="AU14" i="11"/>
  <c r="AV55" i="11"/>
  <c r="AV23" i="11"/>
  <c r="AT35" i="11"/>
  <c r="AT20" i="11"/>
  <c r="AU20" i="11"/>
  <c r="AV54" i="11"/>
  <c r="AV38" i="11"/>
  <c r="AV22" i="11"/>
  <c r="AV6" i="11"/>
  <c r="AV47" i="11"/>
  <c r="AV15" i="11"/>
  <c r="AT19" i="11"/>
  <c r="AT66" i="11"/>
  <c r="AV69" i="11"/>
  <c r="AV53" i="11"/>
  <c r="AV37" i="11"/>
  <c r="AV21" i="11"/>
  <c r="AV5" i="11"/>
  <c r="AT22" i="11"/>
  <c r="AU3" i="11"/>
  <c r="AZ3" i="11" s="1"/>
  <c r="AV8" i="11"/>
  <c r="AV67" i="11"/>
  <c r="AV51" i="11"/>
  <c r="AV35" i="11"/>
  <c r="AV19" i="11"/>
  <c r="AT6" i="11"/>
  <c r="AT34" i="11"/>
  <c r="AS48" i="11"/>
  <c r="AS32" i="11"/>
  <c r="AS16" i="11"/>
  <c r="AT57" i="11"/>
  <c r="AT41" i="11"/>
  <c r="AT25" i="11"/>
  <c r="AT9" i="11"/>
  <c r="AV66" i="11"/>
  <c r="AV50" i="11"/>
  <c r="AV34" i="11"/>
  <c r="AV18" i="11"/>
  <c r="AT54" i="11"/>
  <c r="AU39" i="11"/>
  <c r="AT52" i="11"/>
  <c r="AU32" i="11"/>
  <c r="AT3" i="11"/>
  <c r="AV40" i="11"/>
  <c r="AV56" i="11"/>
  <c r="AS64" i="11"/>
  <c r="AS20" i="11"/>
  <c r="AU52" i="11"/>
  <c r="AU7" i="11"/>
  <c r="AY4" i="11"/>
  <c r="AY3" i="11"/>
  <c r="AV3" i="11"/>
  <c r="AT46" i="11"/>
  <c r="AT14" i="11"/>
  <c r="AS5" i="11"/>
  <c r="AU5" i="11"/>
  <c r="AU51" i="11"/>
  <c r="AU44" i="11"/>
  <c r="AU19" i="11"/>
  <c r="AU12" i="11"/>
  <c r="AU37" i="11"/>
  <c r="AS37" i="11"/>
  <c r="AS3" i="11"/>
  <c r="AV4" i="11"/>
  <c r="AU63" i="11"/>
  <c r="AU56" i="11"/>
  <c r="AU38" i="11"/>
  <c r="AU31" i="11"/>
  <c r="AU24" i="11"/>
  <c r="AU6" i="11"/>
  <c r="AS21" i="11"/>
  <c r="AU21" i="11"/>
  <c r="AV65" i="11"/>
  <c r="AV49" i="11"/>
  <c r="AV33" i="11"/>
  <c r="AV17" i="11"/>
  <c r="AU68" i="11"/>
  <c r="AU50" i="11"/>
  <c r="AU43" i="11"/>
  <c r="AU36" i="11"/>
  <c r="AU18" i="11"/>
  <c r="AU11" i="11"/>
  <c r="AU4" i="11"/>
  <c r="AZ36" i="11" s="1"/>
  <c r="AV52" i="11"/>
  <c r="AU17" i="11"/>
  <c r="AS17" i="11"/>
  <c r="AV64" i="11"/>
  <c r="AV48" i="11"/>
  <c r="AV32" i="11"/>
  <c r="AV16" i="11"/>
  <c r="AS69" i="11"/>
  <c r="AU69" i="11"/>
  <c r="AV20" i="11"/>
  <c r="AS61" i="11"/>
  <c r="AU61" i="11"/>
  <c r="AU45" i="11"/>
  <c r="AU29" i="11"/>
  <c r="AS13" i="11"/>
  <c r="AU55" i="11"/>
  <c r="AU48" i="11"/>
  <c r="AU23" i="11"/>
  <c r="AU16" i="11"/>
  <c r="AV36" i="11"/>
  <c r="AS49" i="11"/>
  <c r="AU49" i="11"/>
  <c r="AT69" i="11"/>
  <c r="AT53" i="11"/>
  <c r="AT21" i="11"/>
  <c r="AT5" i="11"/>
  <c r="AV68" i="11"/>
  <c r="AS33" i="11"/>
  <c r="AU33" i="11"/>
  <c r="AT37" i="11"/>
  <c r="AV61" i="11"/>
  <c r="AV45" i="11"/>
  <c r="AV29" i="11"/>
  <c r="AV13" i="11"/>
  <c r="AU67" i="11"/>
  <c r="AU60" i="11"/>
  <c r="AU35" i="11"/>
  <c r="AU28" i="11"/>
  <c r="AU65" i="11"/>
  <c r="AS65" i="11"/>
  <c r="AV60" i="11"/>
  <c r="AV44" i="11"/>
  <c r="AV28" i="11"/>
  <c r="AV12" i="11"/>
  <c r="AS57" i="11"/>
  <c r="AU57" i="11"/>
  <c r="AS41" i="11"/>
  <c r="AU41" i="11"/>
  <c r="AS25" i="11"/>
  <c r="AU25" i="11"/>
  <c r="AU9" i="11"/>
  <c r="AS9" i="11"/>
  <c r="AU54" i="11"/>
  <c r="AU47" i="11"/>
  <c r="AU40" i="11"/>
  <c r="AU22" i="11"/>
  <c r="AU15" i="11"/>
  <c r="AU8" i="11"/>
  <c r="AU53" i="11"/>
  <c r="AS53" i="11"/>
  <c r="AS62" i="11"/>
  <c r="AS46" i="11"/>
  <c r="AS30" i="11"/>
  <c r="AS14" i="11"/>
  <c r="AT65" i="11"/>
  <c r="AT49" i="11"/>
  <c r="AT33" i="11"/>
  <c r="AT17" i="11"/>
  <c r="AS58" i="11"/>
  <c r="AS42" i="11"/>
  <c r="AS26" i="11"/>
  <c r="AS10" i="11"/>
  <c r="AV57" i="11"/>
  <c r="AV41" i="11"/>
  <c r="AV25" i="11"/>
  <c r="AV9" i="11"/>
  <c r="AU66" i="11"/>
  <c r="AU34" i="11"/>
  <c r="AU13" i="11"/>
  <c r="AS45" i="11"/>
  <c r="AS29" i="11"/>
  <c r="AA3" i="11"/>
  <c r="AO3" i="11" s="1"/>
  <c r="Z3" i="11"/>
  <c r="Y3" i="11"/>
  <c r="AM3" i="11" s="1"/>
  <c r="X3" i="11"/>
  <c r="AL3" i="11" s="1"/>
  <c r="W3" i="11"/>
  <c r="AK3" i="11" s="1"/>
  <c r="V3" i="11"/>
  <c r="U3" i="11"/>
  <c r="T3" i="11"/>
  <c r="S3" i="11"/>
  <c r="R3" i="11"/>
  <c r="AF3" i="11" s="1"/>
  <c r="Q3" i="11"/>
  <c r="P3" i="11"/>
  <c r="AD3" i="11" s="1"/>
  <c r="M69" i="24"/>
  <c r="L69" i="24"/>
  <c r="K69" i="24"/>
  <c r="J69" i="24"/>
  <c r="I69" i="24"/>
  <c r="H69" i="24"/>
  <c r="G69" i="24"/>
  <c r="F69" i="24"/>
  <c r="E69" i="24"/>
  <c r="D69" i="24"/>
  <c r="C69" i="24"/>
  <c r="B69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M57" i="24"/>
  <c r="L57" i="24"/>
  <c r="K57" i="24"/>
  <c r="J57" i="24"/>
  <c r="I57" i="24"/>
  <c r="H57" i="24"/>
  <c r="G57" i="24"/>
  <c r="F57" i="24"/>
  <c r="E57" i="24"/>
  <c r="D57" i="24"/>
  <c r="C57" i="24"/>
  <c r="B57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M47" i="24"/>
  <c r="L47" i="24"/>
  <c r="K47" i="24"/>
  <c r="J47" i="24"/>
  <c r="I47" i="24"/>
  <c r="H47" i="24"/>
  <c r="G47" i="24"/>
  <c r="F47" i="24"/>
  <c r="E47" i="24"/>
  <c r="D47" i="24"/>
  <c r="C47" i="24"/>
  <c r="B47" i="24"/>
  <c r="M46" i="24"/>
  <c r="L46" i="24"/>
  <c r="K46" i="24"/>
  <c r="J46" i="24"/>
  <c r="I46" i="24"/>
  <c r="H46" i="24"/>
  <c r="G46" i="24"/>
  <c r="F46" i="24"/>
  <c r="E46" i="24"/>
  <c r="D46" i="24"/>
  <c r="C46" i="24"/>
  <c r="B46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M9" i="24"/>
  <c r="L9" i="24"/>
  <c r="K9" i="24"/>
  <c r="J9" i="24"/>
  <c r="I9" i="24"/>
  <c r="H9" i="24"/>
  <c r="G9" i="24"/>
  <c r="F9" i="24"/>
  <c r="E9" i="24"/>
  <c r="D9" i="24"/>
  <c r="C9" i="24"/>
  <c r="B9" i="24"/>
  <c r="M8" i="24"/>
  <c r="L8" i="24"/>
  <c r="K8" i="24"/>
  <c r="J8" i="24"/>
  <c r="I8" i="24"/>
  <c r="H8" i="24"/>
  <c r="G8" i="24"/>
  <c r="F8" i="24"/>
  <c r="E8" i="24"/>
  <c r="D8" i="24"/>
  <c r="C8" i="24"/>
  <c r="B8" i="24"/>
  <c r="M7" i="24"/>
  <c r="L7" i="24"/>
  <c r="K7" i="24"/>
  <c r="J7" i="24"/>
  <c r="I7" i="24"/>
  <c r="H7" i="24"/>
  <c r="G7" i="24"/>
  <c r="F7" i="24"/>
  <c r="E7" i="24"/>
  <c r="D7" i="24"/>
  <c r="C7" i="24"/>
  <c r="B7" i="24"/>
  <c r="M6" i="24"/>
  <c r="L6" i="24"/>
  <c r="K6" i="24"/>
  <c r="J6" i="24"/>
  <c r="I6" i="24"/>
  <c r="H6" i="24"/>
  <c r="G6" i="24"/>
  <c r="F6" i="24"/>
  <c r="E6" i="24"/>
  <c r="D6" i="24"/>
  <c r="C6" i="24"/>
  <c r="B6" i="24"/>
  <c r="M5" i="24"/>
  <c r="L5" i="24"/>
  <c r="K5" i="24"/>
  <c r="J5" i="24"/>
  <c r="I5" i="24"/>
  <c r="H5" i="24"/>
  <c r="G5" i="24"/>
  <c r="F5" i="24"/>
  <c r="E5" i="24"/>
  <c r="D5" i="24"/>
  <c r="C5" i="24"/>
  <c r="B5" i="24"/>
  <c r="M4" i="24"/>
  <c r="L4" i="24"/>
  <c r="K4" i="24"/>
  <c r="J4" i="24"/>
  <c r="I4" i="24"/>
  <c r="H4" i="24"/>
  <c r="G4" i="24"/>
  <c r="F4" i="24"/>
  <c r="E4" i="24"/>
  <c r="D4" i="24"/>
  <c r="C4" i="24"/>
  <c r="B4" i="24"/>
  <c r="M3" i="24"/>
  <c r="L3" i="24"/>
  <c r="K3" i="24"/>
  <c r="J3" i="24"/>
  <c r="I3" i="24"/>
  <c r="H3" i="24"/>
  <c r="G3" i="24"/>
  <c r="F3" i="24"/>
  <c r="E3" i="24"/>
  <c r="D3" i="24"/>
  <c r="C3" i="24"/>
  <c r="B3" i="24"/>
  <c r="M69" i="23"/>
  <c r="L69" i="23"/>
  <c r="K69" i="23"/>
  <c r="J69" i="23"/>
  <c r="I69" i="23"/>
  <c r="H69" i="23"/>
  <c r="G69" i="23"/>
  <c r="F69" i="23"/>
  <c r="E69" i="23"/>
  <c r="D69" i="23"/>
  <c r="C69" i="23"/>
  <c r="B69" i="23"/>
  <c r="M68" i="23"/>
  <c r="L68" i="23"/>
  <c r="K68" i="23"/>
  <c r="J68" i="23"/>
  <c r="I68" i="23"/>
  <c r="H68" i="23"/>
  <c r="G68" i="23"/>
  <c r="F68" i="23"/>
  <c r="E68" i="23"/>
  <c r="D68" i="23"/>
  <c r="C68" i="23"/>
  <c r="B68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M59" i="23"/>
  <c r="L59" i="23"/>
  <c r="K59" i="23"/>
  <c r="J59" i="23"/>
  <c r="I59" i="23"/>
  <c r="H59" i="23"/>
  <c r="G59" i="23"/>
  <c r="F59" i="23"/>
  <c r="E59" i="23"/>
  <c r="D59" i="23"/>
  <c r="C59" i="23"/>
  <c r="B59" i="23"/>
  <c r="M58" i="23"/>
  <c r="L58" i="23"/>
  <c r="K58" i="23"/>
  <c r="J58" i="23"/>
  <c r="I58" i="23"/>
  <c r="H58" i="23"/>
  <c r="G58" i="23"/>
  <c r="F58" i="23"/>
  <c r="E58" i="23"/>
  <c r="D58" i="23"/>
  <c r="C58" i="23"/>
  <c r="B58" i="23"/>
  <c r="M57" i="23"/>
  <c r="L57" i="23"/>
  <c r="K57" i="23"/>
  <c r="J57" i="23"/>
  <c r="I57" i="23"/>
  <c r="H57" i="23"/>
  <c r="G57" i="23"/>
  <c r="F57" i="23"/>
  <c r="E57" i="23"/>
  <c r="D57" i="23"/>
  <c r="C57" i="23"/>
  <c r="B57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M48" i="23"/>
  <c r="L48" i="23"/>
  <c r="K48" i="23"/>
  <c r="J48" i="23"/>
  <c r="I48" i="23"/>
  <c r="H48" i="23"/>
  <c r="G48" i="23"/>
  <c r="F48" i="23"/>
  <c r="E48" i="23"/>
  <c r="D48" i="23"/>
  <c r="C48" i="23"/>
  <c r="B48" i="23"/>
  <c r="M47" i="23"/>
  <c r="L47" i="23"/>
  <c r="K47" i="23"/>
  <c r="J47" i="23"/>
  <c r="I47" i="23"/>
  <c r="H47" i="23"/>
  <c r="G47" i="23"/>
  <c r="F47" i="23"/>
  <c r="E47" i="23"/>
  <c r="D47" i="23"/>
  <c r="C47" i="23"/>
  <c r="B47" i="23"/>
  <c r="M46" i="23"/>
  <c r="L46" i="23"/>
  <c r="K46" i="23"/>
  <c r="J46" i="23"/>
  <c r="I46" i="23"/>
  <c r="H46" i="23"/>
  <c r="G46" i="23"/>
  <c r="F46" i="23"/>
  <c r="E46" i="23"/>
  <c r="D46" i="23"/>
  <c r="C46" i="23"/>
  <c r="B46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M9" i="23"/>
  <c r="L9" i="23"/>
  <c r="K9" i="23"/>
  <c r="J9" i="23"/>
  <c r="I9" i="23"/>
  <c r="H9" i="23"/>
  <c r="G9" i="23"/>
  <c r="F9" i="23"/>
  <c r="E9" i="23"/>
  <c r="D9" i="23"/>
  <c r="C9" i="23"/>
  <c r="B9" i="23"/>
  <c r="M8" i="23"/>
  <c r="L8" i="23"/>
  <c r="K8" i="23"/>
  <c r="J8" i="23"/>
  <c r="I8" i="23"/>
  <c r="H8" i="23"/>
  <c r="G8" i="23"/>
  <c r="F8" i="23"/>
  <c r="E8" i="23"/>
  <c r="D8" i="23"/>
  <c r="C8" i="23"/>
  <c r="B8" i="23"/>
  <c r="M7" i="23"/>
  <c r="L7" i="23"/>
  <c r="K7" i="23"/>
  <c r="J7" i="23"/>
  <c r="I7" i="23"/>
  <c r="H7" i="23"/>
  <c r="G7" i="23"/>
  <c r="F7" i="23"/>
  <c r="E7" i="23"/>
  <c r="D7" i="23"/>
  <c r="C7" i="23"/>
  <c r="B7" i="23"/>
  <c r="M6" i="23"/>
  <c r="L6" i="23"/>
  <c r="K6" i="23"/>
  <c r="J6" i="23"/>
  <c r="I6" i="23"/>
  <c r="H6" i="23"/>
  <c r="G6" i="23"/>
  <c r="F6" i="23"/>
  <c r="E6" i="23"/>
  <c r="D6" i="23"/>
  <c r="C6" i="23"/>
  <c r="B6" i="23"/>
  <c r="M5" i="23"/>
  <c r="L5" i="23"/>
  <c r="K5" i="23"/>
  <c r="J5" i="23"/>
  <c r="I5" i="23"/>
  <c r="H5" i="23"/>
  <c r="G5" i="23"/>
  <c r="F5" i="23"/>
  <c r="E5" i="23"/>
  <c r="D5" i="23"/>
  <c r="C5" i="23"/>
  <c r="B5" i="23"/>
  <c r="M4" i="23"/>
  <c r="L4" i="23"/>
  <c r="K4" i="23"/>
  <c r="J4" i="23"/>
  <c r="I4" i="23"/>
  <c r="H4" i="23"/>
  <c r="G4" i="23"/>
  <c r="F4" i="23"/>
  <c r="E4" i="23"/>
  <c r="D4" i="23"/>
  <c r="C4" i="23"/>
  <c r="B4" i="23"/>
  <c r="M3" i="23"/>
  <c r="L3" i="23"/>
  <c r="K3" i="23"/>
  <c r="J3" i="23"/>
  <c r="I3" i="23"/>
  <c r="H3" i="23"/>
  <c r="G3" i="23"/>
  <c r="F3" i="23"/>
  <c r="E3" i="23"/>
  <c r="D3" i="23"/>
  <c r="C3" i="23"/>
  <c r="B3" i="23"/>
  <c r="M69" i="3"/>
  <c r="L69" i="3"/>
  <c r="K69" i="3"/>
  <c r="J69" i="3"/>
  <c r="I69" i="3"/>
  <c r="H69" i="3"/>
  <c r="G69" i="3"/>
  <c r="F69" i="3"/>
  <c r="E69" i="3"/>
  <c r="D69" i="3"/>
  <c r="C69" i="3"/>
  <c r="B69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M65" i="3"/>
  <c r="L65" i="3"/>
  <c r="K65" i="3"/>
  <c r="J65" i="3"/>
  <c r="I65" i="3"/>
  <c r="H65" i="3"/>
  <c r="G65" i="3"/>
  <c r="F65" i="3"/>
  <c r="E65" i="3"/>
  <c r="D65" i="3"/>
  <c r="C65" i="3"/>
  <c r="B65" i="3"/>
  <c r="M64" i="3"/>
  <c r="L64" i="3"/>
  <c r="K64" i="3"/>
  <c r="J64" i="3"/>
  <c r="I64" i="3"/>
  <c r="H64" i="3"/>
  <c r="G64" i="3"/>
  <c r="F64" i="3"/>
  <c r="E64" i="3"/>
  <c r="D64" i="3"/>
  <c r="C64" i="3"/>
  <c r="B64" i="3"/>
  <c r="M63" i="3"/>
  <c r="L63" i="3"/>
  <c r="K63" i="3"/>
  <c r="J63" i="3"/>
  <c r="I63" i="3"/>
  <c r="H63" i="3"/>
  <c r="G63" i="3"/>
  <c r="F63" i="3"/>
  <c r="E63" i="3"/>
  <c r="D63" i="3"/>
  <c r="C63" i="3"/>
  <c r="B63" i="3"/>
  <c r="M62" i="3"/>
  <c r="L62" i="3"/>
  <c r="K62" i="3"/>
  <c r="J62" i="3"/>
  <c r="I62" i="3"/>
  <c r="H62" i="3"/>
  <c r="G62" i="3"/>
  <c r="F62" i="3"/>
  <c r="E62" i="3"/>
  <c r="D62" i="3"/>
  <c r="C62" i="3"/>
  <c r="B62" i="3"/>
  <c r="M61" i="3"/>
  <c r="L61" i="3"/>
  <c r="K61" i="3"/>
  <c r="J61" i="3"/>
  <c r="I61" i="3"/>
  <c r="H61" i="3"/>
  <c r="G61" i="3"/>
  <c r="F61" i="3"/>
  <c r="E61" i="3"/>
  <c r="D61" i="3"/>
  <c r="C61" i="3"/>
  <c r="B61" i="3"/>
  <c r="M60" i="3"/>
  <c r="L60" i="3"/>
  <c r="K60" i="3"/>
  <c r="J60" i="3"/>
  <c r="I60" i="3"/>
  <c r="H60" i="3"/>
  <c r="G60" i="3"/>
  <c r="F60" i="3"/>
  <c r="E60" i="3"/>
  <c r="D60" i="3"/>
  <c r="C60" i="3"/>
  <c r="B60" i="3"/>
  <c r="M59" i="3"/>
  <c r="L59" i="3"/>
  <c r="K59" i="3"/>
  <c r="J59" i="3"/>
  <c r="I59" i="3"/>
  <c r="H59" i="3"/>
  <c r="G59" i="3"/>
  <c r="F59" i="3"/>
  <c r="E59" i="3"/>
  <c r="D59" i="3"/>
  <c r="C59" i="3"/>
  <c r="B59" i="3"/>
  <c r="M58" i="3"/>
  <c r="L58" i="3"/>
  <c r="K58" i="3"/>
  <c r="J58" i="3"/>
  <c r="I58" i="3"/>
  <c r="H58" i="3"/>
  <c r="G58" i="3"/>
  <c r="F58" i="3"/>
  <c r="E58" i="3"/>
  <c r="D58" i="3"/>
  <c r="C58" i="3"/>
  <c r="B58" i="3"/>
  <c r="M57" i="3"/>
  <c r="L57" i="3"/>
  <c r="K57" i="3"/>
  <c r="J57" i="3"/>
  <c r="I57" i="3"/>
  <c r="H57" i="3"/>
  <c r="G57" i="3"/>
  <c r="F57" i="3"/>
  <c r="E57" i="3"/>
  <c r="D57" i="3"/>
  <c r="C57" i="3"/>
  <c r="B57" i="3"/>
  <c r="M56" i="3"/>
  <c r="L56" i="3"/>
  <c r="K56" i="3"/>
  <c r="J56" i="3"/>
  <c r="I56" i="3"/>
  <c r="H56" i="3"/>
  <c r="G56" i="3"/>
  <c r="F56" i="3"/>
  <c r="E56" i="3"/>
  <c r="D56" i="3"/>
  <c r="C56" i="3"/>
  <c r="B56" i="3"/>
  <c r="M55" i="3"/>
  <c r="L55" i="3"/>
  <c r="K55" i="3"/>
  <c r="J55" i="3"/>
  <c r="I55" i="3"/>
  <c r="H55" i="3"/>
  <c r="G55" i="3"/>
  <c r="F55" i="3"/>
  <c r="E55" i="3"/>
  <c r="D55" i="3"/>
  <c r="C55" i="3"/>
  <c r="B55" i="3"/>
  <c r="M54" i="3"/>
  <c r="L54" i="3"/>
  <c r="K54" i="3"/>
  <c r="J54" i="3"/>
  <c r="I54" i="3"/>
  <c r="H54" i="3"/>
  <c r="G54" i="3"/>
  <c r="F54" i="3"/>
  <c r="E54" i="3"/>
  <c r="D54" i="3"/>
  <c r="C54" i="3"/>
  <c r="B54" i="3"/>
  <c r="M53" i="3"/>
  <c r="L53" i="3"/>
  <c r="K53" i="3"/>
  <c r="J53" i="3"/>
  <c r="I53" i="3"/>
  <c r="H53" i="3"/>
  <c r="G53" i="3"/>
  <c r="F53" i="3"/>
  <c r="E53" i="3"/>
  <c r="D53" i="3"/>
  <c r="C53" i="3"/>
  <c r="B53" i="3"/>
  <c r="M52" i="3"/>
  <c r="L52" i="3"/>
  <c r="K52" i="3"/>
  <c r="J52" i="3"/>
  <c r="I52" i="3"/>
  <c r="H52" i="3"/>
  <c r="G52" i="3"/>
  <c r="F52" i="3"/>
  <c r="E52" i="3"/>
  <c r="D52" i="3"/>
  <c r="C52" i="3"/>
  <c r="B52" i="3"/>
  <c r="M51" i="3"/>
  <c r="L51" i="3"/>
  <c r="K51" i="3"/>
  <c r="J51" i="3"/>
  <c r="I51" i="3"/>
  <c r="H51" i="3"/>
  <c r="G51" i="3"/>
  <c r="F51" i="3"/>
  <c r="E51" i="3"/>
  <c r="D51" i="3"/>
  <c r="C51" i="3"/>
  <c r="B51" i="3"/>
  <c r="M50" i="3"/>
  <c r="L50" i="3"/>
  <c r="K50" i="3"/>
  <c r="J50" i="3"/>
  <c r="I50" i="3"/>
  <c r="H50" i="3"/>
  <c r="G50" i="3"/>
  <c r="F50" i="3"/>
  <c r="E50" i="3"/>
  <c r="D50" i="3"/>
  <c r="C50" i="3"/>
  <c r="B50" i="3"/>
  <c r="M49" i="3"/>
  <c r="L49" i="3"/>
  <c r="K49" i="3"/>
  <c r="J49" i="3"/>
  <c r="I49" i="3"/>
  <c r="H49" i="3"/>
  <c r="G49" i="3"/>
  <c r="F49" i="3"/>
  <c r="E49" i="3"/>
  <c r="D49" i="3"/>
  <c r="C49" i="3"/>
  <c r="B49" i="3"/>
  <c r="M48" i="3"/>
  <c r="L48" i="3"/>
  <c r="K48" i="3"/>
  <c r="J48" i="3"/>
  <c r="I48" i="3"/>
  <c r="H48" i="3"/>
  <c r="G48" i="3"/>
  <c r="F48" i="3"/>
  <c r="E48" i="3"/>
  <c r="D48" i="3"/>
  <c r="C48" i="3"/>
  <c r="B48" i="3"/>
  <c r="M47" i="3"/>
  <c r="L47" i="3"/>
  <c r="K47" i="3"/>
  <c r="J47" i="3"/>
  <c r="I47" i="3"/>
  <c r="H47" i="3"/>
  <c r="G47" i="3"/>
  <c r="F47" i="3"/>
  <c r="E47" i="3"/>
  <c r="D47" i="3"/>
  <c r="C47" i="3"/>
  <c r="B47" i="3"/>
  <c r="M46" i="3"/>
  <c r="L46" i="3"/>
  <c r="K46" i="3"/>
  <c r="J46" i="3"/>
  <c r="I46" i="3"/>
  <c r="H46" i="3"/>
  <c r="G46" i="3"/>
  <c r="F46" i="3"/>
  <c r="E46" i="3"/>
  <c r="D46" i="3"/>
  <c r="C46" i="3"/>
  <c r="B46" i="3"/>
  <c r="M45" i="3"/>
  <c r="L45" i="3"/>
  <c r="K45" i="3"/>
  <c r="J45" i="3"/>
  <c r="I45" i="3"/>
  <c r="H45" i="3"/>
  <c r="G45" i="3"/>
  <c r="F45" i="3"/>
  <c r="E45" i="3"/>
  <c r="D45" i="3"/>
  <c r="C45" i="3"/>
  <c r="B45" i="3"/>
  <c r="M44" i="3"/>
  <c r="L44" i="3"/>
  <c r="K44" i="3"/>
  <c r="J44" i="3"/>
  <c r="I44" i="3"/>
  <c r="H44" i="3"/>
  <c r="G44" i="3"/>
  <c r="F44" i="3"/>
  <c r="E44" i="3"/>
  <c r="D44" i="3"/>
  <c r="C44" i="3"/>
  <c r="B44" i="3"/>
  <c r="M43" i="3"/>
  <c r="L43" i="3"/>
  <c r="K43" i="3"/>
  <c r="J43" i="3"/>
  <c r="I43" i="3"/>
  <c r="H43" i="3"/>
  <c r="G43" i="3"/>
  <c r="F43" i="3"/>
  <c r="E43" i="3"/>
  <c r="D43" i="3"/>
  <c r="C43" i="3"/>
  <c r="B43" i="3"/>
  <c r="M42" i="3"/>
  <c r="L42" i="3"/>
  <c r="K42" i="3"/>
  <c r="J42" i="3"/>
  <c r="I42" i="3"/>
  <c r="H42" i="3"/>
  <c r="G42" i="3"/>
  <c r="F42" i="3"/>
  <c r="E42" i="3"/>
  <c r="D42" i="3"/>
  <c r="C42" i="3"/>
  <c r="B42" i="3"/>
  <c r="M41" i="3"/>
  <c r="L41" i="3"/>
  <c r="K41" i="3"/>
  <c r="J41" i="3"/>
  <c r="I41" i="3"/>
  <c r="H41" i="3"/>
  <c r="G41" i="3"/>
  <c r="F41" i="3"/>
  <c r="E41" i="3"/>
  <c r="D41" i="3"/>
  <c r="C41" i="3"/>
  <c r="B41" i="3"/>
  <c r="M40" i="3"/>
  <c r="L40" i="3"/>
  <c r="K40" i="3"/>
  <c r="J40" i="3"/>
  <c r="I40" i="3"/>
  <c r="H40" i="3"/>
  <c r="G40" i="3"/>
  <c r="F40" i="3"/>
  <c r="E40" i="3"/>
  <c r="D40" i="3"/>
  <c r="C40" i="3"/>
  <c r="B40" i="3"/>
  <c r="M39" i="3"/>
  <c r="L39" i="3"/>
  <c r="K39" i="3"/>
  <c r="J39" i="3"/>
  <c r="I39" i="3"/>
  <c r="H39" i="3"/>
  <c r="G39" i="3"/>
  <c r="F39" i="3"/>
  <c r="E39" i="3"/>
  <c r="D39" i="3"/>
  <c r="C39" i="3"/>
  <c r="B39" i="3"/>
  <c r="M38" i="3"/>
  <c r="L38" i="3"/>
  <c r="K38" i="3"/>
  <c r="J38" i="3"/>
  <c r="I38" i="3"/>
  <c r="H38" i="3"/>
  <c r="G38" i="3"/>
  <c r="F38" i="3"/>
  <c r="E38" i="3"/>
  <c r="D38" i="3"/>
  <c r="C38" i="3"/>
  <c r="B38" i="3"/>
  <c r="M37" i="3"/>
  <c r="L37" i="3"/>
  <c r="K37" i="3"/>
  <c r="J37" i="3"/>
  <c r="I37" i="3"/>
  <c r="H37" i="3"/>
  <c r="G37" i="3"/>
  <c r="F37" i="3"/>
  <c r="E37" i="3"/>
  <c r="D37" i="3"/>
  <c r="C37" i="3"/>
  <c r="B37" i="3"/>
  <c r="M36" i="3"/>
  <c r="L36" i="3"/>
  <c r="K36" i="3"/>
  <c r="J36" i="3"/>
  <c r="I36" i="3"/>
  <c r="H36" i="3"/>
  <c r="G36" i="3"/>
  <c r="F36" i="3"/>
  <c r="E36" i="3"/>
  <c r="D36" i="3"/>
  <c r="C36" i="3"/>
  <c r="B36" i="3"/>
  <c r="M35" i="3"/>
  <c r="L35" i="3"/>
  <c r="K35" i="3"/>
  <c r="J35" i="3"/>
  <c r="I35" i="3"/>
  <c r="H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E34" i="3"/>
  <c r="D34" i="3"/>
  <c r="C34" i="3"/>
  <c r="B34" i="3"/>
  <c r="M33" i="3"/>
  <c r="L33" i="3"/>
  <c r="K33" i="3"/>
  <c r="J33" i="3"/>
  <c r="I33" i="3"/>
  <c r="H33" i="3"/>
  <c r="G33" i="3"/>
  <c r="F33" i="3"/>
  <c r="E33" i="3"/>
  <c r="D33" i="3"/>
  <c r="C33" i="3"/>
  <c r="B33" i="3"/>
  <c r="M32" i="3"/>
  <c r="L32" i="3"/>
  <c r="K32" i="3"/>
  <c r="J32" i="3"/>
  <c r="I32" i="3"/>
  <c r="H32" i="3"/>
  <c r="G32" i="3"/>
  <c r="F32" i="3"/>
  <c r="E32" i="3"/>
  <c r="D32" i="3"/>
  <c r="C32" i="3"/>
  <c r="B32" i="3"/>
  <c r="M31" i="3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I25" i="3"/>
  <c r="H25" i="3"/>
  <c r="G25" i="3"/>
  <c r="F25" i="3"/>
  <c r="E25" i="3"/>
  <c r="D25" i="3"/>
  <c r="C25" i="3"/>
  <c r="B25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L22" i="3"/>
  <c r="K22" i="3"/>
  <c r="J22" i="3"/>
  <c r="I22" i="3"/>
  <c r="H22" i="3"/>
  <c r="G22" i="3"/>
  <c r="F22" i="3"/>
  <c r="E22" i="3"/>
  <c r="D22" i="3"/>
  <c r="C22" i="3"/>
  <c r="B22" i="3"/>
  <c r="M21" i="3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18" i="3"/>
  <c r="L18" i="3"/>
  <c r="K18" i="3"/>
  <c r="J18" i="3"/>
  <c r="I18" i="3"/>
  <c r="H18" i="3"/>
  <c r="G18" i="3"/>
  <c r="F18" i="3"/>
  <c r="E18" i="3"/>
  <c r="D18" i="3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M16" i="3"/>
  <c r="L16" i="3"/>
  <c r="K16" i="3"/>
  <c r="J16" i="3"/>
  <c r="I16" i="3"/>
  <c r="H16" i="3"/>
  <c r="G16" i="3"/>
  <c r="F16" i="3"/>
  <c r="E16" i="3"/>
  <c r="D16" i="3"/>
  <c r="C16" i="3"/>
  <c r="B16" i="3"/>
  <c r="M15" i="3"/>
  <c r="L15" i="3"/>
  <c r="K15" i="3"/>
  <c r="J15" i="3"/>
  <c r="I15" i="3"/>
  <c r="H15" i="3"/>
  <c r="G15" i="3"/>
  <c r="F15" i="3"/>
  <c r="E15" i="3"/>
  <c r="D15" i="3"/>
  <c r="C15" i="3"/>
  <c r="B15" i="3"/>
  <c r="AB14" i="3"/>
  <c r="AA14" i="3"/>
  <c r="Z14" i="3"/>
  <c r="V14" i="3"/>
  <c r="U14" i="3"/>
  <c r="T14" i="3"/>
  <c r="M14" i="3"/>
  <c r="L14" i="3"/>
  <c r="K14" i="3"/>
  <c r="J14" i="3"/>
  <c r="I14" i="3"/>
  <c r="H14" i="3"/>
  <c r="G14" i="3"/>
  <c r="F14" i="3"/>
  <c r="E14" i="3"/>
  <c r="D14" i="3"/>
  <c r="C14" i="3"/>
  <c r="B14" i="3"/>
  <c r="AB13" i="3"/>
  <c r="AA13" i="3"/>
  <c r="Z13" i="3"/>
  <c r="V13" i="3"/>
  <c r="U13" i="3"/>
  <c r="T13" i="3"/>
  <c r="M13" i="3"/>
  <c r="L13" i="3"/>
  <c r="K13" i="3"/>
  <c r="J13" i="3"/>
  <c r="I13" i="3"/>
  <c r="H13" i="3"/>
  <c r="G13" i="3"/>
  <c r="F13" i="3"/>
  <c r="E13" i="3"/>
  <c r="D13" i="3"/>
  <c r="C13" i="3"/>
  <c r="B13" i="3"/>
  <c r="AB12" i="3"/>
  <c r="AA12" i="3"/>
  <c r="Z12" i="3"/>
  <c r="V12" i="3"/>
  <c r="U12" i="3"/>
  <c r="T12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E10" i="3"/>
  <c r="D10" i="3"/>
  <c r="C10" i="3"/>
  <c r="B10" i="3"/>
  <c r="M9" i="3"/>
  <c r="L9" i="3"/>
  <c r="K9" i="3"/>
  <c r="J9" i="3"/>
  <c r="I9" i="3"/>
  <c r="H9" i="3"/>
  <c r="G9" i="3"/>
  <c r="F9" i="3"/>
  <c r="E9" i="3"/>
  <c r="D9" i="3"/>
  <c r="C9" i="3"/>
  <c r="B9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M5" i="3"/>
  <c r="L5" i="3"/>
  <c r="K5" i="3"/>
  <c r="J5" i="3"/>
  <c r="I5" i="3"/>
  <c r="H5" i="3"/>
  <c r="G5" i="3"/>
  <c r="F5" i="3"/>
  <c r="E5" i="3"/>
  <c r="D5" i="3"/>
  <c r="C5" i="3"/>
  <c r="B5" i="3"/>
  <c r="M4" i="3"/>
  <c r="L4" i="3"/>
  <c r="K4" i="3"/>
  <c r="J4" i="3"/>
  <c r="I4" i="3"/>
  <c r="H4" i="3"/>
  <c r="G4" i="3"/>
  <c r="F4" i="3"/>
  <c r="E4" i="3"/>
  <c r="D4" i="3"/>
  <c r="C4" i="3"/>
  <c r="B4" i="3"/>
  <c r="M3" i="3"/>
  <c r="L3" i="3"/>
  <c r="K3" i="3"/>
  <c r="J3" i="3"/>
  <c r="I3" i="3"/>
  <c r="H3" i="3"/>
  <c r="G3" i="3"/>
  <c r="F3" i="3"/>
  <c r="E3" i="3"/>
  <c r="D3" i="3"/>
  <c r="C3" i="3"/>
  <c r="B3" i="3"/>
  <c r="Y68" i="9"/>
  <c r="V68" i="9"/>
  <c r="X68" i="9" s="1"/>
  <c r="S68" i="9"/>
  <c r="U68" i="9" s="1"/>
  <c r="P68" i="9"/>
  <c r="R68" i="9" s="1"/>
  <c r="M68" i="9"/>
  <c r="O68" i="9" s="1"/>
  <c r="L68" i="9"/>
  <c r="Y67" i="9"/>
  <c r="V67" i="9"/>
  <c r="W67" i="9" s="1"/>
  <c r="S67" i="9"/>
  <c r="T67" i="9" s="1"/>
  <c r="P67" i="9"/>
  <c r="R67" i="9" s="1"/>
  <c r="M67" i="9"/>
  <c r="O67" i="9" s="1"/>
  <c r="L67" i="9"/>
  <c r="Y66" i="9"/>
  <c r="V66" i="9"/>
  <c r="X66" i="9" s="1"/>
  <c r="S66" i="9"/>
  <c r="U66" i="9" s="1"/>
  <c r="P66" i="9"/>
  <c r="R66" i="9" s="1"/>
  <c r="M66" i="9"/>
  <c r="N66" i="9" s="1"/>
  <c r="L66" i="9"/>
  <c r="Y65" i="9"/>
  <c r="V65" i="9"/>
  <c r="X65" i="9" s="1"/>
  <c r="S65" i="9"/>
  <c r="T65" i="9" s="1"/>
  <c r="P65" i="9"/>
  <c r="R65" i="9" s="1"/>
  <c r="M65" i="9"/>
  <c r="O65" i="9" s="1"/>
  <c r="L65" i="9"/>
  <c r="Y64" i="9"/>
  <c r="V64" i="9"/>
  <c r="X64" i="9" s="1"/>
  <c r="S64" i="9"/>
  <c r="U64" i="9" s="1"/>
  <c r="P64" i="9"/>
  <c r="R64" i="9" s="1"/>
  <c r="M64" i="9"/>
  <c r="N64" i="9" s="1"/>
  <c r="L64" i="9"/>
  <c r="Y63" i="9"/>
  <c r="V63" i="9"/>
  <c r="X63" i="9" s="1"/>
  <c r="S63" i="9"/>
  <c r="U63" i="9" s="1"/>
  <c r="P63" i="9"/>
  <c r="R63" i="9" s="1"/>
  <c r="M63" i="9"/>
  <c r="O63" i="9" s="1"/>
  <c r="L63" i="9"/>
  <c r="Y62" i="9"/>
  <c r="V62" i="9"/>
  <c r="X62" i="9" s="1"/>
  <c r="S62" i="9"/>
  <c r="U62" i="9" s="1"/>
  <c r="P62" i="9"/>
  <c r="R62" i="9" s="1"/>
  <c r="M62" i="9"/>
  <c r="N62" i="9" s="1"/>
  <c r="L62" i="9"/>
  <c r="Y61" i="9"/>
  <c r="V61" i="9"/>
  <c r="X61" i="9" s="1"/>
  <c r="S61" i="9"/>
  <c r="T61" i="9" s="1"/>
  <c r="P61" i="9"/>
  <c r="R61" i="9" s="1"/>
  <c r="M61" i="9"/>
  <c r="O61" i="9" s="1"/>
  <c r="L61" i="9"/>
  <c r="Y60" i="9"/>
  <c r="V60" i="9"/>
  <c r="X60" i="9" s="1"/>
  <c r="S60" i="9"/>
  <c r="U60" i="9" s="1"/>
  <c r="P60" i="9"/>
  <c r="R60" i="9" s="1"/>
  <c r="M60" i="9"/>
  <c r="O60" i="9" s="1"/>
  <c r="L60" i="9"/>
  <c r="Y59" i="9"/>
  <c r="V59" i="9"/>
  <c r="X59" i="9" s="1"/>
  <c r="S59" i="9"/>
  <c r="T59" i="9" s="1"/>
  <c r="P59" i="9"/>
  <c r="R59" i="9" s="1"/>
  <c r="M59" i="9"/>
  <c r="O59" i="9" s="1"/>
  <c r="L59" i="9"/>
  <c r="AF58" i="9"/>
  <c r="Y58" i="9"/>
  <c r="V58" i="9"/>
  <c r="X58" i="9" s="1"/>
  <c r="S58" i="9"/>
  <c r="U58" i="9" s="1"/>
  <c r="P58" i="9"/>
  <c r="R58" i="9" s="1"/>
  <c r="M58" i="9"/>
  <c r="O58" i="9" s="1"/>
  <c r="L58" i="9"/>
  <c r="AF57" i="9"/>
  <c r="Y57" i="9"/>
  <c r="V57" i="9"/>
  <c r="X57" i="9" s="1"/>
  <c r="S57" i="9"/>
  <c r="U57" i="9" s="1"/>
  <c r="P57" i="9"/>
  <c r="R57" i="9" s="1"/>
  <c r="M57" i="9"/>
  <c r="N57" i="9" s="1"/>
  <c r="L57" i="9"/>
  <c r="AJ56" i="9"/>
  <c r="AI56" i="9"/>
  <c r="AH56" i="9"/>
  <c r="AG56" i="9"/>
  <c r="AF56" i="9"/>
  <c r="Y56" i="9"/>
  <c r="V56" i="9"/>
  <c r="X56" i="9" s="1"/>
  <c r="S56" i="9"/>
  <c r="U56" i="9" s="1"/>
  <c r="P56" i="9"/>
  <c r="Q56" i="9" s="1"/>
  <c r="M56" i="9"/>
  <c r="O56" i="9" s="1"/>
  <c r="L56" i="9"/>
  <c r="Y55" i="9"/>
  <c r="V55" i="9"/>
  <c r="X55" i="9" s="1"/>
  <c r="S55" i="9"/>
  <c r="U55" i="9" s="1"/>
  <c r="P55" i="9"/>
  <c r="R55" i="9" s="1"/>
  <c r="M55" i="9"/>
  <c r="O55" i="9" s="1"/>
  <c r="L55" i="9"/>
  <c r="Y54" i="9"/>
  <c r="V54" i="9"/>
  <c r="X54" i="9" s="1"/>
  <c r="S54" i="9"/>
  <c r="U54" i="9" s="1"/>
  <c r="P54" i="9"/>
  <c r="Q54" i="9" s="1"/>
  <c r="M54" i="9"/>
  <c r="O54" i="9" s="1"/>
  <c r="L54" i="9"/>
  <c r="Y53" i="9"/>
  <c r="V53" i="9"/>
  <c r="W53" i="9" s="1"/>
  <c r="S53" i="9"/>
  <c r="U53" i="9" s="1"/>
  <c r="P53" i="9"/>
  <c r="R53" i="9" s="1"/>
  <c r="M53" i="9"/>
  <c r="O53" i="9" s="1"/>
  <c r="L53" i="9"/>
  <c r="Y52" i="9"/>
  <c r="V52" i="9"/>
  <c r="X52" i="9" s="1"/>
  <c r="S52" i="9"/>
  <c r="U52" i="9" s="1"/>
  <c r="P52" i="9"/>
  <c r="Q52" i="9" s="1"/>
  <c r="M52" i="9"/>
  <c r="O52" i="9" s="1"/>
  <c r="L52" i="9"/>
  <c r="Y51" i="9"/>
  <c r="V51" i="9"/>
  <c r="X51" i="9" s="1"/>
  <c r="S51" i="9"/>
  <c r="U51" i="9" s="1"/>
  <c r="P51" i="9"/>
  <c r="R51" i="9" s="1"/>
  <c r="M51" i="9"/>
  <c r="O51" i="9" s="1"/>
  <c r="L51" i="9"/>
  <c r="Y50" i="9"/>
  <c r="V50" i="9"/>
  <c r="X50" i="9" s="1"/>
  <c r="S50" i="9"/>
  <c r="T50" i="9" s="1"/>
  <c r="P50" i="9"/>
  <c r="Q50" i="9" s="1"/>
  <c r="M50" i="9"/>
  <c r="O50" i="9" s="1"/>
  <c r="L50" i="9"/>
  <c r="Y49" i="9"/>
  <c r="V49" i="9"/>
  <c r="X49" i="9" s="1"/>
  <c r="S49" i="9"/>
  <c r="U49" i="9" s="1"/>
  <c r="P49" i="9"/>
  <c r="R49" i="9" s="1"/>
  <c r="M49" i="9"/>
  <c r="O49" i="9" s="1"/>
  <c r="L49" i="9"/>
  <c r="Y48" i="9"/>
  <c r="V48" i="9"/>
  <c r="X48" i="9" s="1"/>
  <c r="S48" i="9"/>
  <c r="U48" i="9" s="1"/>
  <c r="P48" i="9"/>
  <c r="R48" i="9" s="1"/>
  <c r="M48" i="9"/>
  <c r="O48" i="9" s="1"/>
  <c r="L48" i="9"/>
  <c r="Y47" i="9"/>
  <c r="V47" i="9"/>
  <c r="X47" i="9" s="1"/>
  <c r="S47" i="9"/>
  <c r="U47" i="9" s="1"/>
  <c r="P47" i="9"/>
  <c r="R47" i="9" s="1"/>
  <c r="M47" i="9"/>
  <c r="O47" i="9" s="1"/>
  <c r="L47" i="9"/>
  <c r="Y46" i="9"/>
  <c r="V46" i="9"/>
  <c r="X46" i="9" s="1"/>
  <c r="S46" i="9"/>
  <c r="T46" i="9" s="1"/>
  <c r="P46" i="9"/>
  <c r="Q46" i="9" s="1"/>
  <c r="M46" i="9"/>
  <c r="O46" i="9" s="1"/>
  <c r="L46" i="9"/>
  <c r="Y45" i="9"/>
  <c r="V45" i="9"/>
  <c r="X45" i="9" s="1"/>
  <c r="S45" i="9"/>
  <c r="U45" i="9" s="1"/>
  <c r="P45" i="9"/>
  <c r="R45" i="9" s="1"/>
  <c r="M45" i="9"/>
  <c r="O45" i="9" s="1"/>
  <c r="L45" i="9"/>
  <c r="Y44" i="9"/>
  <c r="V44" i="9"/>
  <c r="X44" i="9" s="1"/>
  <c r="S44" i="9"/>
  <c r="U44" i="9" s="1"/>
  <c r="P44" i="9"/>
  <c r="R44" i="9" s="1"/>
  <c r="M44" i="9"/>
  <c r="O44" i="9" s="1"/>
  <c r="L44" i="9"/>
  <c r="AJ43" i="9"/>
  <c r="AI43" i="9"/>
  <c r="AH43" i="9"/>
  <c r="AG43" i="9"/>
  <c r="AF43" i="9"/>
  <c r="AD43" i="9"/>
  <c r="AD54" i="9" s="1"/>
  <c r="AC43" i="9"/>
  <c r="AC54" i="9" s="1"/>
  <c r="AB43" i="9"/>
  <c r="AB54" i="9" s="1"/>
  <c r="AA43" i="9"/>
  <c r="Y43" i="9"/>
  <c r="V43" i="9"/>
  <c r="W43" i="9" s="1"/>
  <c r="S43" i="9"/>
  <c r="T43" i="9" s="1"/>
  <c r="P43" i="9"/>
  <c r="R43" i="9" s="1"/>
  <c r="M43" i="9"/>
  <c r="O43" i="9" s="1"/>
  <c r="L43" i="9"/>
  <c r="AJ42" i="9"/>
  <c r="AI42" i="9"/>
  <c r="AH42" i="9"/>
  <c r="AG42" i="9"/>
  <c r="AF42" i="9"/>
  <c r="AD42" i="9"/>
  <c r="AD53" i="9" s="1"/>
  <c r="AC42" i="9"/>
  <c r="AB42" i="9"/>
  <c r="AB53" i="9" s="1"/>
  <c r="AA42" i="9"/>
  <c r="AA53" i="9" s="1"/>
  <c r="Y42" i="9"/>
  <c r="V42" i="9"/>
  <c r="W42" i="9" s="1"/>
  <c r="S42" i="9"/>
  <c r="U42" i="9" s="1"/>
  <c r="P42" i="9"/>
  <c r="R42" i="9" s="1"/>
  <c r="M42" i="9"/>
  <c r="N42" i="9" s="1"/>
  <c r="L42" i="9"/>
  <c r="AJ41" i="9"/>
  <c r="AI41" i="9"/>
  <c r="AH41" i="9"/>
  <c r="AG41" i="9"/>
  <c r="AF41" i="9"/>
  <c r="Y41" i="9"/>
  <c r="V41" i="9"/>
  <c r="X41" i="9" s="1"/>
  <c r="S41" i="9"/>
  <c r="U41" i="9" s="1"/>
  <c r="P41" i="9"/>
  <c r="Q41" i="9" s="1"/>
  <c r="M41" i="9"/>
  <c r="N41" i="9" s="1"/>
  <c r="L41" i="9"/>
  <c r="Y40" i="9"/>
  <c r="V40" i="9"/>
  <c r="X40" i="9" s="1"/>
  <c r="S40" i="9"/>
  <c r="U40" i="9" s="1"/>
  <c r="P40" i="9"/>
  <c r="R40" i="9" s="1"/>
  <c r="M40" i="9"/>
  <c r="O40" i="9" s="1"/>
  <c r="L40" i="9"/>
  <c r="Y39" i="9"/>
  <c r="V39" i="9"/>
  <c r="X39" i="9" s="1"/>
  <c r="S39" i="9"/>
  <c r="U39" i="9" s="1"/>
  <c r="P39" i="9"/>
  <c r="R39" i="9" s="1"/>
  <c r="M39" i="9"/>
  <c r="O39" i="9" s="1"/>
  <c r="L39" i="9"/>
  <c r="Y38" i="9"/>
  <c r="V38" i="9"/>
  <c r="X38" i="9" s="1"/>
  <c r="S38" i="9"/>
  <c r="T38" i="9" s="1"/>
  <c r="P38" i="9"/>
  <c r="R38" i="9" s="1"/>
  <c r="M38" i="9"/>
  <c r="O38" i="9" s="1"/>
  <c r="L38" i="9"/>
  <c r="Y37" i="9"/>
  <c r="V37" i="9"/>
  <c r="X37" i="9" s="1"/>
  <c r="S37" i="9"/>
  <c r="U37" i="9" s="1"/>
  <c r="P37" i="9"/>
  <c r="R37" i="9" s="1"/>
  <c r="M37" i="9"/>
  <c r="O37" i="9" s="1"/>
  <c r="L37" i="9"/>
  <c r="Y36" i="9"/>
  <c r="V36" i="9"/>
  <c r="W36" i="9" s="1"/>
  <c r="S36" i="9"/>
  <c r="T36" i="9" s="1"/>
  <c r="P36" i="9"/>
  <c r="R36" i="9" s="1"/>
  <c r="M36" i="9"/>
  <c r="O36" i="9" s="1"/>
  <c r="L36" i="9"/>
  <c r="Y35" i="9"/>
  <c r="V35" i="9"/>
  <c r="X35" i="9" s="1"/>
  <c r="S35" i="9"/>
  <c r="U35" i="9" s="1"/>
  <c r="P35" i="9"/>
  <c r="R35" i="9" s="1"/>
  <c r="M35" i="9"/>
  <c r="O35" i="9" s="1"/>
  <c r="L35" i="9"/>
  <c r="Y34" i="9"/>
  <c r="V34" i="9"/>
  <c r="X34" i="9" s="1"/>
  <c r="S34" i="9"/>
  <c r="U34" i="9" s="1"/>
  <c r="P34" i="9"/>
  <c r="R34" i="9" s="1"/>
  <c r="M34" i="9"/>
  <c r="N34" i="9" s="1"/>
  <c r="L34" i="9"/>
  <c r="Y33" i="9"/>
  <c r="V33" i="9"/>
  <c r="X33" i="9" s="1"/>
  <c r="S33" i="9"/>
  <c r="U33" i="9" s="1"/>
  <c r="P33" i="9"/>
  <c r="R33" i="9" s="1"/>
  <c r="M33" i="9"/>
  <c r="O33" i="9" s="1"/>
  <c r="L33" i="9"/>
  <c r="Y32" i="9"/>
  <c r="V32" i="9"/>
  <c r="X32" i="9" s="1"/>
  <c r="S32" i="9"/>
  <c r="U32" i="9" s="1"/>
  <c r="P32" i="9"/>
  <c r="Q32" i="9" s="1"/>
  <c r="M32" i="9"/>
  <c r="N32" i="9" s="1"/>
  <c r="L32" i="9"/>
  <c r="Y31" i="9"/>
  <c r="V31" i="9"/>
  <c r="X31" i="9" s="1"/>
  <c r="S31" i="9"/>
  <c r="U31" i="9" s="1"/>
  <c r="P31" i="9"/>
  <c r="R31" i="9" s="1"/>
  <c r="M31" i="9"/>
  <c r="O31" i="9" s="1"/>
  <c r="L31" i="9"/>
  <c r="Y30" i="9"/>
  <c r="V30" i="9"/>
  <c r="X30" i="9" s="1"/>
  <c r="S30" i="9"/>
  <c r="T30" i="9" s="1"/>
  <c r="P30" i="9"/>
  <c r="R30" i="9" s="1"/>
  <c r="M30" i="9"/>
  <c r="O30" i="9" s="1"/>
  <c r="L30" i="9"/>
  <c r="Y29" i="9"/>
  <c r="V29" i="9"/>
  <c r="X29" i="9" s="1"/>
  <c r="S29" i="9"/>
  <c r="U29" i="9" s="1"/>
  <c r="P29" i="9"/>
  <c r="R29" i="9" s="1"/>
  <c r="M29" i="9"/>
  <c r="O29" i="9" s="1"/>
  <c r="L29" i="9"/>
  <c r="Y28" i="9"/>
  <c r="V28" i="9"/>
  <c r="X28" i="9" s="1"/>
  <c r="S28" i="9"/>
  <c r="T28" i="9" s="1"/>
  <c r="P28" i="9"/>
  <c r="R28" i="9" s="1"/>
  <c r="M28" i="9"/>
  <c r="O28" i="9" s="1"/>
  <c r="L28" i="9"/>
  <c r="Y27" i="9"/>
  <c r="V27" i="9"/>
  <c r="W27" i="9" s="1"/>
  <c r="S27" i="9"/>
  <c r="U27" i="9" s="1"/>
  <c r="P27" i="9"/>
  <c r="R27" i="9" s="1"/>
  <c r="M27" i="9"/>
  <c r="O27" i="9" s="1"/>
  <c r="L27" i="9"/>
  <c r="Y26" i="9"/>
  <c r="V26" i="9"/>
  <c r="X26" i="9" s="1"/>
  <c r="S26" i="9"/>
  <c r="U26" i="9" s="1"/>
  <c r="P26" i="9"/>
  <c r="R26" i="9" s="1"/>
  <c r="M26" i="9"/>
  <c r="O26" i="9" s="1"/>
  <c r="L26" i="9"/>
  <c r="Y25" i="9"/>
  <c r="V25" i="9"/>
  <c r="W25" i="9" s="1"/>
  <c r="S25" i="9"/>
  <c r="T25" i="9" s="1"/>
  <c r="P25" i="9"/>
  <c r="R25" i="9" s="1"/>
  <c r="M25" i="9"/>
  <c r="O25" i="9" s="1"/>
  <c r="L25" i="9"/>
  <c r="Y24" i="9"/>
  <c r="V24" i="9"/>
  <c r="X24" i="9" s="1"/>
  <c r="S24" i="9"/>
  <c r="U24" i="9" s="1"/>
  <c r="P24" i="9"/>
  <c r="R24" i="9" s="1"/>
  <c r="M24" i="9"/>
  <c r="N24" i="9" s="1"/>
  <c r="L24" i="9"/>
  <c r="Y23" i="9"/>
  <c r="V23" i="9"/>
  <c r="X23" i="9" s="1"/>
  <c r="S23" i="9"/>
  <c r="U23" i="9" s="1"/>
  <c r="P23" i="9"/>
  <c r="R23" i="9" s="1"/>
  <c r="M23" i="9"/>
  <c r="O23" i="9" s="1"/>
  <c r="L23" i="9"/>
  <c r="Y22" i="9"/>
  <c r="V22" i="9"/>
  <c r="X22" i="9" s="1"/>
  <c r="S22" i="9"/>
  <c r="U22" i="9" s="1"/>
  <c r="P22" i="9"/>
  <c r="Q22" i="9" s="1"/>
  <c r="M22" i="9"/>
  <c r="N22" i="9" s="1"/>
  <c r="L22" i="9"/>
  <c r="Y21" i="9"/>
  <c r="V21" i="9"/>
  <c r="X21" i="9" s="1"/>
  <c r="S21" i="9"/>
  <c r="U21" i="9" s="1"/>
  <c r="P21" i="9"/>
  <c r="R21" i="9" s="1"/>
  <c r="M21" i="9"/>
  <c r="O21" i="9" s="1"/>
  <c r="L21" i="9"/>
  <c r="Y20" i="9"/>
  <c r="V20" i="9"/>
  <c r="W20" i="9" s="1"/>
  <c r="S20" i="9"/>
  <c r="U20" i="9" s="1"/>
  <c r="P20" i="9"/>
  <c r="R20" i="9" s="1"/>
  <c r="M20" i="9"/>
  <c r="O20" i="9" s="1"/>
  <c r="L20" i="9"/>
  <c r="Y19" i="9"/>
  <c r="V19" i="9"/>
  <c r="X19" i="9" s="1"/>
  <c r="S19" i="9"/>
  <c r="U19" i="9" s="1"/>
  <c r="P19" i="9"/>
  <c r="R19" i="9" s="1"/>
  <c r="M19" i="9"/>
  <c r="O19" i="9" s="1"/>
  <c r="L19" i="9"/>
  <c r="Y18" i="9"/>
  <c r="V18" i="9"/>
  <c r="X18" i="9" s="1"/>
  <c r="S18" i="9"/>
  <c r="U18" i="9" s="1"/>
  <c r="P18" i="9"/>
  <c r="R18" i="9" s="1"/>
  <c r="M18" i="9"/>
  <c r="O18" i="9" s="1"/>
  <c r="L18" i="9"/>
  <c r="Y17" i="9"/>
  <c r="V17" i="9"/>
  <c r="X17" i="9" s="1"/>
  <c r="S17" i="9"/>
  <c r="U17" i="9" s="1"/>
  <c r="P17" i="9"/>
  <c r="Q17" i="9" s="1"/>
  <c r="M17" i="9"/>
  <c r="O17" i="9" s="1"/>
  <c r="L17" i="9"/>
  <c r="Y16" i="9"/>
  <c r="V16" i="9"/>
  <c r="W16" i="9" s="1"/>
  <c r="S16" i="9"/>
  <c r="U16" i="9" s="1"/>
  <c r="P16" i="9"/>
  <c r="R16" i="9" s="1"/>
  <c r="M16" i="9"/>
  <c r="N16" i="9" s="1"/>
  <c r="L16" i="9"/>
  <c r="Y15" i="9"/>
  <c r="V15" i="9"/>
  <c r="X15" i="9" s="1"/>
  <c r="S15" i="9"/>
  <c r="T15" i="9" s="1"/>
  <c r="P15" i="9"/>
  <c r="Q15" i="9" s="1"/>
  <c r="M15" i="9"/>
  <c r="O15" i="9" s="1"/>
  <c r="L15" i="9"/>
  <c r="Y14" i="9"/>
  <c r="V14" i="9"/>
  <c r="W14" i="9" s="1"/>
  <c r="S14" i="9"/>
  <c r="U14" i="9" s="1"/>
  <c r="P14" i="9"/>
  <c r="R14" i="9" s="1"/>
  <c r="M14" i="9"/>
  <c r="O14" i="9" s="1"/>
  <c r="L14" i="9"/>
  <c r="Y13" i="9"/>
  <c r="V13" i="9"/>
  <c r="X13" i="9" s="1"/>
  <c r="S13" i="9"/>
  <c r="U13" i="9" s="1"/>
  <c r="P13" i="9"/>
  <c r="Q13" i="9" s="1"/>
  <c r="M13" i="9"/>
  <c r="O13" i="9" s="1"/>
  <c r="L13" i="9"/>
  <c r="Y12" i="9"/>
  <c r="V12" i="9"/>
  <c r="X12" i="9" s="1"/>
  <c r="S12" i="9"/>
  <c r="U12" i="9" s="1"/>
  <c r="P12" i="9"/>
  <c r="R12" i="9" s="1"/>
  <c r="M12" i="9"/>
  <c r="O12" i="9" s="1"/>
  <c r="L12" i="9"/>
  <c r="Y11" i="9"/>
  <c r="V11" i="9"/>
  <c r="X11" i="9" s="1"/>
  <c r="S11" i="9"/>
  <c r="U11" i="9" s="1"/>
  <c r="P11" i="9"/>
  <c r="R11" i="9" s="1"/>
  <c r="M11" i="9"/>
  <c r="O11" i="9" s="1"/>
  <c r="L11" i="9"/>
  <c r="Y10" i="9"/>
  <c r="V10" i="9"/>
  <c r="X10" i="9" s="1"/>
  <c r="S10" i="9"/>
  <c r="U10" i="9" s="1"/>
  <c r="P10" i="9"/>
  <c r="R10" i="9" s="1"/>
  <c r="M10" i="9"/>
  <c r="O10" i="9" s="1"/>
  <c r="L10" i="9"/>
  <c r="Y9" i="9"/>
  <c r="V9" i="9"/>
  <c r="X9" i="9" s="1"/>
  <c r="S9" i="9"/>
  <c r="U9" i="9" s="1"/>
  <c r="P9" i="9"/>
  <c r="Q9" i="9" s="1"/>
  <c r="M9" i="9"/>
  <c r="O9" i="9" s="1"/>
  <c r="L9" i="9"/>
  <c r="AN8" i="9"/>
  <c r="AO8" i="9" s="1"/>
  <c r="AL8" i="9"/>
  <c r="AM8" i="9" s="1"/>
  <c r="AJ8" i="9"/>
  <c r="Y8" i="9"/>
  <c r="V8" i="9"/>
  <c r="X8" i="9" s="1"/>
  <c r="S8" i="9"/>
  <c r="T8" i="9" s="1"/>
  <c r="P8" i="9"/>
  <c r="R8" i="9" s="1"/>
  <c r="M8" i="9"/>
  <c r="O8" i="9" s="1"/>
  <c r="L8" i="9"/>
  <c r="AN7" i="9"/>
  <c r="AO7" i="9" s="1"/>
  <c r="AL7" i="9"/>
  <c r="AM7" i="9" s="1"/>
  <c r="AJ7" i="9"/>
  <c r="AK7" i="9" s="1"/>
  <c r="Y7" i="9"/>
  <c r="V7" i="9"/>
  <c r="X7" i="9" s="1"/>
  <c r="S7" i="9"/>
  <c r="T7" i="9" s="1"/>
  <c r="P7" i="9"/>
  <c r="Q7" i="9" s="1"/>
  <c r="M7" i="9"/>
  <c r="O7" i="9" s="1"/>
  <c r="L7" i="9"/>
  <c r="Y6" i="9"/>
  <c r="V6" i="9"/>
  <c r="X6" i="9" s="1"/>
  <c r="S6" i="9"/>
  <c r="P6" i="9"/>
  <c r="R6" i="9" s="1"/>
  <c r="M6" i="9"/>
  <c r="O6" i="9" s="1"/>
  <c r="L6" i="9"/>
  <c r="Y5" i="9"/>
  <c r="V5" i="9"/>
  <c r="X5" i="9" s="1"/>
  <c r="S5" i="9"/>
  <c r="U5" i="9" s="1"/>
  <c r="P5" i="9"/>
  <c r="R5" i="9" s="1"/>
  <c r="M5" i="9"/>
  <c r="O5" i="9" s="1"/>
  <c r="L5" i="9"/>
  <c r="Y4" i="9"/>
  <c r="V4" i="9"/>
  <c r="W4" i="9" s="1"/>
  <c r="S4" i="9"/>
  <c r="U4" i="9" s="1"/>
  <c r="P4" i="9"/>
  <c r="R4" i="9" s="1"/>
  <c r="M4" i="9"/>
  <c r="N4" i="9" s="1"/>
  <c r="L4" i="9"/>
  <c r="Y3" i="9"/>
  <c r="V3" i="9"/>
  <c r="S3" i="9"/>
  <c r="U3" i="9" s="1"/>
  <c r="P3" i="9"/>
  <c r="R3" i="9" s="1"/>
  <c r="M3" i="9"/>
  <c r="L3" i="9"/>
  <c r="AG2" i="9"/>
  <c r="AF2" i="9"/>
  <c r="AE2" i="9"/>
  <c r="AD2" i="9"/>
  <c r="AC2" i="9"/>
  <c r="AB2" i="9"/>
  <c r="AA2" i="9"/>
  <c r="Z2" i="9"/>
  <c r="Y2" i="9"/>
  <c r="V2" i="9"/>
  <c r="X2" i="9" s="1"/>
  <c r="S2" i="9"/>
  <c r="U2" i="9" s="1"/>
  <c r="P2" i="9"/>
  <c r="M2" i="9"/>
  <c r="O2" i="9" s="1"/>
  <c r="L2" i="9"/>
  <c r="AK1" i="9"/>
  <c r="AJ1" i="9"/>
  <c r="AI1" i="9"/>
  <c r="AH1" i="9"/>
  <c r="V68" i="8"/>
  <c r="W68" i="8" s="1"/>
  <c r="S68" i="8"/>
  <c r="U68" i="8" s="1"/>
  <c r="P68" i="8"/>
  <c r="R68" i="8" s="1"/>
  <c r="M68" i="8"/>
  <c r="O68" i="8" s="1"/>
  <c r="L68" i="8"/>
  <c r="V67" i="8"/>
  <c r="W67" i="8" s="1"/>
  <c r="S67" i="8"/>
  <c r="U67" i="8" s="1"/>
  <c r="P67" i="8"/>
  <c r="R67" i="8" s="1"/>
  <c r="M67" i="8"/>
  <c r="O67" i="8" s="1"/>
  <c r="L67" i="8"/>
  <c r="V66" i="8"/>
  <c r="X66" i="8" s="1"/>
  <c r="S66" i="8"/>
  <c r="T66" i="8" s="1"/>
  <c r="P66" i="8"/>
  <c r="R66" i="8" s="1"/>
  <c r="M66" i="8"/>
  <c r="N66" i="8" s="1"/>
  <c r="L66" i="8"/>
  <c r="V65" i="8"/>
  <c r="X65" i="8" s="1"/>
  <c r="S65" i="8"/>
  <c r="T65" i="8" s="1"/>
  <c r="P65" i="8"/>
  <c r="Q65" i="8" s="1"/>
  <c r="M65" i="8"/>
  <c r="O65" i="8" s="1"/>
  <c r="L65" i="8"/>
  <c r="W64" i="8"/>
  <c r="V64" i="8"/>
  <c r="X64" i="8" s="1"/>
  <c r="T64" i="8"/>
  <c r="S64" i="8"/>
  <c r="U64" i="8" s="1"/>
  <c r="Q64" i="8"/>
  <c r="P64" i="8"/>
  <c r="R64" i="8" s="1"/>
  <c r="N64" i="8"/>
  <c r="M64" i="8"/>
  <c r="O64" i="8" s="1"/>
  <c r="L64" i="8"/>
  <c r="W63" i="8"/>
  <c r="V63" i="8"/>
  <c r="X63" i="8" s="1"/>
  <c r="T63" i="8"/>
  <c r="S63" i="8"/>
  <c r="U63" i="8" s="1"/>
  <c r="Q63" i="8"/>
  <c r="P63" i="8"/>
  <c r="R63" i="8" s="1"/>
  <c r="N63" i="8"/>
  <c r="M63" i="8"/>
  <c r="O63" i="8" s="1"/>
  <c r="L63" i="8"/>
  <c r="W62" i="8"/>
  <c r="V62" i="8"/>
  <c r="X62" i="8" s="1"/>
  <c r="T62" i="8"/>
  <c r="S62" i="8"/>
  <c r="U62" i="8" s="1"/>
  <c r="Q62" i="8"/>
  <c r="P62" i="8"/>
  <c r="R62" i="8" s="1"/>
  <c r="N62" i="8"/>
  <c r="M62" i="8"/>
  <c r="O62" i="8" s="1"/>
  <c r="L62" i="8"/>
  <c r="W61" i="8"/>
  <c r="V61" i="8"/>
  <c r="X61" i="8" s="1"/>
  <c r="T61" i="8"/>
  <c r="S61" i="8"/>
  <c r="U61" i="8" s="1"/>
  <c r="Q61" i="8"/>
  <c r="P61" i="8"/>
  <c r="R61" i="8" s="1"/>
  <c r="N61" i="8"/>
  <c r="M61" i="8"/>
  <c r="O61" i="8" s="1"/>
  <c r="L61" i="8"/>
  <c r="V60" i="8"/>
  <c r="X60" i="8" s="1"/>
  <c r="S60" i="8"/>
  <c r="U60" i="8" s="1"/>
  <c r="P60" i="8"/>
  <c r="R60" i="8" s="1"/>
  <c r="M60" i="8"/>
  <c r="N60" i="8" s="1"/>
  <c r="L60" i="8"/>
  <c r="W59" i="8"/>
  <c r="V59" i="8"/>
  <c r="X59" i="8" s="1"/>
  <c r="T59" i="8"/>
  <c r="S59" i="8"/>
  <c r="U59" i="8" s="1"/>
  <c r="Q59" i="8"/>
  <c r="P59" i="8"/>
  <c r="R59" i="8" s="1"/>
  <c r="N59" i="8"/>
  <c r="M59" i="8"/>
  <c r="O59" i="8" s="1"/>
  <c r="L59" i="8"/>
  <c r="V58" i="8"/>
  <c r="X58" i="8" s="1"/>
  <c r="S58" i="8"/>
  <c r="U58" i="8" s="1"/>
  <c r="P58" i="8"/>
  <c r="Q58" i="8" s="1"/>
  <c r="M58" i="8"/>
  <c r="O58" i="8" s="1"/>
  <c r="L58" i="8"/>
  <c r="W57" i="8"/>
  <c r="V57" i="8"/>
  <c r="X57" i="8" s="1"/>
  <c r="T57" i="8"/>
  <c r="S57" i="8"/>
  <c r="U57" i="8" s="1"/>
  <c r="Q57" i="8"/>
  <c r="P57" i="8"/>
  <c r="R57" i="8" s="1"/>
  <c r="N57" i="8"/>
  <c r="M57" i="8"/>
  <c r="O57" i="8" s="1"/>
  <c r="L57" i="8"/>
  <c r="V56" i="8"/>
  <c r="X56" i="8" s="1"/>
  <c r="S56" i="8"/>
  <c r="U56" i="8" s="1"/>
  <c r="P56" i="8"/>
  <c r="R56" i="8" s="1"/>
  <c r="M56" i="8"/>
  <c r="O56" i="8" s="1"/>
  <c r="L56" i="8"/>
  <c r="V55" i="8"/>
  <c r="X55" i="8" s="1"/>
  <c r="S55" i="8"/>
  <c r="U55" i="8" s="1"/>
  <c r="P55" i="8"/>
  <c r="R55" i="8" s="1"/>
  <c r="M55" i="8"/>
  <c r="O55" i="8" s="1"/>
  <c r="L55" i="8"/>
  <c r="V54" i="8"/>
  <c r="X54" i="8" s="1"/>
  <c r="S54" i="8"/>
  <c r="U54" i="8" s="1"/>
  <c r="P54" i="8"/>
  <c r="R54" i="8" s="1"/>
  <c r="M54" i="8"/>
  <c r="O54" i="8" s="1"/>
  <c r="L54" i="8"/>
  <c r="V53" i="8"/>
  <c r="X53" i="8" s="1"/>
  <c r="S53" i="8"/>
  <c r="U53" i="8" s="1"/>
  <c r="P53" i="8"/>
  <c r="R53" i="8" s="1"/>
  <c r="M53" i="8"/>
  <c r="O53" i="8" s="1"/>
  <c r="L53" i="8"/>
  <c r="V52" i="8"/>
  <c r="X52" i="8" s="1"/>
  <c r="S52" i="8"/>
  <c r="U52" i="8" s="1"/>
  <c r="P52" i="8"/>
  <c r="R52" i="8" s="1"/>
  <c r="M52" i="8"/>
  <c r="O52" i="8" s="1"/>
  <c r="L52" i="8"/>
  <c r="V51" i="8"/>
  <c r="X51" i="8" s="1"/>
  <c r="S51" i="8"/>
  <c r="U51" i="8" s="1"/>
  <c r="P51" i="8"/>
  <c r="R51" i="8" s="1"/>
  <c r="M51" i="8"/>
  <c r="O51" i="8" s="1"/>
  <c r="L51" i="8"/>
  <c r="V50" i="8"/>
  <c r="X50" i="8" s="1"/>
  <c r="S50" i="8"/>
  <c r="U50" i="8" s="1"/>
  <c r="P50" i="8"/>
  <c r="R50" i="8" s="1"/>
  <c r="M50" i="8"/>
  <c r="O50" i="8" s="1"/>
  <c r="L50" i="8"/>
  <c r="V49" i="8"/>
  <c r="X49" i="8" s="1"/>
  <c r="S49" i="8"/>
  <c r="U49" i="8" s="1"/>
  <c r="P49" i="8"/>
  <c r="R49" i="8" s="1"/>
  <c r="M49" i="8"/>
  <c r="O49" i="8" s="1"/>
  <c r="L49" i="8"/>
  <c r="V48" i="8"/>
  <c r="X48" i="8" s="1"/>
  <c r="S48" i="8"/>
  <c r="U48" i="8" s="1"/>
  <c r="P48" i="8"/>
  <c r="R48" i="8" s="1"/>
  <c r="M48" i="8"/>
  <c r="O48" i="8" s="1"/>
  <c r="L48" i="8"/>
  <c r="AJ47" i="8"/>
  <c r="AI47" i="8"/>
  <c r="AH47" i="8"/>
  <c r="AG47" i="8"/>
  <c r="AF47" i="8"/>
  <c r="V47" i="8"/>
  <c r="X47" i="8" s="1"/>
  <c r="S47" i="8"/>
  <c r="U47" i="8" s="1"/>
  <c r="P47" i="8"/>
  <c r="R47" i="8" s="1"/>
  <c r="M47" i="8"/>
  <c r="O47" i="8" s="1"/>
  <c r="L47" i="8"/>
  <c r="AJ46" i="8"/>
  <c r="AI46" i="8"/>
  <c r="AH46" i="8"/>
  <c r="AG46" i="8"/>
  <c r="AF46" i="8"/>
  <c r="V46" i="8"/>
  <c r="X46" i="8" s="1"/>
  <c r="S46" i="8"/>
  <c r="U46" i="8" s="1"/>
  <c r="P46" i="8"/>
  <c r="R46" i="8" s="1"/>
  <c r="M46" i="8"/>
  <c r="O46" i="8" s="1"/>
  <c r="L46" i="8"/>
  <c r="V45" i="8"/>
  <c r="X45" i="8" s="1"/>
  <c r="S45" i="8"/>
  <c r="U45" i="8" s="1"/>
  <c r="P45" i="8"/>
  <c r="R45" i="8" s="1"/>
  <c r="M45" i="8"/>
  <c r="O45" i="8" s="1"/>
  <c r="L45" i="8"/>
  <c r="V44" i="8"/>
  <c r="X44" i="8" s="1"/>
  <c r="S44" i="8"/>
  <c r="U44" i="8" s="1"/>
  <c r="P44" i="8"/>
  <c r="R44" i="8" s="1"/>
  <c r="M44" i="8"/>
  <c r="O44" i="8" s="1"/>
  <c r="L44" i="8"/>
  <c r="AJ43" i="8"/>
  <c r="AI43" i="8"/>
  <c r="AH43" i="8"/>
  <c r="AG43" i="8"/>
  <c r="AF43" i="8"/>
  <c r="AD43" i="8"/>
  <c r="AC43" i="8"/>
  <c r="AI58" i="9" s="1"/>
  <c r="AB43" i="8"/>
  <c r="AH58" i="9" s="1"/>
  <c r="AH64" i="9" s="1"/>
  <c r="AA43" i="8"/>
  <c r="AG58" i="9" s="1"/>
  <c r="V43" i="8"/>
  <c r="X43" i="8" s="1"/>
  <c r="S43" i="8"/>
  <c r="U43" i="8" s="1"/>
  <c r="P43" i="8"/>
  <c r="R43" i="8" s="1"/>
  <c r="M43" i="8"/>
  <c r="O43" i="8" s="1"/>
  <c r="L43" i="8"/>
  <c r="AJ42" i="8"/>
  <c r="AI42" i="8"/>
  <c r="AH42" i="8"/>
  <c r="AG42" i="8"/>
  <c r="AF42" i="8"/>
  <c r="AD42" i="8"/>
  <c r="AD53" i="8" s="1"/>
  <c r="AC42" i="8"/>
  <c r="AB42" i="8"/>
  <c r="AA42" i="8"/>
  <c r="V42" i="8"/>
  <c r="X42" i="8" s="1"/>
  <c r="S42" i="8"/>
  <c r="U42" i="8" s="1"/>
  <c r="P42" i="8"/>
  <c r="R42" i="8" s="1"/>
  <c r="M42" i="8"/>
  <c r="O42" i="8" s="1"/>
  <c r="L42" i="8"/>
  <c r="AJ41" i="8"/>
  <c r="AI41" i="8"/>
  <c r="AH41" i="8"/>
  <c r="AG41" i="8"/>
  <c r="AF41" i="8"/>
  <c r="V41" i="8"/>
  <c r="X41" i="8" s="1"/>
  <c r="S41" i="8"/>
  <c r="U41" i="8" s="1"/>
  <c r="P41" i="8"/>
  <c r="Q41" i="8" s="1"/>
  <c r="M41" i="8"/>
  <c r="O41" i="8" s="1"/>
  <c r="L41" i="8"/>
  <c r="V40" i="8"/>
  <c r="W40" i="8" s="1"/>
  <c r="S40" i="8"/>
  <c r="U40" i="8" s="1"/>
  <c r="P40" i="8"/>
  <c r="R40" i="8" s="1"/>
  <c r="M40" i="8"/>
  <c r="O40" i="8" s="1"/>
  <c r="L40" i="8"/>
  <c r="V39" i="8"/>
  <c r="W39" i="8" s="1"/>
  <c r="S39" i="8"/>
  <c r="T39" i="8" s="1"/>
  <c r="P39" i="8"/>
  <c r="R39" i="8" s="1"/>
  <c r="M39" i="8"/>
  <c r="O39" i="8" s="1"/>
  <c r="L39" i="8"/>
  <c r="V38" i="8"/>
  <c r="X38" i="8" s="1"/>
  <c r="S38" i="8"/>
  <c r="T38" i="8" s="1"/>
  <c r="P38" i="8"/>
  <c r="Q38" i="8" s="1"/>
  <c r="M38" i="8"/>
  <c r="O38" i="8" s="1"/>
  <c r="L38" i="8"/>
  <c r="V37" i="8"/>
  <c r="X37" i="8" s="1"/>
  <c r="S37" i="8"/>
  <c r="U37" i="8" s="1"/>
  <c r="P37" i="8"/>
  <c r="Q37" i="8" s="1"/>
  <c r="M37" i="8"/>
  <c r="N37" i="8" s="1"/>
  <c r="L37" i="8"/>
  <c r="V36" i="8"/>
  <c r="X36" i="8" s="1"/>
  <c r="S36" i="8"/>
  <c r="U36" i="8" s="1"/>
  <c r="P36" i="8"/>
  <c r="R36" i="8" s="1"/>
  <c r="M36" i="8"/>
  <c r="N36" i="8" s="1"/>
  <c r="L36" i="8"/>
  <c r="V35" i="8"/>
  <c r="X35" i="8" s="1"/>
  <c r="S35" i="8"/>
  <c r="U35" i="8" s="1"/>
  <c r="P35" i="8"/>
  <c r="R35" i="8" s="1"/>
  <c r="M35" i="8"/>
  <c r="O35" i="8" s="1"/>
  <c r="L35" i="8"/>
  <c r="V34" i="8"/>
  <c r="W34" i="8" s="1"/>
  <c r="S34" i="8"/>
  <c r="U34" i="8" s="1"/>
  <c r="P34" i="8"/>
  <c r="R34" i="8" s="1"/>
  <c r="M34" i="8"/>
  <c r="N34" i="8" s="1"/>
  <c r="L34" i="8"/>
  <c r="V33" i="8"/>
  <c r="W33" i="8" s="1"/>
  <c r="S33" i="8"/>
  <c r="T33" i="8" s="1"/>
  <c r="P33" i="8"/>
  <c r="R33" i="8" s="1"/>
  <c r="M33" i="8"/>
  <c r="O33" i="8" s="1"/>
  <c r="L33" i="8"/>
  <c r="V32" i="8"/>
  <c r="X32" i="8" s="1"/>
  <c r="S32" i="8"/>
  <c r="T32" i="8" s="1"/>
  <c r="P32" i="8"/>
  <c r="Q32" i="8" s="1"/>
  <c r="M32" i="8"/>
  <c r="O32" i="8" s="1"/>
  <c r="L32" i="8"/>
  <c r="V31" i="8"/>
  <c r="X31" i="8" s="1"/>
  <c r="S31" i="8"/>
  <c r="U31" i="8" s="1"/>
  <c r="P31" i="8"/>
  <c r="R31" i="8" s="1"/>
  <c r="M31" i="8"/>
  <c r="O31" i="8" s="1"/>
  <c r="L31" i="8"/>
  <c r="V30" i="8"/>
  <c r="X30" i="8" s="1"/>
  <c r="S30" i="8"/>
  <c r="T30" i="8" s="1"/>
  <c r="P30" i="8"/>
  <c r="R30" i="8" s="1"/>
  <c r="M30" i="8"/>
  <c r="O30" i="8" s="1"/>
  <c r="L30" i="8"/>
  <c r="V29" i="8"/>
  <c r="X29" i="8" s="1"/>
  <c r="S29" i="8"/>
  <c r="U29" i="8" s="1"/>
  <c r="P29" i="8"/>
  <c r="R29" i="8" s="1"/>
  <c r="M29" i="8"/>
  <c r="O29" i="8" s="1"/>
  <c r="L29" i="8"/>
  <c r="V28" i="8"/>
  <c r="W28" i="8" s="1"/>
  <c r="S28" i="8"/>
  <c r="U28" i="8" s="1"/>
  <c r="P28" i="8"/>
  <c r="R28" i="8" s="1"/>
  <c r="M28" i="8"/>
  <c r="O28" i="8" s="1"/>
  <c r="L28" i="8"/>
  <c r="V27" i="8"/>
  <c r="X27" i="8" s="1"/>
  <c r="S27" i="8"/>
  <c r="U27" i="8" s="1"/>
  <c r="P27" i="8"/>
  <c r="R27" i="8" s="1"/>
  <c r="M27" i="8"/>
  <c r="O27" i="8" s="1"/>
  <c r="L27" i="8"/>
  <c r="V26" i="8"/>
  <c r="X26" i="8" s="1"/>
  <c r="S26" i="8"/>
  <c r="U26" i="8" s="1"/>
  <c r="P26" i="8"/>
  <c r="Q26" i="8" s="1"/>
  <c r="M26" i="8"/>
  <c r="O26" i="8" s="1"/>
  <c r="L26" i="8"/>
  <c r="V25" i="8"/>
  <c r="X25" i="8" s="1"/>
  <c r="S25" i="8"/>
  <c r="U25" i="8" s="1"/>
  <c r="P25" i="8"/>
  <c r="R25" i="8" s="1"/>
  <c r="M25" i="8"/>
  <c r="O25" i="8" s="1"/>
  <c r="L25" i="8"/>
  <c r="V24" i="8"/>
  <c r="W24" i="8" s="1"/>
  <c r="S24" i="8"/>
  <c r="T24" i="8" s="1"/>
  <c r="P24" i="8"/>
  <c r="R24" i="8" s="1"/>
  <c r="M24" i="8"/>
  <c r="N24" i="8" s="1"/>
  <c r="L24" i="8"/>
  <c r="V23" i="8"/>
  <c r="X23" i="8" s="1"/>
  <c r="S23" i="8"/>
  <c r="U23" i="8" s="1"/>
  <c r="P23" i="8"/>
  <c r="R23" i="8" s="1"/>
  <c r="M23" i="8"/>
  <c r="O23" i="8" s="1"/>
  <c r="L23" i="8"/>
  <c r="V22" i="8"/>
  <c r="W22" i="8" s="1"/>
  <c r="S22" i="8"/>
  <c r="U22" i="8" s="1"/>
  <c r="P22" i="8"/>
  <c r="R22" i="8" s="1"/>
  <c r="M22" i="8"/>
  <c r="O22" i="8" s="1"/>
  <c r="L22" i="8"/>
  <c r="V21" i="8"/>
  <c r="W21" i="8" s="1"/>
  <c r="S21" i="8"/>
  <c r="T21" i="8" s="1"/>
  <c r="P21" i="8"/>
  <c r="R21" i="8" s="1"/>
  <c r="M21" i="8"/>
  <c r="O21" i="8" s="1"/>
  <c r="L21" i="8"/>
  <c r="V20" i="8"/>
  <c r="X20" i="8" s="1"/>
  <c r="S20" i="8"/>
  <c r="T20" i="8" s="1"/>
  <c r="P20" i="8"/>
  <c r="Q20" i="8" s="1"/>
  <c r="M20" i="8"/>
  <c r="N20" i="8" s="1"/>
  <c r="L20" i="8"/>
  <c r="V19" i="8"/>
  <c r="X19" i="8" s="1"/>
  <c r="S19" i="8"/>
  <c r="U19" i="8" s="1"/>
  <c r="P19" i="8"/>
  <c r="R19" i="8" s="1"/>
  <c r="M19" i="8"/>
  <c r="O19" i="8" s="1"/>
  <c r="L19" i="8"/>
  <c r="V18" i="8"/>
  <c r="W18" i="8" s="1"/>
  <c r="S18" i="8"/>
  <c r="T18" i="8" s="1"/>
  <c r="P18" i="8"/>
  <c r="R18" i="8" s="1"/>
  <c r="M18" i="8"/>
  <c r="O18" i="8" s="1"/>
  <c r="L18" i="8"/>
  <c r="V17" i="8"/>
  <c r="X17" i="8" s="1"/>
  <c r="S17" i="8"/>
  <c r="U17" i="8" s="1"/>
  <c r="P17" i="8"/>
  <c r="R17" i="8" s="1"/>
  <c r="M17" i="8"/>
  <c r="O17" i="8" s="1"/>
  <c r="L17" i="8"/>
  <c r="V16" i="8"/>
  <c r="X16" i="8" s="1"/>
  <c r="S16" i="8"/>
  <c r="U16" i="8" s="1"/>
  <c r="P16" i="8"/>
  <c r="Q16" i="8" s="1"/>
  <c r="M16" i="8"/>
  <c r="N16" i="8" s="1"/>
  <c r="L16" i="8"/>
  <c r="V15" i="8"/>
  <c r="X15" i="8" s="1"/>
  <c r="S15" i="8"/>
  <c r="U15" i="8" s="1"/>
  <c r="P15" i="8"/>
  <c r="R15" i="8" s="1"/>
  <c r="M15" i="8"/>
  <c r="O15" i="8" s="1"/>
  <c r="L15" i="8"/>
  <c r="V14" i="8"/>
  <c r="X14" i="8" s="1"/>
  <c r="S14" i="8"/>
  <c r="U14" i="8" s="1"/>
  <c r="P14" i="8"/>
  <c r="R14" i="8" s="1"/>
  <c r="M14" i="8"/>
  <c r="O14" i="8" s="1"/>
  <c r="L14" i="8"/>
  <c r="V13" i="8"/>
  <c r="W13" i="8" s="1"/>
  <c r="S13" i="8"/>
  <c r="U13" i="8" s="1"/>
  <c r="P13" i="8"/>
  <c r="R13" i="8" s="1"/>
  <c r="M13" i="8"/>
  <c r="O13" i="8" s="1"/>
  <c r="L13" i="8"/>
  <c r="V12" i="8"/>
  <c r="X12" i="8" s="1"/>
  <c r="S12" i="8"/>
  <c r="T12" i="8" s="1"/>
  <c r="P12" i="8"/>
  <c r="R12" i="8" s="1"/>
  <c r="M12" i="8"/>
  <c r="O12" i="8" s="1"/>
  <c r="L12" i="8"/>
  <c r="V11" i="8"/>
  <c r="W11" i="8" s="1"/>
  <c r="S11" i="8"/>
  <c r="U11" i="8" s="1"/>
  <c r="P11" i="8"/>
  <c r="Q11" i="8" s="1"/>
  <c r="M11" i="8"/>
  <c r="N11" i="8" s="1"/>
  <c r="L11" i="8"/>
  <c r="V10" i="8"/>
  <c r="X10" i="8" s="1"/>
  <c r="S10" i="8"/>
  <c r="U10" i="8" s="1"/>
  <c r="P10" i="8"/>
  <c r="R10" i="8" s="1"/>
  <c r="M10" i="8"/>
  <c r="N10" i="8" s="1"/>
  <c r="L10" i="8"/>
  <c r="V9" i="8"/>
  <c r="X9" i="8" s="1"/>
  <c r="S9" i="8"/>
  <c r="T9" i="8" s="1"/>
  <c r="P9" i="8"/>
  <c r="Q9" i="8" s="1"/>
  <c r="M9" i="8"/>
  <c r="N9" i="8" s="1"/>
  <c r="L9" i="8"/>
  <c r="AN8" i="8"/>
  <c r="AO8" i="8" s="1"/>
  <c r="AL8" i="8"/>
  <c r="AM8" i="8" s="1"/>
  <c r="AJ8" i="8"/>
  <c r="V8" i="8"/>
  <c r="X8" i="8" s="1"/>
  <c r="S8" i="8"/>
  <c r="U8" i="8" s="1"/>
  <c r="P8" i="8"/>
  <c r="R8" i="8" s="1"/>
  <c r="M8" i="8"/>
  <c r="N8" i="8" s="1"/>
  <c r="L8" i="8"/>
  <c r="AN7" i="8"/>
  <c r="AO7" i="8" s="1"/>
  <c r="AL7" i="8"/>
  <c r="AM7" i="8" s="1"/>
  <c r="AJ7" i="8"/>
  <c r="V7" i="8"/>
  <c r="X7" i="8" s="1"/>
  <c r="S7" i="8"/>
  <c r="U7" i="8" s="1"/>
  <c r="P7" i="8"/>
  <c r="R7" i="8" s="1"/>
  <c r="M7" i="8"/>
  <c r="N7" i="8" s="1"/>
  <c r="L7" i="8"/>
  <c r="V6" i="8"/>
  <c r="X6" i="8" s="1"/>
  <c r="S6" i="8"/>
  <c r="U6" i="8" s="1"/>
  <c r="P6" i="8"/>
  <c r="R6" i="8" s="1"/>
  <c r="M6" i="8"/>
  <c r="O6" i="8" s="1"/>
  <c r="L6" i="8"/>
  <c r="V5" i="8"/>
  <c r="X5" i="8" s="1"/>
  <c r="S5" i="8"/>
  <c r="U5" i="8" s="1"/>
  <c r="P5" i="8"/>
  <c r="R5" i="8" s="1"/>
  <c r="M5" i="8"/>
  <c r="O5" i="8" s="1"/>
  <c r="L5" i="8"/>
  <c r="V4" i="8"/>
  <c r="W4" i="8" s="1"/>
  <c r="S4" i="8"/>
  <c r="U4" i="8" s="1"/>
  <c r="P4" i="8"/>
  <c r="R4" i="8" s="1"/>
  <c r="M4" i="8"/>
  <c r="O4" i="8" s="1"/>
  <c r="L4" i="8"/>
  <c r="V3" i="8"/>
  <c r="X3" i="8" s="1"/>
  <c r="S3" i="8"/>
  <c r="U3" i="8" s="1"/>
  <c r="P3" i="8"/>
  <c r="R3" i="8" s="1"/>
  <c r="M3" i="8"/>
  <c r="O3" i="8" s="1"/>
  <c r="L3" i="8"/>
  <c r="AG2" i="8"/>
  <c r="AF2" i="8"/>
  <c r="AE2" i="8"/>
  <c r="AD2" i="8"/>
  <c r="AC2" i="8"/>
  <c r="AB2" i="8"/>
  <c r="AA2" i="8"/>
  <c r="Z2" i="8"/>
  <c r="V2" i="8"/>
  <c r="X2" i="8" s="1"/>
  <c r="S2" i="8"/>
  <c r="U2" i="8" s="1"/>
  <c r="P2" i="8"/>
  <c r="M2" i="8"/>
  <c r="L2" i="8"/>
  <c r="AK1" i="8"/>
  <c r="AJ1" i="8"/>
  <c r="AI1" i="8"/>
  <c r="AH1" i="8"/>
  <c r="W68" i="7"/>
  <c r="V68" i="7"/>
  <c r="X68" i="7" s="1"/>
  <c r="T68" i="7"/>
  <c r="S68" i="7"/>
  <c r="U68" i="7" s="1"/>
  <c r="Q68" i="7"/>
  <c r="P68" i="7"/>
  <c r="R68" i="7" s="1"/>
  <c r="N68" i="7"/>
  <c r="M68" i="7"/>
  <c r="O68" i="7" s="1"/>
  <c r="L68" i="7"/>
  <c r="W67" i="7"/>
  <c r="V67" i="7"/>
  <c r="X67" i="7" s="1"/>
  <c r="T67" i="7"/>
  <c r="S67" i="7"/>
  <c r="U67" i="7" s="1"/>
  <c r="Q67" i="7"/>
  <c r="P67" i="7"/>
  <c r="R67" i="7" s="1"/>
  <c r="N67" i="7"/>
  <c r="M67" i="7"/>
  <c r="O67" i="7" s="1"/>
  <c r="L67" i="7"/>
  <c r="W66" i="7"/>
  <c r="V66" i="7"/>
  <c r="X66" i="7" s="1"/>
  <c r="T66" i="7"/>
  <c r="S66" i="7"/>
  <c r="U66" i="7" s="1"/>
  <c r="Q66" i="7"/>
  <c r="P66" i="7"/>
  <c r="R66" i="7" s="1"/>
  <c r="N66" i="7"/>
  <c r="M66" i="7"/>
  <c r="O66" i="7" s="1"/>
  <c r="L66" i="7"/>
  <c r="W65" i="7"/>
  <c r="V65" i="7"/>
  <c r="X65" i="7" s="1"/>
  <c r="T65" i="7"/>
  <c r="S65" i="7"/>
  <c r="U65" i="7" s="1"/>
  <c r="Q65" i="7"/>
  <c r="P65" i="7"/>
  <c r="R65" i="7" s="1"/>
  <c r="N65" i="7"/>
  <c r="M65" i="7"/>
  <c r="O65" i="7" s="1"/>
  <c r="L65" i="7"/>
  <c r="W64" i="7"/>
  <c r="V64" i="7"/>
  <c r="X64" i="7" s="1"/>
  <c r="T64" i="7"/>
  <c r="S64" i="7"/>
  <c r="U64" i="7" s="1"/>
  <c r="Q64" i="7"/>
  <c r="P64" i="7"/>
  <c r="R64" i="7" s="1"/>
  <c r="N64" i="7"/>
  <c r="M64" i="7"/>
  <c r="O64" i="7" s="1"/>
  <c r="L64" i="7"/>
  <c r="W63" i="7"/>
  <c r="V63" i="7"/>
  <c r="X63" i="7" s="1"/>
  <c r="T63" i="7"/>
  <c r="S63" i="7"/>
  <c r="U63" i="7" s="1"/>
  <c r="Q63" i="7"/>
  <c r="P63" i="7"/>
  <c r="R63" i="7" s="1"/>
  <c r="N63" i="7"/>
  <c r="M63" i="7"/>
  <c r="O63" i="7" s="1"/>
  <c r="L63" i="7"/>
  <c r="W62" i="7"/>
  <c r="V62" i="7"/>
  <c r="X62" i="7" s="1"/>
  <c r="T62" i="7"/>
  <c r="S62" i="7"/>
  <c r="U62" i="7" s="1"/>
  <c r="Q62" i="7"/>
  <c r="P62" i="7"/>
  <c r="R62" i="7" s="1"/>
  <c r="N62" i="7"/>
  <c r="M62" i="7"/>
  <c r="O62" i="7" s="1"/>
  <c r="L62" i="7"/>
  <c r="W61" i="7"/>
  <c r="V61" i="7"/>
  <c r="X61" i="7" s="1"/>
  <c r="T61" i="7"/>
  <c r="S61" i="7"/>
  <c r="U61" i="7" s="1"/>
  <c r="Q61" i="7"/>
  <c r="P61" i="7"/>
  <c r="R61" i="7" s="1"/>
  <c r="N61" i="7"/>
  <c r="M61" i="7"/>
  <c r="O61" i="7" s="1"/>
  <c r="L61" i="7"/>
  <c r="W60" i="7"/>
  <c r="V60" i="7"/>
  <c r="X60" i="7" s="1"/>
  <c r="T60" i="7"/>
  <c r="S60" i="7"/>
  <c r="U60" i="7" s="1"/>
  <c r="Q60" i="7"/>
  <c r="P60" i="7"/>
  <c r="R60" i="7" s="1"/>
  <c r="N60" i="7"/>
  <c r="M60" i="7"/>
  <c r="O60" i="7" s="1"/>
  <c r="L60" i="7"/>
  <c r="W59" i="7"/>
  <c r="V59" i="7"/>
  <c r="X59" i="7" s="1"/>
  <c r="T59" i="7"/>
  <c r="S59" i="7"/>
  <c r="U59" i="7" s="1"/>
  <c r="Q59" i="7"/>
  <c r="P59" i="7"/>
  <c r="R59" i="7" s="1"/>
  <c r="N59" i="7"/>
  <c r="M59" i="7"/>
  <c r="O59" i="7" s="1"/>
  <c r="L59" i="7"/>
  <c r="W58" i="7"/>
  <c r="V58" i="7"/>
  <c r="X58" i="7" s="1"/>
  <c r="T58" i="7"/>
  <c r="S58" i="7"/>
  <c r="U58" i="7" s="1"/>
  <c r="Q58" i="7"/>
  <c r="P58" i="7"/>
  <c r="R58" i="7" s="1"/>
  <c r="N58" i="7"/>
  <c r="M58" i="7"/>
  <c r="O58" i="7" s="1"/>
  <c r="L58" i="7"/>
  <c r="W57" i="7"/>
  <c r="V57" i="7"/>
  <c r="X57" i="7" s="1"/>
  <c r="T57" i="7"/>
  <c r="S57" i="7"/>
  <c r="U57" i="7" s="1"/>
  <c r="Q57" i="7"/>
  <c r="P57" i="7"/>
  <c r="R57" i="7" s="1"/>
  <c r="N57" i="7"/>
  <c r="M57" i="7"/>
  <c r="O57" i="7" s="1"/>
  <c r="L57" i="7"/>
  <c r="W56" i="7"/>
  <c r="V56" i="7"/>
  <c r="X56" i="7" s="1"/>
  <c r="T56" i="7"/>
  <c r="S56" i="7"/>
  <c r="U56" i="7" s="1"/>
  <c r="Q56" i="7"/>
  <c r="P56" i="7"/>
  <c r="R56" i="7" s="1"/>
  <c r="N56" i="7"/>
  <c r="M56" i="7"/>
  <c r="O56" i="7" s="1"/>
  <c r="L56" i="7"/>
  <c r="W55" i="7"/>
  <c r="V55" i="7"/>
  <c r="X55" i="7" s="1"/>
  <c r="T55" i="7"/>
  <c r="S55" i="7"/>
  <c r="U55" i="7" s="1"/>
  <c r="Q55" i="7"/>
  <c r="P55" i="7"/>
  <c r="R55" i="7" s="1"/>
  <c r="N55" i="7"/>
  <c r="M55" i="7"/>
  <c r="O55" i="7" s="1"/>
  <c r="L55" i="7"/>
  <c r="W54" i="7"/>
  <c r="V54" i="7"/>
  <c r="X54" i="7" s="1"/>
  <c r="T54" i="7"/>
  <c r="S54" i="7"/>
  <c r="U54" i="7" s="1"/>
  <c r="Q54" i="7"/>
  <c r="P54" i="7"/>
  <c r="R54" i="7" s="1"/>
  <c r="N54" i="7"/>
  <c r="M54" i="7"/>
  <c r="O54" i="7" s="1"/>
  <c r="L54" i="7"/>
  <c r="W53" i="7"/>
  <c r="V53" i="7"/>
  <c r="X53" i="7" s="1"/>
  <c r="T53" i="7"/>
  <c r="S53" i="7"/>
  <c r="U53" i="7" s="1"/>
  <c r="Q53" i="7"/>
  <c r="P53" i="7"/>
  <c r="R53" i="7" s="1"/>
  <c r="N53" i="7"/>
  <c r="M53" i="7"/>
  <c r="O53" i="7" s="1"/>
  <c r="L53" i="7"/>
  <c r="W52" i="7"/>
  <c r="V52" i="7"/>
  <c r="X52" i="7" s="1"/>
  <c r="T52" i="7"/>
  <c r="S52" i="7"/>
  <c r="U52" i="7" s="1"/>
  <c r="Q52" i="7"/>
  <c r="P52" i="7"/>
  <c r="R52" i="7" s="1"/>
  <c r="N52" i="7"/>
  <c r="M52" i="7"/>
  <c r="O52" i="7" s="1"/>
  <c r="L52" i="7"/>
  <c r="W51" i="7"/>
  <c r="V51" i="7"/>
  <c r="X51" i="7" s="1"/>
  <c r="T51" i="7"/>
  <c r="S51" i="7"/>
  <c r="U51" i="7" s="1"/>
  <c r="Q51" i="7"/>
  <c r="P51" i="7"/>
  <c r="R51" i="7" s="1"/>
  <c r="N51" i="7"/>
  <c r="M51" i="7"/>
  <c r="O51" i="7" s="1"/>
  <c r="L51" i="7"/>
  <c r="W50" i="7"/>
  <c r="V50" i="7"/>
  <c r="X50" i="7" s="1"/>
  <c r="T50" i="7"/>
  <c r="S50" i="7"/>
  <c r="U50" i="7" s="1"/>
  <c r="Q50" i="7"/>
  <c r="P50" i="7"/>
  <c r="R50" i="7" s="1"/>
  <c r="N50" i="7"/>
  <c r="M50" i="7"/>
  <c r="O50" i="7" s="1"/>
  <c r="L50" i="7"/>
  <c r="W49" i="7"/>
  <c r="V49" i="7"/>
  <c r="X49" i="7" s="1"/>
  <c r="T49" i="7"/>
  <c r="S49" i="7"/>
  <c r="U49" i="7" s="1"/>
  <c r="Q49" i="7"/>
  <c r="P49" i="7"/>
  <c r="R49" i="7" s="1"/>
  <c r="N49" i="7"/>
  <c r="M49" i="7"/>
  <c r="O49" i="7" s="1"/>
  <c r="L49" i="7"/>
  <c r="W48" i="7"/>
  <c r="V48" i="7"/>
  <c r="X48" i="7" s="1"/>
  <c r="T48" i="7"/>
  <c r="S48" i="7"/>
  <c r="U48" i="7" s="1"/>
  <c r="Q48" i="7"/>
  <c r="P48" i="7"/>
  <c r="R48" i="7" s="1"/>
  <c r="N48" i="7"/>
  <c r="M48" i="7"/>
  <c r="O48" i="7" s="1"/>
  <c r="L48" i="7"/>
  <c r="AJ47" i="7"/>
  <c r="AI47" i="7"/>
  <c r="AH47" i="7"/>
  <c r="AG47" i="7"/>
  <c r="AF47" i="7"/>
  <c r="W47" i="7"/>
  <c r="V47" i="7"/>
  <c r="X47" i="7" s="1"/>
  <c r="T47" i="7"/>
  <c r="S47" i="7"/>
  <c r="U47" i="7" s="1"/>
  <c r="Q47" i="7"/>
  <c r="P47" i="7"/>
  <c r="R47" i="7" s="1"/>
  <c r="N47" i="7"/>
  <c r="M47" i="7"/>
  <c r="O47" i="7" s="1"/>
  <c r="L47" i="7"/>
  <c r="AJ46" i="7"/>
  <c r="AI46" i="7"/>
  <c r="AH46" i="7"/>
  <c r="AG46" i="7"/>
  <c r="AF46" i="7"/>
  <c r="W46" i="7"/>
  <c r="V46" i="7"/>
  <c r="X46" i="7" s="1"/>
  <c r="T46" i="7"/>
  <c r="S46" i="7"/>
  <c r="U46" i="7" s="1"/>
  <c r="Q46" i="7"/>
  <c r="P46" i="7"/>
  <c r="R46" i="7" s="1"/>
  <c r="N46" i="7"/>
  <c r="M46" i="7"/>
  <c r="O46" i="7" s="1"/>
  <c r="L46" i="7"/>
  <c r="W45" i="7"/>
  <c r="V45" i="7"/>
  <c r="X45" i="7" s="1"/>
  <c r="T45" i="7"/>
  <c r="S45" i="7"/>
  <c r="U45" i="7" s="1"/>
  <c r="Q45" i="7"/>
  <c r="P45" i="7"/>
  <c r="R45" i="7" s="1"/>
  <c r="N45" i="7"/>
  <c r="M45" i="7"/>
  <c r="O45" i="7" s="1"/>
  <c r="L45" i="7"/>
  <c r="W44" i="7"/>
  <c r="V44" i="7"/>
  <c r="X44" i="7" s="1"/>
  <c r="T44" i="7"/>
  <c r="S44" i="7"/>
  <c r="U44" i="7" s="1"/>
  <c r="Q44" i="7"/>
  <c r="P44" i="7"/>
  <c r="R44" i="7" s="1"/>
  <c r="N44" i="7"/>
  <c r="M44" i="7"/>
  <c r="O44" i="7" s="1"/>
  <c r="L44" i="7"/>
  <c r="AJ43" i="7"/>
  <c r="AI43" i="7"/>
  <c r="AH43" i="7"/>
  <c r="AG43" i="7"/>
  <c r="AF43" i="7"/>
  <c r="AD43" i="7"/>
  <c r="AD54" i="7" s="1"/>
  <c r="AC43" i="7"/>
  <c r="AC54" i="7" s="1"/>
  <c r="AB43" i="7"/>
  <c r="AB54" i="7" s="1"/>
  <c r="AA43" i="7"/>
  <c r="AA54" i="7" s="1"/>
  <c r="W43" i="7"/>
  <c r="V43" i="7"/>
  <c r="X43" i="7" s="1"/>
  <c r="T43" i="7"/>
  <c r="S43" i="7"/>
  <c r="U43" i="7" s="1"/>
  <c r="Q43" i="7"/>
  <c r="P43" i="7"/>
  <c r="R43" i="7" s="1"/>
  <c r="N43" i="7"/>
  <c r="M43" i="7"/>
  <c r="O43" i="7" s="1"/>
  <c r="L43" i="7"/>
  <c r="AJ42" i="7"/>
  <c r="AI42" i="7"/>
  <c r="AH42" i="7"/>
  <c r="AG42" i="7"/>
  <c r="AF42" i="7"/>
  <c r="AD42" i="7"/>
  <c r="AD53" i="7" s="1"/>
  <c r="AC42" i="7"/>
  <c r="AC53" i="7" s="1"/>
  <c r="AB42" i="7"/>
  <c r="AB53" i="7" s="1"/>
  <c r="AA42" i="7"/>
  <c r="W42" i="7"/>
  <c r="V42" i="7"/>
  <c r="X42" i="7" s="1"/>
  <c r="T42" i="7"/>
  <c r="S42" i="7"/>
  <c r="U42" i="7" s="1"/>
  <c r="Q42" i="7"/>
  <c r="P42" i="7"/>
  <c r="R42" i="7" s="1"/>
  <c r="N42" i="7"/>
  <c r="M42" i="7"/>
  <c r="O42" i="7" s="1"/>
  <c r="L42" i="7"/>
  <c r="AJ41" i="7"/>
  <c r="AI41" i="7"/>
  <c r="AH41" i="7"/>
  <c r="AG41" i="7"/>
  <c r="AF41" i="7"/>
  <c r="W41" i="7"/>
  <c r="V41" i="7"/>
  <c r="X41" i="7" s="1"/>
  <c r="T41" i="7"/>
  <c r="S41" i="7"/>
  <c r="U41" i="7" s="1"/>
  <c r="Q41" i="7"/>
  <c r="P41" i="7"/>
  <c r="R41" i="7" s="1"/>
  <c r="N41" i="7"/>
  <c r="M41" i="7"/>
  <c r="O41" i="7" s="1"/>
  <c r="L41" i="7"/>
  <c r="W40" i="7"/>
  <c r="V40" i="7"/>
  <c r="X40" i="7" s="1"/>
  <c r="T40" i="7"/>
  <c r="S40" i="7"/>
  <c r="U40" i="7" s="1"/>
  <c r="Q40" i="7"/>
  <c r="P40" i="7"/>
  <c r="R40" i="7" s="1"/>
  <c r="N40" i="7"/>
  <c r="M40" i="7"/>
  <c r="O40" i="7" s="1"/>
  <c r="L40" i="7"/>
  <c r="W39" i="7"/>
  <c r="V39" i="7"/>
  <c r="X39" i="7" s="1"/>
  <c r="T39" i="7"/>
  <c r="S39" i="7"/>
  <c r="U39" i="7" s="1"/>
  <c r="Q39" i="7"/>
  <c r="P39" i="7"/>
  <c r="R39" i="7" s="1"/>
  <c r="N39" i="7"/>
  <c r="M39" i="7"/>
  <c r="O39" i="7" s="1"/>
  <c r="L39" i="7"/>
  <c r="W38" i="7"/>
  <c r="V38" i="7"/>
  <c r="X38" i="7" s="1"/>
  <c r="T38" i="7"/>
  <c r="S38" i="7"/>
  <c r="U38" i="7" s="1"/>
  <c r="Q38" i="7"/>
  <c r="P38" i="7"/>
  <c r="R38" i="7" s="1"/>
  <c r="N38" i="7"/>
  <c r="M38" i="7"/>
  <c r="O38" i="7" s="1"/>
  <c r="L38" i="7"/>
  <c r="V37" i="7"/>
  <c r="X37" i="7" s="1"/>
  <c r="S37" i="7"/>
  <c r="T37" i="7" s="1"/>
  <c r="P37" i="7"/>
  <c r="Q37" i="7" s="1"/>
  <c r="M37" i="7"/>
  <c r="O37" i="7" s="1"/>
  <c r="L37" i="7"/>
  <c r="W36" i="7"/>
  <c r="V36" i="7"/>
  <c r="X36" i="7" s="1"/>
  <c r="T36" i="7"/>
  <c r="S36" i="7"/>
  <c r="U36" i="7" s="1"/>
  <c r="Q36" i="7"/>
  <c r="P36" i="7"/>
  <c r="R36" i="7" s="1"/>
  <c r="N36" i="7"/>
  <c r="M36" i="7"/>
  <c r="O36" i="7" s="1"/>
  <c r="L36" i="7"/>
  <c r="W35" i="7"/>
  <c r="V35" i="7"/>
  <c r="X35" i="7" s="1"/>
  <c r="T35" i="7"/>
  <c r="S35" i="7"/>
  <c r="U35" i="7" s="1"/>
  <c r="Q35" i="7"/>
  <c r="P35" i="7"/>
  <c r="R35" i="7" s="1"/>
  <c r="N35" i="7"/>
  <c r="M35" i="7"/>
  <c r="O35" i="7" s="1"/>
  <c r="L35" i="7"/>
  <c r="W34" i="7"/>
  <c r="V34" i="7"/>
  <c r="X34" i="7" s="1"/>
  <c r="T34" i="7"/>
  <c r="S34" i="7"/>
  <c r="U34" i="7" s="1"/>
  <c r="Q34" i="7"/>
  <c r="P34" i="7"/>
  <c r="R34" i="7" s="1"/>
  <c r="N34" i="7"/>
  <c r="M34" i="7"/>
  <c r="O34" i="7" s="1"/>
  <c r="L34" i="7"/>
  <c r="W33" i="7"/>
  <c r="V33" i="7"/>
  <c r="X33" i="7" s="1"/>
  <c r="T33" i="7"/>
  <c r="S33" i="7"/>
  <c r="U33" i="7" s="1"/>
  <c r="Q33" i="7"/>
  <c r="P33" i="7"/>
  <c r="R33" i="7" s="1"/>
  <c r="N33" i="7"/>
  <c r="M33" i="7"/>
  <c r="O33" i="7" s="1"/>
  <c r="L33" i="7"/>
  <c r="V32" i="7"/>
  <c r="X32" i="7" s="1"/>
  <c r="S32" i="7"/>
  <c r="T32" i="7" s="1"/>
  <c r="P32" i="7"/>
  <c r="R32" i="7" s="1"/>
  <c r="M32" i="7"/>
  <c r="O32" i="7" s="1"/>
  <c r="L32" i="7"/>
  <c r="W31" i="7"/>
  <c r="V31" i="7"/>
  <c r="X31" i="7" s="1"/>
  <c r="T31" i="7"/>
  <c r="S31" i="7"/>
  <c r="U31" i="7" s="1"/>
  <c r="Q31" i="7"/>
  <c r="P31" i="7"/>
  <c r="R31" i="7" s="1"/>
  <c r="N31" i="7"/>
  <c r="M31" i="7"/>
  <c r="O31" i="7" s="1"/>
  <c r="L31" i="7"/>
  <c r="V30" i="7"/>
  <c r="X30" i="7" s="1"/>
  <c r="S30" i="7"/>
  <c r="T30" i="7" s="1"/>
  <c r="P30" i="7"/>
  <c r="R30" i="7" s="1"/>
  <c r="M30" i="7"/>
  <c r="O30" i="7" s="1"/>
  <c r="L30" i="7"/>
  <c r="V29" i="7"/>
  <c r="X29" i="7" s="1"/>
  <c r="S29" i="7"/>
  <c r="U29" i="7" s="1"/>
  <c r="P29" i="7"/>
  <c r="R29" i="7" s="1"/>
  <c r="M29" i="7"/>
  <c r="O29" i="7" s="1"/>
  <c r="L29" i="7"/>
  <c r="V28" i="7"/>
  <c r="W28" i="7" s="1"/>
  <c r="S28" i="7"/>
  <c r="U28" i="7" s="1"/>
  <c r="P28" i="7"/>
  <c r="R28" i="7" s="1"/>
  <c r="M28" i="7"/>
  <c r="O28" i="7" s="1"/>
  <c r="L28" i="7"/>
  <c r="V27" i="7"/>
  <c r="X27" i="7" s="1"/>
  <c r="S27" i="7"/>
  <c r="U27" i="7" s="1"/>
  <c r="P27" i="7"/>
  <c r="R27" i="7" s="1"/>
  <c r="M27" i="7"/>
  <c r="O27" i="7" s="1"/>
  <c r="L27" i="7"/>
  <c r="V26" i="7"/>
  <c r="X26" i="7" s="1"/>
  <c r="S26" i="7"/>
  <c r="U26" i="7" s="1"/>
  <c r="P26" i="7"/>
  <c r="R26" i="7" s="1"/>
  <c r="M26" i="7"/>
  <c r="O26" i="7" s="1"/>
  <c r="L26" i="7"/>
  <c r="W25" i="7"/>
  <c r="V25" i="7"/>
  <c r="X25" i="7" s="1"/>
  <c r="T25" i="7"/>
  <c r="S25" i="7"/>
  <c r="U25" i="7" s="1"/>
  <c r="Q25" i="7"/>
  <c r="P25" i="7"/>
  <c r="R25" i="7" s="1"/>
  <c r="N25" i="7"/>
  <c r="M25" i="7"/>
  <c r="O25" i="7" s="1"/>
  <c r="L25" i="7"/>
  <c r="W24" i="7"/>
  <c r="V24" i="7"/>
  <c r="X24" i="7" s="1"/>
  <c r="T24" i="7"/>
  <c r="S24" i="7"/>
  <c r="U24" i="7" s="1"/>
  <c r="Q24" i="7"/>
  <c r="P24" i="7"/>
  <c r="R24" i="7" s="1"/>
  <c r="N24" i="7"/>
  <c r="M24" i="7"/>
  <c r="O24" i="7" s="1"/>
  <c r="L24" i="7"/>
  <c r="W23" i="7"/>
  <c r="V23" i="7"/>
  <c r="X23" i="7" s="1"/>
  <c r="T23" i="7"/>
  <c r="S23" i="7"/>
  <c r="U23" i="7" s="1"/>
  <c r="Q23" i="7"/>
  <c r="P23" i="7"/>
  <c r="R23" i="7" s="1"/>
  <c r="N23" i="7"/>
  <c r="M23" i="7"/>
  <c r="O23" i="7" s="1"/>
  <c r="L23" i="7"/>
  <c r="W22" i="7"/>
  <c r="V22" i="7"/>
  <c r="X22" i="7" s="1"/>
  <c r="T22" i="7"/>
  <c r="S22" i="7"/>
  <c r="U22" i="7" s="1"/>
  <c r="Q22" i="7"/>
  <c r="P22" i="7"/>
  <c r="R22" i="7" s="1"/>
  <c r="N22" i="7"/>
  <c r="M22" i="7"/>
  <c r="O22" i="7" s="1"/>
  <c r="L22" i="7"/>
  <c r="W21" i="7"/>
  <c r="V21" i="7"/>
  <c r="X21" i="7" s="1"/>
  <c r="T21" i="7"/>
  <c r="S21" i="7"/>
  <c r="U21" i="7" s="1"/>
  <c r="Q21" i="7"/>
  <c r="P21" i="7"/>
  <c r="R21" i="7" s="1"/>
  <c r="N21" i="7"/>
  <c r="M21" i="7"/>
  <c r="O21" i="7" s="1"/>
  <c r="L21" i="7"/>
  <c r="W20" i="7"/>
  <c r="V20" i="7"/>
  <c r="X20" i="7" s="1"/>
  <c r="T20" i="7"/>
  <c r="S20" i="7"/>
  <c r="U20" i="7" s="1"/>
  <c r="Q20" i="7"/>
  <c r="P20" i="7"/>
  <c r="R20" i="7" s="1"/>
  <c r="N20" i="7"/>
  <c r="M20" i="7"/>
  <c r="O20" i="7" s="1"/>
  <c r="L20" i="7"/>
  <c r="W19" i="7"/>
  <c r="V19" i="7"/>
  <c r="X19" i="7" s="1"/>
  <c r="T19" i="7"/>
  <c r="S19" i="7"/>
  <c r="U19" i="7" s="1"/>
  <c r="Q19" i="7"/>
  <c r="P19" i="7"/>
  <c r="R19" i="7" s="1"/>
  <c r="N19" i="7"/>
  <c r="M19" i="7"/>
  <c r="O19" i="7" s="1"/>
  <c r="L19" i="7"/>
  <c r="W18" i="7"/>
  <c r="V18" i="7"/>
  <c r="X18" i="7" s="1"/>
  <c r="T18" i="7"/>
  <c r="S18" i="7"/>
  <c r="U18" i="7" s="1"/>
  <c r="Q18" i="7"/>
  <c r="P18" i="7"/>
  <c r="R18" i="7" s="1"/>
  <c r="N18" i="7"/>
  <c r="M18" i="7"/>
  <c r="O18" i="7" s="1"/>
  <c r="L18" i="7"/>
  <c r="W17" i="7"/>
  <c r="V17" i="7"/>
  <c r="X17" i="7" s="1"/>
  <c r="T17" i="7"/>
  <c r="S17" i="7"/>
  <c r="U17" i="7" s="1"/>
  <c r="Q17" i="7"/>
  <c r="P17" i="7"/>
  <c r="R17" i="7" s="1"/>
  <c r="N17" i="7"/>
  <c r="M17" i="7"/>
  <c r="O17" i="7" s="1"/>
  <c r="L17" i="7"/>
  <c r="W16" i="7"/>
  <c r="V16" i="7"/>
  <c r="X16" i="7" s="1"/>
  <c r="T16" i="7"/>
  <c r="S16" i="7"/>
  <c r="U16" i="7" s="1"/>
  <c r="Q16" i="7"/>
  <c r="P16" i="7"/>
  <c r="R16" i="7" s="1"/>
  <c r="N16" i="7"/>
  <c r="M16" i="7"/>
  <c r="O16" i="7" s="1"/>
  <c r="L16" i="7"/>
  <c r="W15" i="7"/>
  <c r="V15" i="7"/>
  <c r="X15" i="7" s="1"/>
  <c r="T15" i="7"/>
  <c r="S15" i="7"/>
  <c r="U15" i="7" s="1"/>
  <c r="Q15" i="7"/>
  <c r="P15" i="7"/>
  <c r="R15" i="7" s="1"/>
  <c r="N15" i="7"/>
  <c r="M15" i="7"/>
  <c r="O15" i="7" s="1"/>
  <c r="L15" i="7"/>
  <c r="W14" i="7"/>
  <c r="V14" i="7"/>
  <c r="X14" i="7" s="1"/>
  <c r="T14" i="7"/>
  <c r="S14" i="7"/>
  <c r="U14" i="7" s="1"/>
  <c r="Q14" i="7"/>
  <c r="P14" i="7"/>
  <c r="R14" i="7" s="1"/>
  <c r="N14" i="7"/>
  <c r="M14" i="7"/>
  <c r="O14" i="7" s="1"/>
  <c r="L14" i="7"/>
  <c r="V13" i="7"/>
  <c r="X13" i="7" s="1"/>
  <c r="S13" i="7"/>
  <c r="U13" i="7" s="1"/>
  <c r="P13" i="7"/>
  <c r="R13" i="7" s="1"/>
  <c r="M13" i="7"/>
  <c r="O13" i="7" s="1"/>
  <c r="L13" i="7"/>
  <c r="W12" i="7"/>
  <c r="V12" i="7"/>
  <c r="X12" i="7" s="1"/>
  <c r="T12" i="7"/>
  <c r="S12" i="7"/>
  <c r="U12" i="7" s="1"/>
  <c r="Q12" i="7"/>
  <c r="P12" i="7"/>
  <c r="R12" i="7" s="1"/>
  <c r="N12" i="7"/>
  <c r="M12" i="7"/>
  <c r="O12" i="7" s="1"/>
  <c r="L12" i="7"/>
  <c r="W11" i="7"/>
  <c r="V11" i="7"/>
  <c r="X11" i="7" s="1"/>
  <c r="T11" i="7"/>
  <c r="S11" i="7"/>
  <c r="U11" i="7" s="1"/>
  <c r="Q11" i="7"/>
  <c r="P11" i="7"/>
  <c r="R11" i="7" s="1"/>
  <c r="N11" i="7"/>
  <c r="M11" i="7"/>
  <c r="O11" i="7" s="1"/>
  <c r="L11" i="7"/>
  <c r="W10" i="7"/>
  <c r="V10" i="7"/>
  <c r="X10" i="7" s="1"/>
  <c r="T10" i="7"/>
  <c r="S10" i="7"/>
  <c r="U10" i="7" s="1"/>
  <c r="Q10" i="7"/>
  <c r="P10" i="7"/>
  <c r="R10" i="7" s="1"/>
  <c r="N10" i="7"/>
  <c r="M10" i="7"/>
  <c r="O10" i="7" s="1"/>
  <c r="L10" i="7"/>
  <c r="W9" i="7"/>
  <c r="V9" i="7"/>
  <c r="X9" i="7" s="1"/>
  <c r="T9" i="7"/>
  <c r="S9" i="7"/>
  <c r="U9" i="7" s="1"/>
  <c r="Q9" i="7"/>
  <c r="P9" i="7"/>
  <c r="R9" i="7" s="1"/>
  <c r="N9" i="7"/>
  <c r="M9" i="7"/>
  <c r="O9" i="7" s="1"/>
  <c r="L9" i="7"/>
  <c r="AN8" i="7"/>
  <c r="AO8" i="7" s="1"/>
  <c r="AL8" i="7"/>
  <c r="AM8" i="7" s="1"/>
  <c r="AJ8" i="7"/>
  <c r="V8" i="7"/>
  <c r="X8" i="7" s="1"/>
  <c r="S8" i="7"/>
  <c r="U8" i="7" s="1"/>
  <c r="P8" i="7"/>
  <c r="R8" i="7" s="1"/>
  <c r="M8" i="7"/>
  <c r="N8" i="7" s="1"/>
  <c r="L8" i="7"/>
  <c r="AN7" i="7"/>
  <c r="AO7" i="7" s="1"/>
  <c r="AL7" i="7"/>
  <c r="AM7" i="7" s="1"/>
  <c r="AJ7" i="7"/>
  <c r="AK7" i="7" s="1"/>
  <c r="W7" i="7"/>
  <c r="V7" i="7"/>
  <c r="X7" i="7" s="1"/>
  <c r="T7" i="7"/>
  <c r="S7" i="7"/>
  <c r="U7" i="7" s="1"/>
  <c r="Q7" i="7"/>
  <c r="P7" i="7"/>
  <c r="R7" i="7" s="1"/>
  <c r="N7" i="7"/>
  <c r="M7" i="7"/>
  <c r="O7" i="7" s="1"/>
  <c r="L7" i="7"/>
  <c r="V6" i="7"/>
  <c r="X6" i="7" s="1"/>
  <c r="S6" i="7"/>
  <c r="U6" i="7" s="1"/>
  <c r="P6" i="7"/>
  <c r="R6" i="7" s="1"/>
  <c r="M6" i="7"/>
  <c r="O6" i="7" s="1"/>
  <c r="L6" i="7"/>
  <c r="V5" i="7"/>
  <c r="X5" i="7" s="1"/>
  <c r="S5" i="7"/>
  <c r="U5" i="7" s="1"/>
  <c r="P5" i="7"/>
  <c r="R5" i="7" s="1"/>
  <c r="M5" i="7"/>
  <c r="O5" i="7" s="1"/>
  <c r="L5" i="7"/>
  <c r="V4" i="7"/>
  <c r="X4" i="7" s="1"/>
  <c r="S4" i="7"/>
  <c r="U4" i="7" s="1"/>
  <c r="P4" i="7"/>
  <c r="Q4" i="7" s="1"/>
  <c r="M4" i="7"/>
  <c r="O4" i="7" s="1"/>
  <c r="L4" i="7"/>
  <c r="V3" i="7"/>
  <c r="S3" i="7"/>
  <c r="U3" i="7" s="1"/>
  <c r="P3" i="7"/>
  <c r="Q3" i="7" s="1"/>
  <c r="M3" i="7"/>
  <c r="O3" i="7" s="1"/>
  <c r="L3" i="7"/>
  <c r="AG2" i="7"/>
  <c r="AF2" i="7"/>
  <c r="AE2" i="7"/>
  <c r="AD2" i="7"/>
  <c r="AC2" i="7"/>
  <c r="AB2" i="7"/>
  <c r="AA2" i="7"/>
  <c r="Z2" i="7"/>
  <c r="V2" i="7"/>
  <c r="W2" i="7" s="1"/>
  <c r="S2" i="7"/>
  <c r="U2" i="7" s="1"/>
  <c r="P2" i="7"/>
  <c r="M2" i="7"/>
  <c r="N2" i="7" s="1"/>
  <c r="L2" i="7"/>
  <c r="AK1" i="7"/>
  <c r="AJ1" i="7"/>
  <c r="AI1" i="7"/>
  <c r="AH1" i="7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AD47" i="6"/>
  <c r="AC47" i="6"/>
  <c r="AB47" i="6"/>
  <c r="AA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AD46" i="6"/>
  <c r="AC46" i="6"/>
  <c r="AB46" i="6"/>
  <c r="AA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AD43" i="6"/>
  <c r="AC43" i="6"/>
  <c r="AB43" i="6"/>
  <c r="AA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AD42" i="6"/>
  <c r="AC42" i="6"/>
  <c r="AB42" i="6"/>
  <c r="AA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Z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Z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Z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Z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Z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Z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AD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AH18" i="6"/>
  <c r="AG18" i="6"/>
  <c r="AF18" i="6"/>
  <c r="AE18" i="6"/>
  <c r="AD18" i="6"/>
  <c r="AC18" i="6"/>
  <c r="AB18" i="6"/>
  <c r="AA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AH17" i="6"/>
  <c r="AG17" i="6"/>
  <c r="AF17" i="6"/>
  <c r="AE17" i="6"/>
  <c r="AD17" i="6"/>
  <c r="AC17" i="6"/>
  <c r="AB17" i="6"/>
  <c r="AA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AH16" i="6"/>
  <c r="AG16" i="6"/>
  <c r="AF16" i="6"/>
  <c r="AE16" i="6"/>
  <c r="AD16" i="6"/>
  <c r="AC16" i="6"/>
  <c r="AB16" i="6"/>
  <c r="AA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AH15" i="6"/>
  <c r="AG15" i="6"/>
  <c r="AF15" i="6"/>
  <c r="AE15" i="6"/>
  <c r="AD15" i="6"/>
  <c r="AC15" i="6"/>
  <c r="AB15" i="6"/>
  <c r="AA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AH14" i="6"/>
  <c r="AG14" i="6"/>
  <c r="AF14" i="6"/>
  <c r="AE14" i="6"/>
  <c r="AD14" i="6"/>
  <c r="AC14" i="6"/>
  <c r="AB14" i="6"/>
  <c r="AA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AH11" i="6"/>
  <c r="AG11" i="6"/>
  <c r="AF11" i="6"/>
  <c r="AE11" i="6"/>
  <c r="AD11" i="6"/>
  <c r="AC11" i="6"/>
  <c r="AB11" i="6"/>
  <c r="AA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AH10" i="6"/>
  <c r="AG10" i="6"/>
  <c r="AF10" i="6"/>
  <c r="AE10" i="6"/>
  <c r="AD10" i="6"/>
  <c r="AC10" i="6"/>
  <c r="AB10" i="6"/>
  <c r="AA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AH9" i="6"/>
  <c r="AG9" i="6"/>
  <c r="AF9" i="6"/>
  <c r="AE9" i="6"/>
  <c r="AD9" i="6"/>
  <c r="AC9" i="6"/>
  <c r="AB9" i="6"/>
  <c r="AA9" i="6"/>
  <c r="X9" i="6"/>
  <c r="W9" i="6"/>
  <c r="V9" i="6"/>
  <c r="U9" i="6"/>
  <c r="T9" i="6"/>
  <c r="S9" i="6"/>
  <c r="R9" i="6"/>
  <c r="Q9" i="6"/>
  <c r="P9" i="6"/>
  <c r="O9" i="6"/>
  <c r="N9" i="6"/>
  <c r="M9" i="6"/>
  <c r="L9" i="6"/>
  <c r="AQ8" i="6"/>
  <c r="AP8" i="6"/>
  <c r="AO8" i="6"/>
  <c r="AN8" i="6"/>
  <c r="AM8" i="6"/>
  <c r="AL8" i="6"/>
  <c r="AK8" i="6"/>
  <c r="AJ8" i="6"/>
  <c r="AH8" i="6"/>
  <c r="AG8" i="6"/>
  <c r="AF8" i="6"/>
  <c r="AE8" i="6"/>
  <c r="AD8" i="6"/>
  <c r="AC8" i="6"/>
  <c r="AB8" i="6"/>
  <c r="AA8" i="6"/>
  <c r="X8" i="6"/>
  <c r="W8" i="6"/>
  <c r="V8" i="6"/>
  <c r="U8" i="6"/>
  <c r="T8" i="6"/>
  <c r="S8" i="6"/>
  <c r="R8" i="6"/>
  <c r="Q8" i="6"/>
  <c r="P8" i="6"/>
  <c r="O8" i="6"/>
  <c r="N8" i="6"/>
  <c r="M8" i="6"/>
  <c r="L8" i="6"/>
  <c r="AQ7" i="6"/>
  <c r="AP7" i="6"/>
  <c r="AO7" i="6"/>
  <c r="AN7" i="6"/>
  <c r="AM7" i="6"/>
  <c r="AL7" i="6"/>
  <c r="AK7" i="6"/>
  <c r="AJ7" i="6"/>
  <c r="AH7" i="6"/>
  <c r="AG7" i="6"/>
  <c r="AF7" i="6"/>
  <c r="AE7" i="6"/>
  <c r="AD7" i="6"/>
  <c r="AC7" i="6"/>
  <c r="AB7" i="6"/>
  <c r="AA7" i="6"/>
  <c r="X7" i="6"/>
  <c r="W7" i="6"/>
  <c r="V7" i="6"/>
  <c r="U7" i="6"/>
  <c r="T7" i="6"/>
  <c r="S7" i="6"/>
  <c r="R7" i="6"/>
  <c r="Q7" i="6"/>
  <c r="P7" i="6"/>
  <c r="O7" i="6"/>
  <c r="N7" i="6"/>
  <c r="M7" i="6"/>
  <c r="L7" i="6"/>
  <c r="X6" i="6"/>
  <c r="W6" i="6"/>
  <c r="V6" i="6"/>
  <c r="U6" i="6"/>
  <c r="T6" i="6"/>
  <c r="S6" i="6"/>
  <c r="R6" i="6"/>
  <c r="Q6" i="6"/>
  <c r="P6" i="6"/>
  <c r="O6" i="6"/>
  <c r="N6" i="6"/>
  <c r="M6" i="6"/>
  <c r="L6" i="6"/>
  <c r="X5" i="6"/>
  <c r="W5" i="6"/>
  <c r="V5" i="6"/>
  <c r="U5" i="6"/>
  <c r="T5" i="6"/>
  <c r="S5" i="6"/>
  <c r="R5" i="6"/>
  <c r="Q5" i="6"/>
  <c r="P5" i="6"/>
  <c r="O5" i="6"/>
  <c r="N5" i="6"/>
  <c r="M5" i="6"/>
  <c r="L5" i="6"/>
  <c r="X4" i="6"/>
  <c r="W4" i="6"/>
  <c r="V4" i="6"/>
  <c r="U4" i="6"/>
  <c r="T4" i="6"/>
  <c r="S4" i="6"/>
  <c r="R4" i="6"/>
  <c r="Q4" i="6"/>
  <c r="P4" i="6"/>
  <c r="O4" i="6"/>
  <c r="N4" i="6"/>
  <c r="M4" i="6"/>
  <c r="L4" i="6"/>
  <c r="X3" i="6"/>
  <c r="W3" i="6"/>
  <c r="V3" i="6"/>
  <c r="U3" i="6"/>
  <c r="T3" i="6"/>
  <c r="S3" i="6"/>
  <c r="R3" i="6"/>
  <c r="Q3" i="6"/>
  <c r="P3" i="6"/>
  <c r="O3" i="6"/>
  <c r="N3" i="6"/>
  <c r="M3" i="6"/>
  <c r="L3" i="6"/>
  <c r="AK2" i="6"/>
  <c r="AJ2" i="6"/>
  <c r="AI2" i="6"/>
  <c r="AH2" i="6"/>
  <c r="AG2" i="6"/>
  <c r="AF2" i="6"/>
  <c r="AE2" i="6"/>
  <c r="AD2" i="6"/>
  <c r="AC2" i="6"/>
  <c r="AB2" i="6"/>
  <c r="AA2" i="6"/>
  <c r="Z2" i="6"/>
  <c r="X2" i="6"/>
  <c r="W2" i="6"/>
  <c r="V2" i="6"/>
  <c r="U2" i="6"/>
  <c r="T2" i="6"/>
  <c r="S2" i="6"/>
  <c r="R2" i="6"/>
  <c r="Q2" i="6"/>
  <c r="P2" i="6"/>
  <c r="O2" i="6"/>
  <c r="N2" i="6"/>
  <c r="M2" i="6"/>
  <c r="L2" i="6"/>
  <c r="AK1" i="6"/>
  <c r="AJ1" i="6"/>
  <c r="AI1" i="6"/>
  <c r="AH1" i="6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AD47" i="5"/>
  <c r="AC47" i="5"/>
  <c r="AB47" i="5"/>
  <c r="AA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AD46" i="5"/>
  <c r="AC46" i="5"/>
  <c r="AB46" i="5"/>
  <c r="AA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AD43" i="5"/>
  <c r="AC43" i="5"/>
  <c r="AB43" i="5"/>
  <c r="AA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AD42" i="5"/>
  <c r="AC42" i="5"/>
  <c r="AB42" i="5"/>
  <c r="AA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Z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Z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Z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Z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Z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Z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AD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AH18" i="5"/>
  <c r="AG18" i="5"/>
  <c r="AF18" i="5"/>
  <c r="AE18" i="5"/>
  <c r="AD18" i="5"/>
  <c r="AC18" i="5"/>
  <c r="AB18" i="5"/>
  <c r="AA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AH17" i="5"/>
  <c r="AG17" i="5"/>
  <c r="AF17" i="5"/>
  <c r="AE17" i="5"/>
  <c r="AD17" i="5"/>
  <c r="AC17" i="5"/>
  <c r="AB17" i="5"/>
  <c r="AA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AH16" i="5"/>
  <c r="AG16" i="5"/>
  <c r="AF16" i="5"/>
  <c r="AE16" i="5"/>
  <c r="AD16" i="5"/>
  <c r="AC16" i="5"/>
  <c r="AB16" i="5"/>
  <c r="AA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AH15" i="5"/>
  <c r="AG15" i="5"/>
  <c r="AF15" i="5"/>
  <c r="AE15" i="5"/>
  <c r="AD15" i="5"/>
  <c r="AC15" i="5"/>
  <c r="AB15" i="5"/>
  <c r="AA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AH14" i="5"/>
  <c r="AG14" i="5"/>
  <c r="AF14" i="5"/>
  <c r="AE14" i="5"/>
  <c r="AD14" i="5"/>
  <c r="AC14" i="5"/>
  <c r="AB14" i="5"/>
  <c r="AA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AH11" i="5"/>
  <c r="AG11" i="5"/>
  <c r="AF11" i="5"/>
  <c r="AE11" i="5"/>
  <c r="AD11" i="5"/>
  <c r="AC11" i="5"/>
  <c r="AB11" i="5"/>
  <c r="AA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AH10" i="5"/>
  <c r="AG10" i="5"/>
  <c r="AF10" i="5"/>
  <c r="AE10" i="5"/>
  <c r="AD10" i="5"/>
  <c r="AC10" i="5"/>
  <c r="AB10" i="5"/>
  <c r="AA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AH9" i="5"/>
  <c r="AG9" i="5"/>
  <c r="AF9" i="5"/>
  <c r="AE9" i="5"/>
  <c r="AD9" i="5"/>
  <c r="AC9" i="5"/>
  <c r="AB9" i="5"/>
  <c r="AA9" i="5"/>
  <c r="X9" i="5"/>
  <c r="W9" i="5"/>
  <c r="V9" i="5"/>
  <c r="U9" i="5"/>
  <c r="T9" i="5"/>
  <c r="S9" i="5"/>
  <c r="R9" i="5"/>
  <c r="Q9" i="5"/>
  <c r="P9" i="5"/>
  <c r="O9" i="5"/>
  <c r="N9" i="5"/>
  <c r="M9" i="5"/>
  <c r="L9" i="5"/>
  <c r="AQ8" i="5"/>
  <c r="AP8" i="5"/>
  <c r="AO8" i="5"/>
  <c r="AN8" i="5"/>
  <c r="AM8" i="5"/>
  <c r="AL8" i="5"/>
  <c r="AK8" i="5"/>
  <c r="AJ8" i="5"/>
  <c r="AH8" i="5"/>
  <c r="AG8" i="5"/>
  <c r="AF8" i="5"/>
  <c r="AE8" i="5"/>
  <c r="AD8" i="5"/>
  <c r="AC8" i="5"/>
  <c r="AB8" i="5"/>
  <c r="AA8" i="5"/>
  <c r="X8" i="5"/>
  <c r="W8" i="5"/>
  <c r="V8" i="5"/>
  <c r="U8" i="5"/>
  <c r="T8" i="5"/>
  <c r="S8" i="5"/>
  <c r="R8" i="5"/>
  <c r="Q8" i="5"/>
  <c r="P8" i="5"/>
  <c r="O8" i="5"/>
  <c r="N8" i="5"/>
  <c r="M8" i="5"/>
  <c r="L8" i="5"/>
  <c r="AQ7" i="5"/>
  <c r="AP7" i="5"/>
  <c r="AO7" i="5"/>
  <c r="AN7" i="5"/>
  <c r="AM7" i="5"/>
  <c r="AL7" i="5"/>
  <c r="AK7" i="5"/>
  <c r="AJ7" i="5"/>
  <c r="AH7" i="5"/>
  <c r="AG7" i="5"/>
  <c r="AF7" i="5"/>
  <c r="AE7" i="5"/>
  <c r="AD7" i="5"/>
  <c r="AC7" i="5"/>
  <c r="AB7" i="5"/>
  <c r="AA7" i="5"/>
  <c r="X7" i="5"/>
  <c r="W7" i="5"/>
  <c r="V7" i="5"/>
  <c r="U7" i="5"/>
  <c r="T7" i="5"/>
  <c r="S7" i="5"/>
  <c r="R7" i="5"/>
  <c r="Q7" i="5"/>
  <c r="P7" i="5"/>
  <c r="O7" i="5"/>
  <c r="N7" i="5"/>
  <c r="M7" i="5"/>
  <c r="L7" i="5"/>
  <c r="X6" i="5"/>
  <c r="W6" i="5"/>
  <c r="V6" i="5"/>
  <c r="U6" i="5"/>
  <c r="T6" i="5"/>
  <c r="S6" i="5"/>
  <c r="R6" i="5"/>
  <c r="Q6" i="5"/>
  <c r="P6" i="5"/>
  <c r="O6" i="5"/>
  <c r="N6" i="5"/>
  <c r="M6" i="5"/>
  <c r="L6" i="5"/>
  <c r="X5" i="5"/>
  <c r="W5" i="5"/>
  <c r="V5" i="5"/>
  <c r="U5" i="5"/>
  <c r="T5" i="5"/>
  <c r="S5" i="5"/>
  <c r="R5" i="5"/>
  <c r="Q5" i="5"/>
  <c r="P5" i="5"/>
  <c r="O5" i="5"/>
  <c r="N5" i="5"/>
  <c r="M5" i="5"/>
  <c r="L5" i="5"/>
  <c r="X4" i="5"/>
  <c r="W4" i="5"/>
  <c r="V4" i="5"/>
  <c r="U4" i="5"/>
  <c r="T4" i="5"/>
  <c r="S4" i="5"/>
  <c r="R4" i="5"/>
  <c r="Q4" i="5"/>
  <c r="P4" i="5"/>
  <c r="O4" i="5"/>
  <c r="N4" i="5"/>
  <c r="M4" i="5"/>
  <c r="L4" i="5"/>
  <c r="X3" i="5"/>
  <c r="W3" i="5"/>
  <c r="V3" i="5"/>
  <c r="U3" i="5"/>
  <c r="T3" i="5"/>
  <c r="S3" i="5"/>
  <c r="R3" i="5"/>
  <c r="Q3" i="5"/>
  <c r="P3" i="5"/>
  <c r="O3" i="5"/>
  <c r="N3" i="5"/>
  <c r="M3" i="5"/>
  <c r="L3" i="5"/>
  <c r="AK2" i="5"/>
  <c r="AJ2" i="5"/>
  <c r="AI2" i="5"/>
  <c r="AH2" i="5"/>
  <c r="AG2" i="5"/>
  <c r="AF2" i="5"/>
  <c r="AE2" i="5"/>
  <c r="AD2" i="5"/>
  <c r="AC2" i="5"/>
  <c r="AB2" i="5"/>
  <c r="AA2" i="5"/>
  <c r="Z2" i="5"/>
  <c r="X2" i="5"/>
  <c r="W2" i="5"/>
  <c r="V2" i="5"/>
  <c r="U2" i="5"/>
  <c r="T2" i="5"/>
  <c r="S2" i="5"/>
  <c r="R2" i="5"/>
  <c r="Q2" i="5"/>
  <c r="P2" i="5"/>
  <c r="O2" i="5"/>
  <c r="N2" i="5"/>
  <c r="M2" i="5"/>
  <c r="L2" i="5"/>
  <c r="AK1" i="5"/>
  <c r="AJ1" i="5"/>
  <c r="AI1" i="5"/>
  <c r="AH1" i="5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AD47" i="4"/>
  <c r="AC47" i="4"/>
  <c r="AB47" i="4"/>
  <c r="AA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AD46" i="4"/>
  <c r="AC46" i="4"/>
  <c r="AB46" i="4"/>
  <c r="AA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AD43" i="4"/>
  <c r="AC43" i="4"/>
  <c r="AB43" i="4"/>
  <c r="AA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AD42" i="4"/>
  <c r="AC42" i="4"/>
  <c r="AB42" i="4"/>
  <c r="AA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Z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Z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Z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Z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Z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Z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AD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AH18" i="4"/>
  <c r="AG18" i="4"/>
  <c r="AF18" i="4"/>
  <c r="AE18" i="4"/>
  <c r="AD18" i="4"/>
  <c r="AC18" i="4"/>
  <c r="AB18" i="4"/>
  <c r="AA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AH17" i="4"/>
  <c r="AG17" i="4"/>
  <c r="AF17" i="4"/>
  <c r="AE17" i="4"/>
  <c r="AD17" i="4"/>
  <c r="AC17" i="4"/>
  <c r="AB17" i="4"/>
  <c r="AA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AH16" i="4"/>
  <c r="AG16" i="4"/>
  <c r="AF16" i="4"/>
  <c r="AE16" i="4"/>
  <c r="AD16" i="4"/>
  <c r="AC16" i="4"/>
  <c r="AB16" i="4"/>
  <c r="AA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AH15" i="4"/>
  <c r="AG15" i="4"/>
  <c r="AF15" i="4"/>
  <c r="AE15" i="4"/>
  <c r="AD15" i="4"/>
  <c r="AC15" i="4"/>
  <c r="AB15" i="4"/>
  <c r="AA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AH14" i="4"/>
  <c r="AG14" i="4"/>
  <c r="AF14" i="4"/>
  <c r="AE14" i="4"/>
  <c r="AD14" i="4"/>
  <c r="AC14" i="4"/>
  <c r="AB14" i="4"/>
  <c r="AA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AH11" i="4"/>
  <c r="AG11" i="4"/>
  <c r="AF11" i="4"/>
  <c r="AE11" i="4"/>
  <c r="AD11" i="4"/>
  <c r="AC11" i="4"/>
  <c r="AB11" i="4"/>
  <c r="AA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AH10" i="4"/>
  <c r="AG10" i="4"/>
  <c r="AF10" i="4"/>
  <c r="AE10" i="4"/>
  <c r="AD10" i="4"/>
  <c r="AC10" i="4"/>
  <c r="AB10" i="4"/>
  <c r="AA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AH9" i="4"/>
  <c r="AG9" i="4"/>
  <c r="AF9" i="4"/>
  <c r="AE9" i="4"/>
  <c r="AD9" i="4"/>
  <c r="AC9" i="4"/>
  <c r="AB9" i="4"/>
  <c r="AA9" i="4"/>
  <c r="X9" i="4"/>
  <c r="W9" i="4"/>
  <c r="V9" i="4"/>
  <c r="U9" i="4"/>
  <c r="T9" i="4"/>
  <c r="S9" i="4"/>
  <c r="R9" i="4"/>
  <c r="Q9" i="4"/>
  <c r="P9" i="4"/>
  <c r="O9" i="4"/>
  <c r="N9" i="4"/>
  <c r="M9" i="4"/>
  <c r="L9" i="4"/>
  <c r="AQ8" i="4"/>
  <c r="AP8" i="4"/>
  <c r="AO8" i="4"/>
  <c r="AN8" i="4"/>
  <c r="AM8" i="4"/>
  <c r="AL8" i="4"/>
  <c r="AK8" i="4"/>
  <c r="AJ8" i="4"/>
  <c r="AH8" i="4"/>
  <c r="AG8" i="4"/>
  <c r="AF8" i="4"/>
  <c r="AE8" i="4"/>
  <c r="AD8" i="4"/>
  <c r="AC8" i="4"/>
  <c r="AB8" i="4"/>
  <c r="AA8" i="4"/>
  <c r="X8" i="4"/>
  <c r="W8" i="4"/>
  <c r="V8" i="4"/>
  <c r="U8" i="4"/>
  <c r="T8" i="4"/>
  <c r="S8" i="4"/>
  <c r="R8" i="4"/>
  <c r="Q8" i="4"/>
  <c r="P8" i="4"/>
  <c r="O8" i="4"/>
  <c r="N8" i="4"/>
  <c r="M8" i="4"/>
  <c r="L8" i="4"/>
  <c r="AQ7" i="4"/>
  <c r="AP7" i="4"/>
  <c r="AO7" i="4"/>
  <c r="AN7" i="4"/>
  <c r="AM7" i="4"/>
  <c r="AL7" i="4"/>
  <c r="AK7" i="4"/>
  <c r="AJ7" i="4"/>
  <c r="AH7" i="4"/>
  <c r="AG7" i="4"/>
  <c r="AF7" i="4"/>
  <c r="AE7" i="4"/>
  <c r="AD7" i="4"/>
  <c r="AC7" i="4"/>
  <c r="AB7" i="4"/>
  <c r="AA7" i="4"/>
  <c r="X7" i="4"/>
  <c r="W7" i="4"/>
  <c r="V7" i="4"/>
  <c r="U7" i="4"/>
  <c r="T7" i="4"/>
  <c r="S7" i="4"/>
  <c r="R7" i="4"/>
  <c r="Q7" i="4"/>
  <c r="P7" i="4"/>
  <c r="O7" i="4"/>
  <c r="N7" i="4"/>
  <c r="M7" i="4"/>
  <c r="L7" i="4"/>
  <c r="X6" i="4"/>
  <c r="W6" i="4"/>
  <c r="V6" i="4"/>
  <c r="U6" i="4"/>
  <c r="T6" i="4"/>
  <c r="S6" i="4"/>
  <c r="R6" i="4"/>
  <c r="Q6" i="4"/>
  <c r="P6" i="4"/>
  <c r="O6" i="4"/>
  <c r="N6" i="4"/>
  <c r="M6" i="4"/>
  <c r="L6" i="4"/>
  <c r="X5" i="4"/>
  <c r="W5" i="4"/>
  <c r="V5" i="4"/>
  <c r="U5" i="4"/>
  <c r="T5" i="4"/>
  <c r="S5" i="4"/>
  <c r="R5" i="4"/>
  <c r="Q5" i="4"/>
  <c r="P5" i="4"/>
  <c r="O5" i="4"/>
  <c r="N5" i="4"/>
  <c r="M5" i="4"/>
  <c r="L5" i="4"/>
  <c r="X4" i="4"/>
  <c r="W4" i="4"/>
  <c r="V4" i="4"/>
  <c r="U4" i="4"/>
  <c r="T4" i="4"/>
  <c r="S4" i="4"/>
  <c r="R4" i="4"/>
  <c r="Q4" i="4"/>
  <c r="P4" i="4"/>
  <c r="O4" i="4"/>
  <c r="N4" i="4"/>
  <c r="M4" i="4"/>
  <c r="L4" i="4"/>
  <c r="X3" i="4"/>
  <c r="W3" i="4"/>
  <c r="V3" i="4"/>
  <c r="U3" i="4"/>
  <c r="T3" i="4"/>
  <c r="S3" i="4"/>
  <c r="R3" i="4"/>
  <c r="Q3" i="4"/>
  <c r="P3" i="4"/>
  <c r="O3" i="4"/>
  <c r="N3" i="4"/>
  <c r="M3" i="4"/>
  <c r="L3" i="4"/>
  <c r="AK2" i="4"/>
  <c r="AJ2" i="4"/>
  <c r="AI2" i="4"/>
  <c r="AH2" i="4"/>
  <c r="AG2" i="4"/>
  <c r="AF2" i="4"/>
  <c r="AE2" i="4"/>
  <c r="AD2" i="4"/>
  <c r="AC2" i="4"/>
  <c r="AB2" i="4"/>
  <c r="AA2" i="4"/>
  <c r="Z2" i="4"/>
  <c r="X2" i="4"/>
  <c r="W2" i="4"/>
  <c r="V2" i="4"/>
  <c r="U2" i="4"/>
  <c r="T2" i="4"/>
  <c r="S2" i="4"/>
  <c r="R2" i="4"/>
  <c r="Q2" i="4"/>
  <c r="P2" i="4"/>
  <c r="O2" i="4"/>
  <c r="N2" i="4"/>
  <c r="M2" i="4"/>
  <c r="L2" i="4"/>
  <c r="AK1" i="4"/>
  <c r="AJ1" i="4"/>
  <c r="AI1" i="4"/>
  <c r="AH1" i="4"/>
  <c r="AA14" i="24" l="1"/>
  <c r="AC13" i="24"/>
  <c r="P9" i="24"/>
  <c r="P13" i="24"/>
  <c r="P17" i="24"/>
  <c r="P21" i="24"/>
  <c r="P25" i="24"/>
  <c r="P29" i="24"/>
  <c r="P33" i="24"/>
  <c r="P37" i="24"/>
  <c r="P41" i="24"/>
  <c r="P45" i="24"/>
  <c r="P49" i="24"/>
  <c r="P53" i="24"/>
  <c r="P57" i="24"/>
  <c r="P61" i="24"/>
  <c r="P65" i="24"/>
  <c r="P69" i="24"/>
  <c r="P18" i="24"/>
  <c r="P22" i="24"/>
  <c r="P26" i="24"/>
  <c r="P30" i="24"/>
  <c r="P34" i="24"/>
  <c r="P38" i="24"/>
  <c r="P42" i="24"/>
  <c r="P46" i="24"/>
  <c r="P50" i="24"/>
  <c r="P54" i="24"/>
  <c r="P58" i="24"/>
  <c r="P62" i="24"/>
  <c r="P66" i="24"/>
  <c r="AB14" i="24"/>
  <c r="P4" i="24"/>
  <c r="P8" i="24"/>
  <c r="P12" i="24"/>
  <c r="P16" i="24"/>
  <c r="P20" i="24"/>
  <c r="P24" i="24"/>
  <c r="P28" i="24"/>
  <c r="P32" i="24"/>
  <c r="P36" i="24"/>
  <c r="P40" i="24"/>
  <c r="P44" i="24"/>
  <c r="P48" i="24"/>
  <c r="P52" i="24"/>
  <c r="P56" i="24"/>
  <c r="P60" i="24"/>
  <c r="P64" i="24"/>
  <c r="P68" i="24"/>
  <c r="W13" i="24"/>
  <c r="AA13" i="24"/>
  <c r="U14" i="24"/>
  <c r="P3" i="24"/>
  <c r="P7" i="24"/>
  <c r="P11" i="24"/>
  <c r="AC14" i="24"/>
  <c r="V14" i="24"/>
  <c r="P15" i="24"/>
  <c r="P19" i="24"/>
  <c r="P23" i="24"/>
  <c r="P27" i="24"/>
  <c r="P31" i="24"/>
  <c r="P35" i="24"/>
  <c r="P39" i="24"/>
  <c r="P43" i="24"/>
  <c r="P47" i="24"/>
  <c r="P51" i="24"/>
  <c r="P55" i="24"/>
  <c r="P59" i="24"/>
  <c r="P63" i="24"/>
  <c r="P67" i="24"/>
  <c r="W14" i="24"/>
  <c r="U12" i="24"/>
  <c r="P5" i="24"/>
  <c r="P6" i="24"/>
  <c r="P10" i="24"/>
  <c r="P14" i="24"/>
  <c r="Q23" i="24"/>
  <c r="V12" i="24"/>
  <c r="W12" i="24"/>
  <c r="U13" i="24"/>
  <c r="AA12" i="24"/>
  <c r="V13" i="24"/>
  <c r="AB12" i="24"/>
  <c r="AC12" i="24"/>
  <c r="AB13" i="24"/>
  <c r="P16" i="23"/>
  <c r="V14" i="23"/>
  <c r="AA14" i="23"/>
  <c r="P20" i="23"/>
  <c r="P24" i="23"/>
  <c r="P28" i="23"/>
  <c r="P32" i="23"/>
  <c r="P36" i="23"/>
  <c r="P40" i="23"/>
  <c r="P44" i="23"/>
  <c r="P7" i="23"/>
  <c r="P11" i="23"/>
  <c r="AC13" i="23"/>
  <c r="P4" i="23"/>
  <c r="P8" i="23"/>
  <c r="P12" i="23"/>
  <c r="V13" i="23"/>
  <c r="W14" i="23"/>
  <c r="P15" i="23"/>
  <c r="P19" i="23"/>
  <c r="P23" i="23"/>
  <c r="P27" i="23"/>
  <c r="P31" i="23"/>
  <c r="P35" i="23"/>
  <c r="P39" i="23"/>
  <c r="P43" i="23"/>
  <c r="AC14" i="23"/>
  <c r="P6" i="23"/>
  <c r="P10" i="23"/>
  <c r="AA13" i="23"/>
  <c r="AA12" i="23"/>
  <c r="P18" i="23"/>
  <c r="P22" i="23"/>
  <c r="P26" i="23"/>
  <c r="P30" i="23"/>
  <c r="P34" i="23"/>
  <c r="P42" i="23"/>
  <c r="P46" i="23"/>
  <c r="AB14" i="23"/>
  <c r="U13" i="23"/>
  <c r="P3" i="23"/>
  <c r="P5" i="23"/>
  <c r="P13" i="23"/>
  <c r="W12" i="23"/>
  <c r="W13" i="23"/>
  <c r="P17" i="23"/>
  <c r="P21" i="23"/>
  <c r="P25" i="23"/>
  <c r="P29" i="23"/>
  <c r="P37" i="23"/>
  <c r="P41" i="23"/>
  <c r="V12" i="23"/>
  <c r="AB12" i="23"/>
  <c r="U14" i="23"/>
  <c r="AC12" i="23"/>
  <c r="AB13" i="23"/>
  <c r="U12" i="23"/>
  <c r="X68" i="8"/>
  <c r="AZ28" i="11"/>
  <c r="AY64" i="11"/>
  <c r="AZ40" i="11"/>
  <c r="AZ66" i="11"/>
  <c r="AY48" i="11"/>
  <c r="AZ17" i="11"/>
  <c r="AZ61" i="11"/>
  <c r="AZ62" i="11"/>
  <c r="AZ68" i="11"/>
  <c r="AY38" i="11"/>
  <c r="AY42" i="11"/>
  <c r="AY53" i="11"/>
  <c r="AY40" i="11"/>
  <c r="AY57" i="11"/>
  <c r="AZ67" i="11"/>
  <c r="AZ63" i="11"/>
  <c r="AZ47" i="11"/>
  <c r="AZ60" i="11"/>
  <c r="AY23" i="11"/>
  <c r="AY27" i="11"/>
  <c r="AY49" i="11"/>
  <c r="AY32" i="11"/>
  <c r="AY67" i="11"/>
  <c r="AZ46" i="11"/>
  <c r="AZ29" i="11"/>
  <c r="AZ13" i="11"/>
  <c r="AZ52" i="11"/>
  <c r="AY66" i="11"/>
  <c r="AY55" i="11"/>
  <c r="AY45" i="11"/>
  <c r="AY24" i="11"/>
  <c r="AY18" i="11"/>
  <c r="AZ45" i="11"/>
  <c r="AZ14" i="11"/>
  <c r="AZ41" i="11"/>
  <c r="AZ44" i="11"/>
  <c r="AY51" i="11"/>
  <c r="AY6" i="11"/>
  <c r="AY41" i="11"/>
  <c r="AY8" i="11"/>
  <c r="AZ8" i="11"/>
  <c r="AZ30" i="11"/>
  <c r="AZ57" i="11"/>
  <c r="AZ26" i="11"/>
  <c r="AY30" i="11"/>
  <c r="AY37" i="11"/>
  <c r="AY68" i="11"/>
  <c r="AY14" i="11"/>
  <c r="AZ35" i="11"/>
  <c r="AZ15" i="11"/>
  <c r="AZ42" i="11"/>
  <c r="AZ11" i="11"/>
  <c r="AZ32" i="11"/>
  <c r="AY15" i="11"/>
  <c r="AY34" i="11"/>
  <c r="AY33" i="11"/>
  <c r="AY60" i="11"/>
  <c r="AZ19" i="11"/>
  <c r="AZ51" i="11"/>
  <c r="AZ58" i="11"/>
  <c r="AZ27" i="11"/>
  <c r="AZ69" i="11"/>
  <c r="AZ24" i="11"/>
  <c r="AY58" i="11"/>
  <c r="AY19" i="11"/>
  <c r="AY29" i="11"/>
  <c r="AY52" i="11"/>
  <c r="AY61" i="11"/>
  <c r="BA7" i="11"/>
  <c r="BA11" i="11"/>
  <c r="BA15" i="11"/>
  <c r="BA19" i="11"/>
  <c r="BA23" i="11"/>
  <c r="BA27" i="11"/>
  <c r="BA31" i="11"/>
  <c r="BA35" i="11"/>
  <c r="BA39" i="11"/>
  <c r="BA43" i="11"/>
  <c r="BA47" i="11"/>
  <c r="BA51" i="11"/>
  <c r="BA55" i="11"/>
  <c r="BA59" i="11"/>
  <c r="BA63" i="11"/>
  <c r="BA67" i="11"/>
  <c r="BA4" i="11"/>
  <c r="BA8" i="11"/>
  <c r="BA12" i="11"/>
  <c r="BA16" i="11"/>
  <c r="BA20" i="11"/>
  <c r="BA24" i="11"/>
  <c r="BA28" i="11"/>
  <c r="BA32" i="11"/>
  <c r="BA36" i="11"/>
  <c r="BA40" i="11"/>
  <c r="BA44" i="11"/>
  <c r="BA48" i="11"/>
  <c r="BA52" i="11"/>
  <c r="BA56" i="11"/>
  <c r="BA60" i="11"/>
  <c r="BA64" i="11"/>
  <c r="BA68" i="11"/>
  <c r="BA18" i="11"/>
  <c r="BA33" i="11"/>
  <c r="BA5" i="11"/>
  <c r="BA54" i="11"/>
  <c r="BA69" i="11"/>
  <c r="BA26" i="11"/>
  <c r="BA41" i="11"/>
  <c r="BA61" i="11"/>
  <c r="BA13" i="11"/>
  <c r="BA62" i="11"/>
  <c r="BA10" i="11"/>
  <c r="BA34" i="11"/>
  <c r="BA49" i="11"/>
  <c r="BA3" i="11"/>
  <c r="BA46" i="11"/>
  <c r="BA6" i="11"/>
  <c r="BA21" i="11"/>
  <c r="BA25" i="11"/>
  <c r="BA42" i="11"/>
  <c r="BA57" i="11"/>
  <c r="BA14" i="11"/>
  <c r="BA29" i="11"/>
  <c r="BA50" i="11"/>
  <c r="BA65" i="11"/>
  <c r="BA22" i="11"/>
  <c r="BA37" i="11"/>
  <c r="BA9" i="11"/>
  <c r="BA58" i="11"/>
  <c r="BA30" i="11"/>
  <c r="BA45" i="11"/>
  <c r="BA17" i="11"/>
  <c r="BA66" i="11"/>
  <c r="BA38" i="11"/>
  <c r="BA53" i="11"/>
  <c r="AZ43" i="11"/>
  <c r="AZ55" i="11"/>
  <c r="AZ54" i="11"/>
  <c r="AZ20" i="11"/>
  <c r="AY43" i="11"/>
  <c r="AY62" i="11"/>
  <c r="AY25" i="11"/>
  <c r="AY44" i="11"/>
  <c r="AZ50" i="11"/>
  <c r="AZ31" i="11"/>
  <c r="AZ59" i="11"/>
  <c r="AZ9" i="11"/>
  <c r="AZ21" i="11"/>
  <c r="AZ39" i="11"/>
  <c r="AZ16" i="11"/>
  <c r="AY22" i="11"/>
  <c r="AY47" i="11"/>
  <c r="AY21" i="11"/>
  <c r="AY36" i="11"/>
  <c r="AY56" i="11"/>
  <c r="AZ25" i="11"/>
  <c r="AZ37" i="11"/>
  <c r="AZ6" i="11"/>
  <c r="AZ5" i="11"/>
  <c r="AZ12" i="11"/>
  <c r="AY7" i="11"/>
  <c r="AY39" i="11"/>
  <c r="AY17" i="11"/>
  <c r="AY28" i="11"/>
  <c r="AZ10" i="11"/>
  <c r="AZ22" i="11"/>
  <c r="AZ33" i="11"/>
  <c r="AZ64" i="11"/>
  <c r="AZ4" i="11"/>
  <c r="AY54" i="11"/>
  <c r="AY26" i="11"/>
  <c r="AY13" i="11"/>
  <c r="AY20" i="11"/>
  <c r="AZ53" i="11"/>
  <c r="AZ7" i="11"/>
  <c r="AZ56" i="11"/>
  <c r="AY46" i="11"/>
  <c r="AY50" i="11"/>
  <c r="AY11" i="11"/>
  <c r="AY9" i="11"/>
  <c r="AY16" i="11"/>
  <c r="AY10" i="11"/>
  <c r="AX4" i="11"/>
  <c r="AX8" i="11"/>
  <c r="AX12" i="11"/>
  <c r="AX16" i="11"/>
  <c r="AX20" i="11"/>
  <c r="AX24" i="11"/>
  <c r="AX28" i="11"/>
  <c r="AX32" i="11"/>
  <c r="AX36" i="11"/>
  <c r="AX40" i="11"/>
  <c r="AX44" i="11"/>
  <c r="AX48" i="11"/>
  <c r="AX52" i="11"/>
  <c r="AX56" i="11"/>
  <c r="AX60" i="11"/>
  <c r="AX64" i="11"/>
  <c r="AX68" i="11"/>
  <c r="AX5" i="11"/>
  <c r="AX9" i="11"/>
  <c r="AX13" i="11"/>
  <c r="AX17" i="11"/>
  <c r="AX21" i="11"/>
  <c r="AX25" i="11"/>
  <c r="AX29" i="11"/>
  <c r="AX33" i="11"/>
  <c r="AX37" i="11"/>
  <c r="AX41" i="11"/>
  <c r="AX45" i="11"/>
  <c r="AX49" i="11"/>
  <c r="AX53" i="11"/>
  <c r="AX57" i="11"/>
  <c r="AX61" i="11"/>
  <c r="AX65" i="11"/>
  <c r="AX69" i="11"/>
  <c r="AX47" i="11"/>
  <c r="AX62" i="11"/>
  <c r="AX19" i="11"/>
  <c r="AX34" i="11"/>
  <c r="AX6" i="11"/>
  <c r="AX55" i="11"/>
  <c r="AX27" i="11"/>
  <c r="AX42" i="11"/>
  <c r="AX14" i="11"/>
  <c r="AX63" i="11"/>
  <c r="AX35" i="11"/>
  <c r="AX50" i="11"/>
  <c r="AX3" i="11"/>
  <c r="BC3" i="11" s="1"/>
  <c r="AX11" i="11"/>
  <c r="AX7" i="11"/>
  <c r="AX22" i="11"/>
  <c r="AX43" i="11"/>
  <c r="AX58" i="11"/>
  <c r="AX15" i="11"/>
  <c r="AX30" i="11"/>
  <c r="AX39" i="11"/>
  <c r="AX51" i="11"/>
  <c r="AX66" i="11"/>
  <c r="AX23" i="11"/>
  <c r="AX38" i="11"/>
  <c r="AX10" i="11"/>
  <c r="AX59" i="11"/>
  <c r="AX31" i="11"/>
  <c r="AX46" i="11"/>
  <c r="AX54" i="11"/>
  <c r="AX18" i="11"/>
  <c r="AX67" i="11"/>
  <c r="AX26" i="11"/>
  <c r="AZ38" i="11"/>
  <c r="AZ18" i="11"/>
  <c r="AZ49" i="11"/>
  <c r="AZ48" i="11"/>
  <c r="AY31" i="11"/>
  <c r="AY35" i="11"/>
  <c r="AY69" i="11"/>
  <c r="AY5" i="11"/>
  <c r="AY12" i="11"/>
  <c r="AZ23" i="11"/>
  <c r="AZ65" i="11"/>
  <c r="AZ34" i="11"/>
  <c r="AY59" i="11"/>
  <c r="AY63" i="11"/>
  <c r="AY65" i="11"/>
  <c r="Z4" i="11"/>
  <c r="AN3" i="11"/>
  <c r="V4" i="11"/>
  <c r="AJ3" i="11"/>
  <c r="U4" i="11"/>
  <c r="AI3" i="11"/>
  <c r="T4" i="11"/>
  <c r="AH3" i="11"/>
  <c r="S4" i="11"/>
  <c r="AG3" i="11"/>
  <c r="Q4" i="11"/>
  <c r="AE3" i="11"/>
  <c r="AA4" i="11"/>
  <c r="AO4" i="11" s="1"/>
  <c r="X4" i="11"/>
  <c r="N29" i="11"/>
  <c r="N40" i="11"/>
  <c r="N58" i="11"/>
  <c r="N54" i="11"/>
  <c r="N56" i="11"/>
  <c r="N64" i="11"/>
  <c r="N33" i="11"/>
  <c r="N48" i="11"/>
  <c r="N49" i="11"/>
  <c r="N4" i="11"/>
  <c r="N8" i="11"/>
  <c r="N16" i="11"/>
  <c r="N20" i="11"/>
  <c r="N24" i="11"/>
  <c r="N32" i="11"/>
  <c r="N36" i="11"/>
  <c r="AI64" i="9"/>
  <c r="W68" i="9"/>
  <c r="W18" i="9"/>
  <c r="U61" i="9"/>
  <c r="R26" i="24"/>
  <c r="R30" i="24"/>
  <c r="R34" i="24"/>
  <c r="R38" i="24"/>
  <c r="R42" i="24"/>
  <c r="R46" i="24"/>
  <c r="R50" i="24"/>
  <c r="R54" i="24"/>
  <c r="R58" i="24"/>
  <c r="R62" i="24"/>
  <c r="R66" i="24"/>
  <c r="Q19" i="9"/>
  <c r="N50" i="9"/>
  <c r="N44" i="9"/>
  <c r="Q22" i="24"/>
  <c r="W8" i="9"/>
  <c r="W10" i="9"/>
  <c r="T23" i="9"/>
  <c r="N51" i="9"/>
  <c r="N12" i="9"/>
  <c r="X14" i="9"/>
  <c r="R54" i="9"/>
  <c r="N8" i="9"/>
  <c r="Z14" i="23"/>
  <c r="W22" i="9"/>
  <c r="N7" i="9"/>
  <c r="U50" i="9"/>
  <c r="N5" i="9"/>
  <c r="W7" i="9"/>
  <c r="N2" i="9"/>
  <c r="Q48" i="9"/>
  <c r="X4" i="9"/>
  <c r="U8" i="9"/>
  <c r="W50" i="9"/>
  <c r="Q64" i="9"/>
  <c r="W12" i="9"/>
  <c r="N15" i="9"/>
  <c r="N38" i="9"/>
  <c r="T40" i="9"/>
  <c r="T53" i="9"/>
  <c r="Q25" i="9"/>
  <c r="Q38" i="9"/>
  <c r="W40" i="9"/>
  <c r="W49" i="9"/>
  <c r="W62" i="9"/>
  <c r="Q3" i="9"/>
  <c r="AB46" i="9"/>
  <c r="AB47" i="9" s="1"/>
  <c r="W2" i="9"/>
  <c r="U30" i="9"/>
  <c r="R27" i="24"/>
  <c r="R31" i="24"/>
  <c r="R35" i="24"/>
  <c r="R39" i="24"/>
  <c r="R43" i="24"/>
  <c r="R47" i="24"/>
  <c r="R51" i="24"/>
  <c r="R55" i="24"/>
  <c r="R59" i="24"/>
  <c r="R63" i="24"/>
  <c r="R67" i="24"/>
  <c r="W21" i="9"/>
  <c r="W38" i="9"/>
  <c r="Q42" i="9"/>
  <c r="W51" i="9"/>
  <c r="X53" i="9"/>
  <c r="W55" i="9"/>
  <c r="N35" i="9"/>
  <c r="N37" i="9"/>
  <c r="T42" i="9"/>
  <c r="Q43" i="9"/>
  <c r="N46" i="9"/>
  <c r="O62" i="9"/>
  <c r="Y13" i="3"/>
  <c r="O22" i="9"/>
  <c r="Q26" i="9"/>
  <c r="Q33" i="9"/>
  <c r="N39" i="9"/>
  <c r="X42" i="9"/>
  <c r="R50" i="9"/>
  <c r="N56" i="9"/>
  <c r="R15" i="9"/>
  <c r="O24" i="9"/>
  <c r="Q31" i="9"/>
  <c r="Q44" i="9"/>
  <c r="R52" i="9"/>
  <c r="W35" i="9"/>
  <c r="X43" i="9"/>
  <c r="U46" i="9"/>
  <c r="O4" i="9"/>
  <c r="Q11" i="9"/>
  <c r="T22" i="9"/>
  <c r="X67" i="9"/>
  <c r="AC46" i="9"/>
  <c r="AC47" i="9" s="1"/>
  <c r="Q4" i="9"/>
  <c r="X20" i="9"/>
  <c r="T58" i="9"/>
  <c r="U65" i="9"/>
  <c r="T4" i="9"/>
  <c r="O32" i="9"/>
  <c r="O34" i="9"/>
  <c r="Q36" i="9"/>
  <c r="N68" i="9"/>
  <c r="Y12" i="3"/>
  <c r="T32" i="9"/>
  <c r="U38" i="9"/>
  <c r="O42" i="9"/>
  <c r="W47" i="9"/>
  <c r="T55" i="9"/>
  <c r="AI2" i="9"/>
  <c r="AJ2" i="9"/>
  <c r="U15" i="9"/>
  <c r="N17" i="9"/>
  <c r="N26" i="9"/>
  <c r="X27" i="9"/>
  <c r="N31" i="9"/>
  <c r="W32" i="9"/>
  <c r="W37" i="9"/>
  <c r="W46" i="9"/>
  <c r="N55" i="9"/>
  <c r="N58" i="9"/>
  <c r="U59" i="9"/>
  <c r="O66" i="9"/>
  <c r="T2" i="9"/>
  <c r="W6" i="9"/>
  <c r="T12" i="9"/>
  <c r="W15" i="9"/>
  <c r="R17" i="9"/>
  <c r="W29" i="9"/>
  <c r="O41" i="9"/>
  <c r="W59" i="9"/>
  <c r="N61" i="9"/>
  <c r="T64" i="9"/>
  <c r="Q66" i="9"/>
  <c r="Y14" i="3"/>
  <c r="AF12" i="24"/>
  <c r="T14" i="9"/>
  <c r="T21" i="9"/>
  <c r="N28" i="9"/>
  <c r="U36" i="9"/>
  <c r="W39" i="9"/>
  <c r="R41" i="9"/>
  <c r="W45" i="9"/>
  <c r="N52" i="9"/>
  <c r="Z13" i="24"/>
  <c r="AF14" i="23"/>
  <c r="Z12" i="23"/>
  <c r="T3" i="9"/>
  <c r="N9" i="9"/>
  <c r="O16" i="9"/>
  <c r="Q23" i="9"/>
  <c r="W26" i="9"/>
  <c r="Q28" i="9"/>
  <c r="X36" i="9"/>
  <c r="T41" i="9"/>
  <c r="W58" i="9"/>
  <c r="T63" i="9"/>
  <c r="Q68" i="9"/>
  <c r="AK2" i="9"/>
  <c r="N54" i="9"/>
  <c r="N60" i="9"/>
  <c r="Z14" i="24"/>
  <c r="Q5" i="9"/>
  <c r="R9" i="9"/>
  <c r="Q16" i="9"/>
  <c r="N20" i="9"/>
  <c r="U28" i="9"/>
  <c r="T33" i="9"/>
  <c r="T35" i="9"/>
  <c r="W41" i="9"/>
  <c r="U43" i="9"/>
  <c r="O57" i="9"/>
  <c r="Q65" i="9"/>
  <c r="AE14" i="3"/>
  <c r="Z13" i="23"/>
  <c r="Z12" i="24"/>
  <c r="W63" i="9"/>
  <c r="Q67" i="9"/>
  <c r="R7" i="9"/>
  <c r="T11" i="9"/>
  <c r="N13" i="9"/>
  <c r="T16" i="9"/>
  <c r="U25" i="9"/>
  <c r="Q60" i="9"/>
  <c r="AF14" i="24"/>
  <c r="U7" i="9"/>
  <c r="R13" i="9"/>
  <c r="X16" i="9"/>
  <c r="X25" i="9"/>
  <c r="W30" i="9"/>
  <c r="R32" i="9"/>
  <c r="AD46" i="9"/>
  <c r="AD47" i="9" s="1"/>
  <c r="AA46" i="9"/>
  <c r="AA47" i="9" s="1"/>
  <c r="R46" i="9"/>
  <c r="N48" i="9"/>
  <c r="T51" i="9"/>
  <c r="U67" i="9"/>
  <c r="AE13" i="3"/>
  <c r="R22" i="9"/>
  <c r="T27" i="9"/>
  <c r="N29" i="9"/>
  <c r="Q37" i="9"/>
  <c r="R56" i="9"/>
  <c r="Q59" i="9"/>
  <c r="W60" i="9"/>
  <c r="O64" i="9"/>
  <c r="AH2" i="9"/>
  <c r="Z26" i="9"/>
  <c r="AQ7" i="9"/>
  <c r="N3" i="9"/>
  <c r="T6" i="9"/>
  <c r="AP8" i="9"/>
  <c r="T10" i="9"/>
  <c r="N11" i="9"/>
  <c r="AE11" i="9"/>
  <c r="AF11" i="9" s="1"/>
  <c r="T18" i="9"/>
  <c r="N19" i="9"/>
  <c r="Q21" i="9"/>
  <c r="W24" i="9"/>
  <c r="Q30" i="9"/>
  <c r="W34" i="9"/>
  <c r="Q40" i="9"/>
  <c r="T45" i="9"/>
  <c r="T47" i="9"/>
  <c r="T49" i="9"/>
  <c r="AC53" i="9"/>
  <c r="AA54" i="9"/>
  <c r="W57" i="9"/>
  <c r="Q63" i="9"/>
  <c r="W66" i="9"/>
  <c r="AF12" i="23"/>
  <c r="AF13" i="24"/>
  <c r="T5" i="9"/>
  <c r="AP7" i="9"/>
  <c r="N14" i="9"/>
  <c r="Q20" i="9"/>
  <c r="W23" i="9"/>
  <c r="N27" i="9"/>
  <c r="Q29" i="9"/>
  <c r="T31" i="9"/>
  <c r="W33" i="9"/>
  <c r="Q39" i="9"/>
  <c r="T44" i="9"/>
  <c r="T48" i="9"/>
  <c r="N53" i="9"/>
  <c r="Q62" i="9"/>
  <c r="W65" i="9"/>
  <c r="O3" i="9"/>
  <c r="Q61" i="9"/>
  <c r="W64" i="9"/>
  <c r="AE12" i="3"/>
  <c r="AF13" i="23"/>
  <c r="U6" i="9"/>
  <c r="W5" i="9"/>
  <c r="Q14" i="9"/>
  <c r="T20" i="9"/>
  <c r="N25" i="9"/>
  <c r="Q27" i="9"/>
  <c r="T29" i="9"/>
  <c r="W31" i="9"/>
  <c r="N36" i="9"/>
  <c r="T39" i="9"/>
  <c r="N43" i="9"/>
  <c r="W44" i="9"/>
  <c r="W48" i="9"/>
  <c r="Q53" i="9"/>
  <c r="N59" i="9"/>
  <c r="T62" i="9"/>
  <c r="N67" i="9"/>
  <c r="T19" i="9"/>
  <c r="AG64" i="9"/>
  <c r="R8" i="23"/>
  <c r="W3" i="9"/>
  <c r="Q8" i="9"/>
  <c r="W11" i="9"/>
  <c r="Q12" i="9"/>
  <c r="W19" i="9"/>
  <c r="N23" i="9"/>
  <c r="T26" i="9"/>
  <c r="N33" i="9"/>
  <c r="Q35" i="9"/>
  <c r="T37" i="9"/>
  <c r="Q51" i="9"/>
  <c r="Q55" i="9"/>
  <c r="Q58" i="9"/>
  <c r="T60" i="9"/>
  <c r="N65" i="9"/>
  <c r="T68" i="9"/>
  <c r="Q2" i="9"/>
  <c r="R2" i="9"/>
  <c r="X3" i="9"/>
  <c r="N6" i="9"/>
  <c r="T9" i="9"/>
  <c r="N10" i="9"/>
  <c r="T13" i="9"/>
  <c r="T17" i="9"/>
  <c r="N18" i="9"/>
  <c r="AE18" i="9"/>
  <c r="Q24" i="9"/>
  <c r="W28" i="9"/>
  <c r="Q34" i="9"/>
  <c r="N45" i="9"/>
  <c r="N47" i="9"/>
  <c r="N49" i="9"/>
  <c r="T52" i="9"/>
  <c r="T54" i="9"/>
  <c r="T56" i="9"/>
  <c r="Q57" i="9"/>
  <c r="W61" i="9"/>
  <c r="AK8" i="9"/>
  <c r="AQ8" i="9" s="1"/>
  <c r="Q6" i="9"/>
  <c r="W9" i="9"/>
  <c r="Q10" i="9"/>
  <c r="W13" i="9"/>
  <c r="W17" i="9"/>
  <c r="Q18" i="9"/>
  <c r="N21" i="9"/>
  <c r="T24" i="9"/>
  <c r="N30" i="9"/>
  <c r="T34" i="9"/>
  <c r="N40" i="9"/>
  <c r="Q45" i="9"/>
  <c r="Q47" i="9"/>
  <c r="Q49" i="9"/>
  <c r="W52" i="9"/>
  <c r="W54" i="9"/>
  <c r="W56" i="9"/>
  <c r="T57" i="9"/>
  <c r="N63" i="9"/>
  <c r="T66" i="9"/>
  <c r="R25" i="24"/>
  <c r="R29" i="24"/>
  <c r="R33" i="24"/>
  <c r="R37" i="24"/>
  <c r="R41" i="24"/>
  <c r="R45" i="24"/>
  <c r="R49" i="24"/>
  <c r="R53" i="24"/>
  <c r="R57" i="24"/>
  <c r="P10" i="3"/>
  <c r="P24" i="3"/>
  <c r="R61" i="24"/>
  <c r="Q68" i="8"/>
  <c r="P28" i="3"/>
  <c r="P32" i="3"/>
  <c r="P36" i="3"/>
  <c r="P40" i="3"/>
  <c r="P44" i="3"/>
  <c r="P48" i="3"/>
  <c r="R65" i="24"/>
  <c r="P52" i="3"/>
  <c r="P56" i="3"/>
  <c r="R69" i="24"/>
  <c r="T50" i="8"/>
  <c r="P60" i="3"/>
  <c r="P64" i="3"/>
  <c r="AD14" i="3"/>
  <c r="Q52" i="8"/>
  <c r="Q56" i="8"/>
  <c r="T56" i="8"/>
  <c r="W54" i="8"/>
  <c r="N52" i="8"/>
  <c r="N28" i="8"/>
  <c r="P68" i="3"/>
  <c r="N48" i="8"/>
  <c r="X4" i="8"/>
  <c r="T60" i="8"/>
  <c r="W51" i="8"/>
  <c r="N54" i="8"/>
  <c r="Q54" i="8"/>
  <c r="T55" i="8"/>
  <c r="W52" i="8"/>
  <c r="T3" i="8"/>
  <c r="X11" i="8"/>
  <c r="T26" i="8"/>
  <c r="O9" i="8"/>
  <c r="Q18" i="8"/>
  <c r="N21" i="8"/>
  <c r="O24" i="8"/>
  <c r="X24" i="8"/>
  <c r="O20" i="8"/>
  <c r="N38" i="8"/>
  <c r="W56" i="8"/>
  <c r="R26" i="8"/>
  <c r="W60" i="8"/>
  <c r="Q25" i="24"/>
  <c r="Q49" i="24"/>
  <c r="Q53" i="24"/>
  <c r="Q57" i="24"/>
  <c r="Q61" i="24"/>
  <c r="Q65" i="24"/>
  <c r="Q69" i="24"/>
  <c r="O8" i="8"/>
  <c r="T31" i="8"/>
  <c r="Q51" i="8"/>
  <c r="N53" i="8"/>
  <c r="N55" i="8"/>
  <c r="W31" i="8"/>
  <c r="T51" i="8"/>
  <c r="Q53" i="8"/>
  <c r="Q55" i="8"/>
  <c r="N22" i="8"/>
  <c r="T29" i="8"/>
  <c r="X34" i="8"/>
  <c r="W49" i="8"/>
  <c r="N51" i="8"/>
  <c r="AP8" i="8"/>
  <c r="AB46" i="8"/>
  <c r="AB47" i="8" s="1"/>
  <c r="O11" i="8"/>
  <c r="T22" i="8"/>
  <c r="R32" i="8"/>
  <c r="N50" i="8"/>
  <c r="Q50" i="8"/>
  <c r="N56" i="8"/>
  <c r="R65" i="8"/>
  <c r="W17" i="8"/>
  <c r="U30" i="8"/>
  <c r="Q5" i="23"/>
  <c r="Q66" i="8"/>
  <c r="W30" i="8"/>
  <c r="N39" i="8"/>
  <c r="T52" i="8"/>
  <c r="T54" i="8"/>
  <c r="R58" i="8"/>
  <c r="Q60" i="8"/>
  <c r="R9" i="8"/>
  <c r="T23" i="8"/>
  <c r="R41" i="8"/>
  <c r="W45" i="8"/>
  <c r="P5" i="3"/>
  <c r="P19" i="3"/>
  <c r="P23" i="3"/>
  <c r="P27" i="3"/>
  <c r="P31" i="3"/>
  <c r="P35" i="3"/>
  <c r="P39" i="3"/>
  <c r="P43" i="3"/>
  <c r="P47" i="3"/>
  <c r="P51" i="3"/>
  <c r="P55" i="3"/>
  <c r="P59" i="3"/>
  <c r="P63" i="3"/>
  <c r="P67" i="3"/>
  <c r="Q4" i="23"/>
  <c r="Q15" i="8"/>
  <c r="N25" i="8"/>
  <c r="O34" i="8"/>
  <c r="T41" i="8"/>
  <c r="Q6" i="3"/>
  <c r="Q10" i="3"/>
  <c r="Q14" i="3"/>
  <c r="Q16" i="3"/>
  <c r="Q20" i="3"/>
  <c r="Q24" i="3"/>
  <c r="Q28" i="3"/>
  <c r="Q32" i="3"/>
  <c r="Q36" i="3"/>
  <c r="Q40" i="3"/>
  <c r="Q44" i="3"/>
  <c r="Q48" i="3"/>
  <c r="Q52" i="3"/>
  <c r="Q56" i="3"/>
  <c r="Y14" i="24"/>
  <c r="W12" i="8"/>
  <c r="T15" i="8"/>
  <c r="W29" i="8"/>
  <c r="Q34" i="8"/>
  <c r="O37" i="8"/>
  <c r="U39" i="8"/>
  <c r="P4" i="3"/>
  <c r="P12" i="3"/>
  <c r="P22" i="3"/>
  <c r="P26" i="3"/>
  <c r="P30" i="3"/>
  <c r="T67" i="8"/>
  <c r="O16" i="8"/>
  <c r="U21" i="8"/>
  <c r="Q28" i="8"/>
  <c r="N40" i="8"/>
  <c r="P11" i="3"/>
  <c r="P13" i="3"/>
  <c r="O60" i="8"/>
  <c r="R11" i="8"/>
  <c r="T28" i="8"/>
  <c r="T40" i="8"/>
  <c r="R24" i="24"/>
  <c r="U24" i="8"/>
  <c r="Q33" i="8"/>
  <c r="AP7" i="8"/>
  <c r="T45" i="8"/>
  <c r="Q13" i="3"/>
  <c r="Q17" i="3"/>
  <c r="Q21" i="3"/>
  <c r="Q25" i="3"/>
  <c r="Q29" i="3"/>
  <c r="Q33" i="3"/>
  <c r="AE13" i="23"/>
  <c r="AI62" i="8"/>
  <c r="T11" i="8"/>
  <c r="R20" i="8"/>
  <c r="N47" i="8"/>
  <c r="Q48" i="8"/>
  <c r="N65" i="8"/>
  <c r="N67" i="8"/>
  <c r="Q12" i="23"/>
  <c r="Q21" i="24"/>
  <c r="AI2" i="8"/>
  <c r="U18" i="8"/>
  <c r="Q22" i="8"/>
  <c r="W23" i="8"/>
  <c r="N30" i="8"/>
  <c r="U33" i="8"/>
  <c r="N35" i="8"/>
  <c r="Q39" i="8"/>
  <c r="X40" i="8"/>
  <c r="N44" i="8"/>
  <c r="N46" i="8"/>
  <c r="Q47" i="8"/>
  <c r="T48" i="8"/>
  <c r="AA54" i="8"/>
  <c r="R15" i="23"/>
  <c r="R19" i="23"/>
  <c r="R23" i="23"/>
  <c r="R43" i="23"/>
  <c r="R47" i="23"/>
  <c r="R51" i="23"/>
  <c r="R55" i="23"/>
  <c r="R59" i="23"/>
  <c r="R63" i="23"/>
  <c r="R67" i="23"/>
  <c r="AH2" i="8"/>
  <c r="W3" i="8"/>
  <c r="Q10" i="8"/>
  <c r="N17" i="8"/>
  <c r="Q25" i="8"/>
  <c r="X28" i="8"/>
  <c r="N32" i="8"/>
  <c r="Q35" i="8"/>
  <c r="Q44" i="8"/>
  <c r="Q46" i="8"/>
  <c r="T47" i="8"/>
  <c r="W48" i="8"/>
  <c r="T53" i="8"/>
  <c r="N58" i="8"/>
  <c r="Y14" i="23"/>
  <c r="Q11" i="23"/>
  <c r="Q5" i="3"/>
  <c r="Q9" i="3"/>
  <c r="Q15" i="3"/>
  <c r="Q19" i="3"/>
  <c r="Q23" i="3"/>
  <c r="Q27" i="3"/>
  <c r="Q31" i="3"/>
  <c r="Q35" i="3"/>
  <c r="Q39" i="3"/>
  <c r="Y12" i="23"/>
  <c r="T10" i="8"/>
  <c r="Q17" i="8"/>
  <c r="T35" i="8"/>
  <c r="W43" i="8"/>
  <c r="T44" i="8"/>
  <c r="T46" i="8"/>
  <c r="W47" i="8"/>
  <c r="W53" i="8"/>
  <c r="X67" i="8"/>
  <c r="R18" i="23"/>
  <c r="R22" i="23"/>
  <c r="R46" i="23"/>
  <c r="R50" i="23"/>
  <c r="R54" i="23"/>
  <c r="R62" i="23"/>
  <c r="R66" i="23"/>
  <c r="R7" i="24"/>
  <c r="AE13" i="24"/>
  <c r="T19" i="8"/>
  <c r="Q21" i="8"/>
  <c r="X22" i="8"/>
  <c r="W25" i="8"/>
  <c r="Q29" i="8"/>
  <c r="W35" i="8"/>
  <c r="AA46" i="8"/>
  <c r="AA47" i="8" s="1"/>
  <c r="W44" i="8"/>
  <c r="W46" i="8"/>
  <c r="N49" i="8"/>
  <c r="W50" i="8"/>
  <c r="X14" i="3"/>
  <c r="Q10" i="23"/>
  <c r="Q14" i="23"/>
  <c r="T58" i="8"/>
  <c r="Q4" i="3"/>
  <c r="Q8" i="3"/>
  <c r="Q12" i="3"/>
  <c r="Q18" i="3"/>
  <c r="Q22" i="3"/>
  <c r="Q26" i="3"/>
  <c r="Q30" i="3"/>
  <c r="Q34" i="3"/>
  <c r="Q38" i="3"/>
  <c r="Q42" i="3"/>
  <c r="Q46" i="3"/>
  <c r="Q50" i="3"/>
  <c r="Q54" i="3"/>
  <c r="W19" i="8"/>
  <c r="R38" i="8"/>
  <c r="AC46" i="8"/>
  <c r="AC47" i="8" s="1"/>
  <c r="AD46" i="8"/>
  <c r="AD47" i="8" s="1"/>
  <c r="Q49" i="8"/>
  <c r="AE12" i="23"/>
  <c r="R13" i="23"/>
  <c r="R17" i="23"/>
  <c r="R21" i="23"/>
  <c r="R25" i="23"/>
  <c r="R45" i="23"/>
  <c r="R49" i="23"/>
  <c r="R53" i="23"/>
  <c r="R61" i="23"/>
  <c r="R65" i="23"/>
  <c r="R69" i="23"/>
  <c r="R6" i="24"/>
  <c r="R14" i="24"/>
  <c r="AE14" i="23"/>
  <c r="R28" i="24"/>
  <c r="R32" i="24"/>
  <c r="R36" i="24"/>
  <c r="R40" i="24"/>
  <c r="R44" i="24"/>
  <c r="R48" i="24"/>
  <c r="R52" i="24"/>
  <c r="R56" i="24"/>
  <c r="R60" i="24"/>
  <c r="R64" i="24"/>
  <c r="R68" i="24"/>
  <c r="AK7" i="8"/>
  <c r="Z26" i="8" s="1"/>
  <c r="N18" i="8"/>
  <c r="Q23" i="8"/>
  <c r="N26" i="8"/>
  <c r="N33" i="8"/>
  <c r="T34" i="8"/>
  <c r="Q40" i="8"/>
  <c r="W41" i="8"/>
  <c r="T49" i="8"/>
  <c r="W55" i="8"/>
  <c r="W58" i="8"/>
  <c r="U66" i="8"/>
  <c r="X12" i="3"/>
  <c r="Q37" i="3"/>
  <c r="Q41" i="3"/>
  <c r="Q45" i="3"/>
  <c r="Q49" i="3"/>
  <c r="Q53" i="3"/>
  <c r="Q57" i="3"/>
  <c r="Q61" i="3"/>
  <c r="Q65" i="3"/>
  <c r="Q69" i="3"/>
  <c r="R6" i="23"/>
  <c r="Q50" i="24"/>
  <c r="Q54" i="24"/>
  <c r="R16" i="23"/>
  <c r="R20" i="23"/>
  <c r="R24" i="23"/>
  <c r="R44" i="23"/>
  <c r="R48" i="23"/>
  <c r="R52" i="23"/>
  <c r="R56" i="23"/>
  <c r="R60" i="23"/>
  <c r="R64" i="23"/>
  <c r="R68" i="23"/>
  <c r="R5" i="24"/>
  <c r="R9" i="24"/>
  <c r="W5" i="8"/>
  <c r="Q31" i="8"/>
  <c r="Q45" i="8"/>
  <c r="Q8" i="8"/>
  <c r="O7" i="8"/>
  <c r="AK8" i="8"/>
  <c r="AQ8" i="8" s="1"/>
  <c r="U9" i="8"/>
  <c r="W15" i="8"/>
  <c r="R16" i="8"/>
  <c r="X18" i="8"/>
  <c r="U20" i="8"/>
  <c r="X21" i="8"/>
  <c r="N23" i="8"/>
  <c r="Q24" i="8"/>
  <c r="T25" i="8"/>
  <c r="W26" i="8"/>
  <c r="N29" i="8"/>
  <c r="Q30" i="8"/>
  <c r="U32" i="8"/>
  <c r="X33" i="8"/>
  <c r="O36" i="8"/>
  <c r="R37" i="8"/>
  <c r="U38" i="8"/>
  <c r="X39" i="8"/>
  <c r="N41" i="8"/>
  <c r="AA53" i="8"/>
  <c r="AA61" i="8"/>
  <c r="U65" i="8"/>
  <c r="N68" i="8"/>
  <c r="AH57" i="9"/>
  <c r="AH63" i="9" s="1"/>
  <c r="AD12" i="3"/>
  <c r="Q16" i="23"/>
  <c r="Q24" i="23"/>
  <c r="Q28" i="23"/>
  <c r="Q32" i="23"/>
  <c r="Q36" i="23"/>
  <c r="Q40" i="23"/>
  <c r="Q44" i="23"/>
  <c r="Q48" i="23"/>
  <c r="Q56" i="23"/>
  <c r="Q60" i="23"/>
  <c r="Q64" i="23"/>
  <c r="Q68" i="23"/>
  <c r="Q5" i="24"/>
  <c r="Q9" i="24"/>
  <c r="Y12" i="24"/>
  <c r="R13" i="24"/>
  <c r="R18" i="24"/>
  <c r="R22" i="24"/>
  <c r="Q3" i="8"/>
  <c r="O10" i="8"/>
  <c r="X13" i="8"/>
  <c r="AG57" i="9"/>
  <c r="AG63" i="9" s="1"/>
  <c r="AB53" i="8"/>
  <c r="AB61" i="8"/>
  <c r="AI57" i="9"/>
  <c r="AI63" i="9" s="1"/>
  <c r="X13" i="3"/>
  <c r="AE14" i="24"/>
  <c r="T4" i="8"/>
  <c r="O66" i="8"/>
  <c r="N2" i="8"/>
  <c r="N6" i="8"/>
  <c r="Q7" i="8"/>
  <c r="T8" i="8"/>
  <c r="W9" i="8"/>
  <c r="AE11" i="8"/>
  <c r="AF11" i="8" s="1"/>
  <c r="N14" i="8"/>
  <c r="T16" i="8"/>
  <c r="W20" i="8"/>
  <c r="W32" i="8"/>
  <c r="Q36" i="8"/>
  <c r="T37" i="8"/>
  <c r="W38" i="8"/>
  <c r="N42" i="8"/>
  <c r="AC53" i="8"/>
  <c r="AB54" i="8"/>
  <c r="AC61" i="8"/>
  <c r="W65" i="8"/>
  <c r="AJ57" i="9"/>
  <c r="AJ63" i="9" s="1"/>
  <c r="Q16" i="24"/>
  <c r="O2" i="8"/>
  <c r="AC54" i="8"/>
  <c r="AD61" i="8"/>
  <c r="Q60" i="3"/>
  <c r="Q64" i="3"/>
  <c r="Q68" i="3"/>
  <c r="R5" i="23"/>
  <c r="Q24" i="24"/>
  <c r="Q48" i="24"/>
  <c r="Q52" i="24"/>
  <c r="Q56" i="24"/>
  <c r="Q60" i="24"/>
  <c r="Q64" i="24"/>
  <c r="Q68" i="24"/>
  <c r="AD54" i="8"/>
  <c r="AF61" i="8"/>
  <c r="R9" i="23"/>
  <c r="Y13" i="23"/>
  <c r="R14" i="23"/>
  <c r="Q15" i="23"/>
  <c r="Q19" i="23"/>
  <c r="Q23" i="23"/>
  <c r="Q27" i="23"/>
  <c r="Q31" i="23"/>
  <c r="Q35" i="23"/>
  <c r="Q39" i="23"/>
  <c r="Q47" i="23"/>
  <c r="Q63" i="23"/>
  <c r="Q4" i="24"/>
  <c r="Q12" i="24"/>
  <c r="R17" i="24"/>
  <c r="R21" i="24"/>
  <c r="W27" i="8"/>
  <c r="U12" i="8"/>
  <c r="Q2" i="8"/>
  <c r="N5" i="8"/>
  <c r="Q6" i="8"/>
  <c r="T7" i="8"/>
  <c r="W8" i="8"/>
  <c r="N13" i="8"/>
  <c r="Q14" i="8"/>
  <c r="W16" i="8"/>
  <c r="AE18" i="8"/>
  <c r="N27" i="8"/>
  <c r="T36" i="8"/>
  <c r="W37" i="8"/>
  <c r="Q42" i="8"/>
  <c r="AG61" i="8"/>
  <c r="AA62" i="8"/>
  <c r="AJ58" i="9"/>
  <c r="AJ64" i="9" s="1"/>
  <c r="P34" i="3"/>
  <c r="P38" i="3"/>
  <c r="P42" i="3"/>
  <c r="P46" i="3"/>
  <c r="P50" i="3"/>
  <c r="P54" i="3"/>
  <c r="P58" i="3"/>
  <c r="P62" i="3"/>
  <c r="P66" i="3"/>
  <c r="AE12" i="24"/>
  <c r="T43" i="8"/>
  <c r="R2" i="8"/>
  <c r="AH61" i="8"/>
  <c r="AB62" i="8"/>
  <c r="Q67" i="8"/>
  <c r="T68" i="8"/>
  <c r="AD13" i="3"/>
  <c r="Y13" i="24"/>
  <c r="AJ2" i="8"/>
  <c r="W10" i="8"/>
  <c r="N15" i="8"/>
  <c r="T17" i="8"/>
  <c r="AI61" i="8"/>
  <c r="AC62" i="8"/>
  <c r="W66" i="8"/>
  <c r="Q43" i="3"/>
  <c r="Q47" i="3"/>
  <c r="Q51" i="3"/>
  <c r="Q55" i="3"/>
  <c r="Q59" i="3"/>
  <c r="Q63" i="3"/>
  <c r="Q67" i="3"/>
  <c r="R4" i="23"/>
  <c r="Q47" i="24"/>
  <c r="Q51" i="24"/>
  <c r="Q55" i="24"/>
  <c r="Q59" i="24"/>
  <c r="Q63" i="24"/>
  <c r="Q67" i="24"/>
  <c r="Q19" i="8"/>
  <c r="T2" i="8"/>
  <c r="AK2" i="8"/>
  <c r="N4" i="8"/>
  <c r="Q5" i="8"/>
  <c r="T6" i="8"/>
  <c r="W7" i="8"/>
  <c r="N12" i="8"/>
  <c r="Q13" i="8"/>
  <c r="T14" i="8"/>
  <c r="Q27" i="8"/>
  <c r="W36" i="8"/>
  <c r="T42" i="8"/>
  <c r="N43" i="8"/>
  <c r="AD62" i="8"/>
  <c r="Q13" i="23"/>
  <c r="Q22" i="23"/>
  <c r="Q26" i="23"/>
  <c r="Q30" i="23"/>
  <c r="Q34" i="23"/>
  <c r="Q38" i="23"/>
  <c r="Q42" i="23"/>
  <c r="Q46" i="23"/>
  <c r="Q50" i="23"/>
  <c r="Q54" i="23"/>
  <c r="Q58" i="23"/>
  <c r="Q66" i="23"/>
  <c r="Q3" i="24"/>
  <c r="Q7" i="24"/>
  <c r="Q11" i="24"/>
  <c r="R16" i="24"/>
  <c r="R20" i="24"/>
  <c r="AF62" i="8"/>
  <c r="Q7" i="3"/>
  <c r="Q11" i="3"/>
  <c r="P17" i="3"/>
  <c r="P21" i="3"/>
  <c r="P25" i="3"/>
  <c r="P29" i="3"/>
  <c r="P33" i="3"/>
  <c r="P37" i="3"/>
  <c r="P41" i="3"/>
  <c r="P45" i="3"/>
  <c r="P49" i="3"/>
  <c r="P53" i="3"/>
  <c r="P57" i="3"/>
  <c r="P61" i="3"/>
  <c r="P65" i="3"/>
  <c r="P69" i="3"/>
  <c r="AG62" i="8"/>
  <c r="R4" i="24"/>
  <c r="R8" i="24"/>
  <c r="W2" i="8"/>
  <c r="N3" i="8"/>
  <c r="Q4" i="8"/>
  <c r="T5" i="8"/>
  <c r="W6" i="8"/>
  <c r="Q12" i="8"/>
  <c r="T13" i="8"/>
  <c r="W14" i="8"/>
  <c r="N19" i="8"/>
  <c r="T27" i="8"/>
  <c r="N31" i="8"/>
  <c r="W42" i="8"/>
  <c r="Q43" i="8"/>
  <c r="N45" i="8"/>
  <c r="AH62" i="8"/>
  <c r="Q58" i="3"/>
  <c r="Q62" i="3"/>
  <c r="Q66" i="3"/>
  <c r="R7" i="23"/>
  <c r="Q58" i="24"/>
  <c r="Q62" i="24"/>
  <c r="Q66" i="24"/>
  <c r="Q21" i="23"/>
  <c r="Q25" i="23"/>
  <c r="Q29" i="23"/>
  <c r="Q33" i="23"/>
  <c r="Q37" i="23"/>
  <c r="Q41" i="23"/>
  <c r="Q45" i="23"/>
  <c r="Q49" i="23"/>
  <c r="Q53" i="23"/>
  <c r="Q57" i="23"/>
  <c r="Q61" i="23"/>
  <c r="Q65" i="23"/>
  <c r="Q69" i="23"/>
  <c r="Q10" i="24"/>
  <c r="R15" i="24"/>
  <c r="R19" i="24"/>
  <c r="R23" i="24"/>
  <c r="O23" i="24"/>
  <c r="N29" i="7"/>
  <c r="N53" i="23"/>
  <c r="R3" i="7"/>
  <c r="T8" i="7"/>
  <c r="O62" i="23"/>
  <c r="N13" i="24"/>
  <c r="O43" i="23"/>
  <c r="Q13" i="24"/>
  <c r="R4" i="7"/>
  <c r="T6" i="7"/>
  <c r="O67" i="23"/>
  <c r="W26" i="7"/>
  <c r="T29" i="7"/>
  <c r="N15" i="24"/>
  <c r="O19" i="24"/>
  <c r="O2" i="7"/>
  <c r="T27" i="7"/>
  <c r="O21" i="3"/>
  <c r="Q67" i="23"/>
  <c r="W5" i="7"/>
  <c r="N28" i="7"/>
  <c r="O20" i="3"/>
  <c r="O46" i="23"/>
  <c r="Q28" i="7"/>
  <c r="U30" i="7"/>
  <c r="W32" i="7"/>
  <c r="N13" i="3"/>
  <c r="O23" i="23"/>
  <c r="O54" i="23"/>
  <c r="AP8" i="7"/>
  <c r="N20" i="3"/>
  <c r="Q29" i="7"/>
  <c r="N37" i="7"/>
  <c r="O55" i="23"/>
  <c r="O59" i="23"/>
  <c r="O5" i="24"/>
  <c r="Q13" i="7"/>
  <c r="N43" i="23"/>
  <c r="N67" i="23"/>
  <c r="P20" i="3"/>
  <c r="O20" i="24"/>
  <c r="W13" i="7"/>
  <c r="T5" i="7"/>
  <c r="N24" i="23"/>
  <c r="N25" i="23"/>
  <c r="O24" i="3"/>
  <c r="O24" i="23"/>
  <c r="O25" i="23"/>
  <c r="N60" i="23"/>
  <c r="N62" i="23"/>
  <c r="R37" i="7"/>
  <c r="N59" i="23"/>
  <c r="N4" i="7"/>
  <c r="U32" i="7"/>
  <c r="Q59" i="23"/>
  <c r="O11" i="24"/>
  <c r="AQ7" i="7"/>
  <c r="N14" i="23"/>
  <c r="N69" i="23"/>
  <c r="N19" i="3"/>
  <c r="O14" i="23"/>
  <c r="N49" i="23"/>
  <c r="N63" i="23"/>
  <c r="T4" i="7"/>
  <c r="W6" i="7"/>
  <c r="N23" i="23"/>
  <c r="O10" i="24"/>
  <c r="O8" i="24"/>
  <c r="AH2" i="7"/>
  <c r="N6" i="7"/>
  <c r="Q26" i="7"/>
  <c r="N23" i="24"/>
  <c r="N22" i="24"/>
  <c r="AI2" i="7"/>
  <c r="N3" i="7"/>
  <c r="AP7" i="7"/>
  <c r="T13" i="7"/>
  <c r="O19" i="3"/>
  <c r="W21" i="23"/>
  <c r="O25" i="3"/>
  <c r="N4" i="24"/>
  <c r="N10" i="24"/>
  <c r="N16" i="24"/>
  <c r="T2" i="7"/>
  <c r="Q30" i="7"/>
  <c r="AD46" i="7"/>
  <c r="AD47" i="7" s="1"/>
  <c r="N47" i="23"/>
  <c r="O4" i="24"/>
  <c r="N65" i="23"/>
  <c r="R10" i="24"/>
  <c r="N17" i="24"/>
  <c r="Q5" i="7"/>
  <c r="X2" i="7"/>
  <c r="Q27" i="7"/>
  <c r="O17" i="3"/>
  <c r="O23" i="3"/>
  <c r="O21" i="23"/>
  <c r="N45" i="23"/>
  <c r="U18" i="24"/>
  <c r="Q20" i="24"/>
  <c r="AK2" i="7"/>
  <c r="W30" i="7"/>
  <c r="O45" i="23"/>
  <c r="O22" i="24"/>
  <c r="Q8" i="7"/>
  <c r="AA46" i="7"/>
  <c r="AA47" i="7" s="1"/>
  <c r="N13" i="23"/>
  <c r="N61" i="23"/>
  <c r="Q62" i="23"/>
  <c r="N8" i="24"/>
  <c r="O13" i="23"/>
  <c r="N44" i="23"/>
  <c r="O61" i="23"/>
  <c r="O16" i="24"/>
  <c r="Q19" i="24"/>
  <c r="O47" i="23"/>
  <c r="N55" i="23"/>
  <c r="O21" i="24"/>
  <c r="N26" i="7"/>
  <c r="W27" i="7"/>
  <c r="N24" i="3"/>
  <c r="Q55" i="23"/>
  <c r="AA53" i="7"/>
  <c r="Q43" i="23"/>
  <c r="N46" i="23"/>
  <c r="O9" i="24"/>
  <c r="O13" i="24"/>
  <c r="O15" i="24"/>
  <c r="Q8" i="23"/>
  <c r="O8" i="23"/>
  <c r="N8" i="23"/>
  <c r="O8" i="7"/>
  <c r="T26" i="7"/>
  <c r="X28" i="7"/>
  <c r="N30" i="7"/>
  <c r="U37" i="7"/>
  <c r="P6" i="3"/>
  <c r="O6" i="3"/>
  <c r="N6" i="3"/>
  <c r="P14" i="3"/>
  <c r="O14" i="3"/>
  <c r="N14" i="3"/>
  <c r="R29" i="23"/>
  <c r="O29" i="23"/>
  <c r="R33" i="23"/>
  <c r="O33" i="23"/>
  <c r="R37" i="23"/>
  <c r="O37" i="23"/>
  <c r="R41" i="23"/>
  <c r="O41" i="23"/>
  <c r="P18" i="3"/>
  <c r="O18" i="3"/>
  <c r="N18" i="3"/>
  <c r="V23" i="3"/>
  <c r="U20" i="23"/>
  <c r="R10" i="23"/>
  <c r="O10" i="23"/>
  <c r="N10" i="23"/>
  <c r="R57" i="23"/>
  <c r="N57" i="23"/>
  <c r="W37" i="7"/>
  <c r="Z16" i="3"/>
  <c r="AC13" i="3"/>
  <c r="V22" i="3"/>
  <c r="AC14" i="3"/>
  <c r="Q3" i="3"/>
  <c r="V25" i="3"/>
  <c r="V21" i="3"/>
  <c r="V20" i="3"/>
  <c r="Z18" i="3"/>
  <c r="AC12" i="3"/>
  <c r="Q7" i="23"/>
  <c r="O7" i="23"/>
  <c r="N7" i="23"/>
  <c r="N7" i="24"/>
  <c r="R58" i="23"/>
  <c r="O58" i="23"/>
  <c r="AK8" i="7"/>
  <c r="AQ8" i="7" s="1"/>
  <c r="T3" i="7"/>
  <c r="W4" i="7"/>
  <c r="Q18" i="23"/>
  <c r="O18" i="23"/>
  <c r="N18" i="23"/>
  <c r="U22" i="23"/>
  <c r="R28" i="23"/>
  <c r="O28" i="23"/>
  <c r="R32" i="23"/>
  <c r="O32" i="23"/>
  <c r="R36" i="23"/>
  <c r="O36" i="23"/>
  <c r="R40" i="23"/>
  <c r="O40" i="23"/>
  <c r="N20" i="23"/>
  <c r="Q20" i="23"/>
  <c r="O20" i="23"/>
  <c r="AE11" i="7"/>
  <c r="AF11" i="7" s="1"/>
  <c r="Z26" i="7"/>
  <c r="AB46" i="7"/>
  <c r="AB47" i="7" s="1"/>
  <c r="P16" i="3"/>
  <c r="O16" i="3"/>
  <c r="N16" i="3"/>
  <c r="Q6" i="23"/>
  <c r="O6" i="23"/>
  <c r="N6" i="23"/>
  <c r="X14" i="23"/>
  <c r="AC46" i="7"/>
  <c r="AC47" i="7" s="1"/>
  <c r="O14" i="24"/>
  <c r="N14" i="24"/>
  <c r="Q14" i="24"/>
  <c r="U22" i="24"/>
  <c r="W3" i="7"/>
  <c r="P9" i="3"/>
  <c r="O9" i="3"/>
  <c r="N9" i="3"/>
  <c r="W20" i="23"/>
  <c r="AD12" i="23"/>
  <c r="Q17" i="23"/>
  <c r="O17" i="23"/>
  <c r="N17" i="23"/>
  <c r="Q2" i="7"/>
  <c r="X3" i="7"/>
  <c r="N5" i="7"/>
  <c r="Q6" i="7"/>
  <c r="W8" i="7"/>
  <c r="N13" i="7"/>
  <c r="AE18" i="7"/>
  <c r="N27" i="7"/>
  <c r="P15" i="3"/>
  <c r="O15" i="3"/>
  <c r="N15" i="3"/>
  <c r="R27" i="23"/>
  <c r="O27" i="23"/>
  <c r="R31" i="23"/>
  <c r="O31" i="23"/>
  <c r="R35" i="23"/>
  <c r="O35" i="23"/>
  <c r="R39" i="23"/>
  <c r="O39" i="23"/>
  <c r="Q32" i="7"/>
  <c r="R2" i="7"/>
  <c r="R11" i="23"/>
  <c r="O11" i="23"/>
  <c r="N11" i="23"/>
  <c r="AJ2" i="7"/>
  <c r="P8" i="3"/>
  <c r="O8" i="3"/>
  <c r="N8" i="3"/>
  <c r="Q52" i="23"/>
  <c r="O52" i="23"/>
  <c r="N52" i="23"/>
  <c r="T18" i="3"/>
  <c r="R12" i="23"/>
  <c r="O12" i="23"/>
  <c r="N12" i="23"/>
  <c r="O57" i="23"/>
  <c r="Q51" i="23"/>
  <c r="O51" i="23"/>
  <c r="N51" i="23"/>
  <c r="T28" i="7"/>
  <c r="W29" i="7"/>
  <c r="N32" i="7"/>
  <c r="T23" i="3"/>
  <c r="Q9" i="23"/>
  <c r="O9" i="23"/>
  <c r="N9" i="23"/>
  <c r="R26" i="23"/>
  <c r="O26" i="23"/>
  <c r="R30" i="23"/>
  <c r="O30" i="23"/>
  <c r="R34" i="23"/>
  <c r="O34" i="23"/>
  <c r="R38" i="23"/>
  <c r="O38" i="23"/>
  <c r="R42" i="23"/>
  <c r="O42" i="23"/>
  <c r="O12" i="24"/>
  <c r="R12" i="24"/>
  <c r="N12" i="24"/>
  <c r="P7" i="3"/>
  <c r="O7" i="3"/>
  <c r="N7" i="3"/>
  <c r="W14" i="3"/>
  <c r="Z17" i="3"/>
  <c r="O13" i="3"/>
  <c r="N19" i="23"/>
  <c r="W22" i="23"/>
  <c r="O44" i="23"/>
  <c r="O60" i="23"/>
  <c r="Q8" i="24"/>
  <c r="Q18" i="24"/>
  <c r="O18" i="24"/>
  <c r="N18" i="24"/>
  <c r="Q29" i="24"/>
  <c r="O29" i="24"/>
  <c r="N29" i="24"/>
  <c r="Q33" i="24"/>
  <c r="O33" i="24"/>
  <c r="N33" i="24"/>
  <c r="Q37" i="24"/>
  <c r="O37" i="24"/>
  <c r="N37" i="24"/>
  <c r="Q41" i="24"/>
  <c r="O41" i="24"/>
  <c r="N41" i="24"/>
  <c r="Q45" i="24"/>
  <c r="O45" i="24"/>
  <c r="N45" i="24"/>
  <c r="T20" i="3"/>
  <c r="N21" i="3"/>
  <c r="N25" i="3"/>
  <c r="U23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58" i="23"/>
  <c r="Q15" i="24"/>
  <c r="N21" i="24"/>
  <c r="W23" i="23"/>
  <c r="AA18" i="24"/>
  <c r="AA17" i="24"/>
  <c r="AA16" i="24"/>
  <c r="AD13" i="24"/>
  <c r="W25" i="24"/>
  <c r="W23" i="24"/>
  <c r="AD14" i="24"/>
  <c r="R3" i="24"/>
  <c r="W22" i="24"/>
  <c r="W21" i="24"/>
  <c r="W20" i="24"/>
  <c r="N10" i="3"/>
  <c r="N11" i="3"/>
  <c r="N12" i="3"/>
  <c r="U25" i="23"/>
  <c r="N56" i="23"/>
  <c r="N5" i="24"/>
  <c r="N6" i="24"/>
  <c r="N11" i="24"/>
  <c r="X13" i="24"/>
  <c r="Q17" i="24"/>
  <c r="O17" i="24"/>
  <c r="U21" i="24"/>
  <c r="O10" i="3"/>
  <c r="O11" i="3"/>
  <c r="O12" i="3"/>
  <c r="W25" i="23"/>
  <c r="O56" i="23"/>
  <c r="Q6" i="24"/>
  <c r="U20" i="24"/>
  <c r="Q28" i="24"/>
  <c r="O28" i="24"/>
  <c r="N28" i="24"/>
  <c r="Q32" i="24"/>
  <c r="O32" i="24"/>
  <c r="N32" i="24"/>
  <c r="Q36" i="24"/>
  <c r="O36" i="24"/>
  <c r="N36" i="24"/>
  <c r="Q40" i="24"/>
  <c r="O40" i="24"/>
  <c r="N40" i="24"/>
  <c r="Q44" i="24"/>
  <c r="O44" i="24"/>
  <c r="N44" i="24"/>
  <c r="N3" i="3"/>
  <c r="N4" i="3"/>
  <c r="N5" i="3"/>
  <c r="T21" i="3"/>
  <c r="N22" i="3"/>
  <c r="T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3" i="23"/>
  <c r="N4" i="23"/>
  <c r="N5" i="23"/>
  <c r="X13" i="23"/>
  <c r="N15" i="23"/>
  <c r="N16" i="23"/>
  <c r="N54" i="23"/>
  <c r="N3" i="24"/>
  <c r="R11" i="24"/>
  <c r="O3" i="3"/>
  <c r="O4" i="3"/>
  <c r="O5" i="3"/>
  <c r="W13" i="3"/>
  <c r="O22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3" i="23"/>
  <c r="O4" i="23"/>
  <c r="O5" i="23"/>
  <c r="AD14" i="23"/>
  <c r="O15" i="23"/>
  <c r="O16" i="23"/>
  <c r="O3" i="24"/>
  <c r="P3" i="3"/>
  <c r="Q3" i="23"/>
  <c r="O53" i="23"/>
  <c r="N68" i="23"/>
  <c r="O69" i="23"/>
  <c r="R3" i="23"/>
  <c r="O68" i="23"/>
  <c r="O7" i="24"/>
  <c r="Q27" i="24"/>
  <c r="O27" i="24"/>
  <c r="N27" i="24"/>
  <c r="Q31" i="24"/>
  <c r="O31" i="24"/>
  <c r="N31" i="24"/>
  <c r="Q35" i="24"/>
  <c r="O35" i="24"/>
  <c r="N35" i="24"/>
  <c r="Q39" i="24"/>
  <c r="O39" i="24"/>
  <c r="N39" i="24"/>
  <c r="Q43" i="24"/>
  <c r="O43" i="24"/>
  <c r="N43" i="24"/>
  <c r="N17" i="3"/>
  <c r="T22" i="3"/>
  <c r="N23" i="3"/>
  <c r="X12" i="23"/>
  <c r="U16" i="23"/>
  <c r="O19" i="23"/>
  <c r="N21" i="23"/>
  <c r="N50" i="23"/>
  <c r="N66" i="23"/>
  <c r="W12" i="3"/>
  <c r="AA16" i="23"/>
  <c r="O50" i="23"/>
  <c r="O66" i="23"/>
  <c r="U17" i="24"/>
  <c r="O6" i="24"/>
  <c r="U23" i="24"/>
  <c r="T16" i="3"/>
  <c r="AD13" i="23"/>
  <c r="AA17" i="23"/>
  <c r="U18" i="23"/>
  <c r="N22" i="23"/>
  <c r="N48" i="23"/>
  <c r="O49" i="23"/>
  <c r="N64" i="23"/>
  <c r="O65" i="23"/>
  <c r="U17" i="23"/>
  <c r="AA18" i="23"/>
  <c r="O22" i="23"/>
  <c r="O48" i="23"/>
  <c r="O64" i="23"/>
  <c r="U16" i="24"/>
  <c r="X14" i="24"/>
  <c r="Q26" i="24"/>
  <c r="O26" i="24"/>
  <c r="N26" i="24"/>
  <c r="Q30" i="24"/>
  <c r="O30" i="24"/>
  <c r="N30" i="24"/>
  <c r="Q34" i="24"/>
  <c r="O34" i="24"/>
  <c r="N34" i="24"/>
  <c r="Q38" i="24"/>
  <c r="O38" i="24"/>
  <c r="N38" i="24"/>
  <c r="Q42" i="24"/>
  <c r="O42" i="24"/>
  <c r="N42" i="24"/>
  <c r="Q46" i="24"/>
  <c r="O46" i="24"/>
  <c r="N46" i="24"/>
  <c r="T17" i="3"/>
  <c r="U21" i="23"/>
  <c r="O63" i="23"/>
  <c r="N9" i="24"/>
  <c r="AD12" i="24"/>
  <c r="N24" i="24"/>
  <c r="N25" i="24"/>
  <c r="O24" i="24"/>
  <c r="O25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X12" i="24"/>
  <c r="U25" i="24"/>
  <c r="N19" i="24"/>
  <c r="N20" i="24"/>
  <c r="R4" i="11"/>
  <c r="N12" i="11"/>
  <c r="N37" i="11"/>
  <c r="N41" i="11"/>
  <c r="N62" i="11"/>
  <c r="N28" i="11"/>
  <c r="N7" i="11"/>
  <c r="N11" i="11"/>
  <c r="N44" i="11"/>
  <c r="N57" i="11"/>
  <c r="W4" i="11"/>
  <c r="N15" i="11"/>
  <c r="N19" i="11"/>
  <c r="N65" i="11"/>
  <c r="N67" i="11"/>
  <c r="N23" i="11"/>
  <c r="N27" i="11"/>
  <c r="Y4" i="11"/>
  <c r="N6" i="11"/>
  <c r="N31" i="11"/>
  <c r="N35" i="11"/>
  <c r="N52" i="11"/>
  <c r="N66" i="11"/>
  <c r="N14" i="11"/>
  <c r="N39" i="11"/>
  <c r="N43" i="11"/>
  <c r="N60" i="11"/>
  <c r="AA5" i="11"/>
  <c r="N10" i="11"/>
  <c r="N22" i="11"/>
  <c r="N47" i="11"/>
  <c r="N68" i="11"/>
  <c r="N18" i="11"/>
  <c r="N30" i="11"/>
  <c r="N45" i="11"/>
  <c r="N51" i="11"/>
  <c r="N55" i="11"/>
  <c r="N26" i="11"/>
  <c r="N38" i="11"/>
  <c r="N53" i="11"/>
  <c r="N59" i="11"/>
  <c r="N63" i="11"/>
  <c r="N5" i="11"/>
  <c r="N9" i="11"/>
  <c r="N34" i="11"/>
  <c r="N46" i="11"/>
  <c r="N61" i="11"/>
  <c r="N13" i="11"/>
  <c r="N17" i="11"/>
  <c r="N42" i="11"/>
  <c r="N69" i="11"/>
  <c r="P4" i="11"/>
  <c r="N21" i="11"/>
  <c r="N25" i="11"/>
  <c r="N50" i="11"/>
  <c r="N3" i="11"/>
  <c r="AB3" i="11" s="1"/>
  <c r="AA6" i="11" l="1"/>
  <c r="AO5" i="11"/>
  <c r="Z5" i="11"/>
  <c r="AN4" i="11"/>
  <c r="Y5" i="11"/>
  <c r="AM4" i="11"/>
  <c r="X5" i="11"/>
  <c r="AL4" i="11"/>
  <c r="W5" i="11"/>
  <c r="AK4" i="11"/>
  <c r="V5" i="11"/>
  <c r="AJ4" i="11"/>
  <c r="U5" i="11"/>
  <c r="AI4" i="11"/>
  <c r="T5" i="11"/>
  <c r="AH4" i="11"/>
  <c r="S5" i="11"/>
  <c r="AG4" i="11"/>
  <c r="R5" i="11"/>
  <c r="AF4" i="11"/>
  <c r="Q5" i="11"/>
  <c r="AE4" i="11"/>
  <c r="AB4" i="11"/>
  <c r="AP4" i="11" s="1"/>
  <c r="AP3" i="11"/>
  <c r="P5" i="11"/>
  <c r="AD4" i="11"/>
  <c r="AF18" i="9"/>
  <c r="AE17" i="9"/>
  <c r="AF17" i="9" s="1"/>
  <c r="AE16" i="9"/>
  <c r="AF16" i="9" s="1"/>
  <c r="AC11" i="9"/>
  <c r="AD11" i="9" s="1"/>
  <c r="AC17" i="9"/>
  <c r="AE10" i="9"/>
  <c r="AF10" i="9" s="1"/>
  <c r="AG10" i="9"/>
  <c r="AA18" i="9"/>
  <c r="AG15" i="9"/>
  <c r="AE15" i="9"/>
  <c r="AF15" i="9" s="1"/>
  <c r="AA16" i="9"/>
  <c r="AG17" i="9"/>
  <c r="AG16" i="9"/>
  <c r="AA10" i="9"/>
  <c r="AG9" i="9"/>
  <c r="AE8" i="9"/>
  <c r="AF8" i="9" s="1"/>
  <c r="AG14" i="9"/>
  <c r="AH14" i="9" s="1"/>
  <c r="AA11" i="9"/>
  <c r="AB11" i="9" s="1"/>
  <c r="AA15" i="9"/>
  <c r="AB15" i="9" s="1"/>
  <c r="AA7" i="9"/>
  <c r="AA9" i="9"/>
  <c r="AG7" i="9"/>
  <c r="AA17" i="9"/>
  <c r="AC18" i="9"/>
  <c r="AD17" i="9"/>
  <c r="AE14" i="9"/>
  <c r="AF14" i="9" s="1"/>
  <c r="AA14" i="9"/>
  <c r="AB14" i="9" s="1"/>
  <c r="AG18" i="9"/>
  <c r="AC16" i="9"/>
  <c r="AD16" i="9" s="1"/>
  <c r="AC10" i="9"/>
  <c r="AD10" i="9" s="1"/>
  <c r="AC15" i="9"/>
  <c r="AD15" i="9" s="1"/>
  <c r="AC7" i="9"/>
  <c r="AC8" i="9"/>
  <c r="AG11" i="9"/>
  <c r="AH11" i="9" s="1"/>
  <c r="AC9" i="9"/>
  <c r="AD9" i="9" s="1"/>
  <c r="AC14" i="9"/>
  <c r="AD14" i="9" s="1"/>
  <c r="AE7" i="9"/>
  <c r="AF7" i="9" s="1"/>
  <c r="AE9" i="9"/>
  <c r="AF9" i="9" s="1"/>
  <c r="AA8" i="9"/>
  <c r="AD19" i="9"/>
  <c r="AG8" i="9"/>
  <c r="Z27" i="9"/>
  <c r="AI65" i="8"/>
  <c r="AI66" i="8" s="1"/>
  <c r="AQ7" i="8"/>
  <c r="Z27" i="8"/>
  <c r="AC17" i="8"/>
  <c r="AF18" i="8"/>
  <c r="AG17" i="8"/>
  <c r="V20" i="23"/>
  <c r="AE17" i="8"/>
  <c r="AF17" i="8" s="1"/>
  <c r="AA65" i="8"/>
  <c r="AA66" i="8" s="1"/>
  <c r="AA7" i="8"/>
  <c r="AA14" i="8"/>
  <c r="AB14" i="8" s="1"/>
  <c r="AA11" i="8"/>
  <c r="AB11" i="8" s="1"/>
  <c r="AA10" i="8"/>
  <c r="AA16" i="8"/>
  <c r="AB16" i="8" s="1"/>
  <c r="AA8" i="8"/>
  <c r="AA9" i="8"/>
  <c r="AA18" i="8"/>
  <c r="AA15" i="8"/>
  <c r="AB15" i="8" s="1"/>
  <c r="AE16" i="8"/>
  <c r="AF16" i="8" s="1"/>
  <c r="AE8" i="8"/>
  <c r="AF8" i="8" s="1"/>
  <c r="AE10" i="8"/>
  <c r="AF10" i="8" s="1"/>
  <c r="AE9" i="8"/>
  <c r="AF9" i="8" s="1"/>
  <c r="AE15" i="8"/>
  <c r="AF15" i="8" s="1"/>
  <c r="AE14" i="8"/>
  <c r="AF14" i="8" s="1"/>
  <c r="AE7" i="8"/>
  <c r="AF7" i="8" s="1"/>
  <c r="AB65" i="8"/>
  <c r="AB66" i="8" s="1"/>
  <c r="AC7" i="8"/>
  <c r="AC10" i="8"/>
  <c r="AC16" i="8"/>
  <c r="AD16" i="8" s="1"/>
  <c r="AC8" i="8"/>
  <c r="AG18" i="8"/>
  <c r="AC9" i="8"/>
  <c r="AC14" i="8"/>
  <c r="AD14" i="8" s="1"/>
  <c r="AC15" i="8"/>
  <c r="AD15" i="8" s="1"/>
  <c r="AG11" i="8"/>
  <c r="AH11" i="8" s="1"/>
  <c r="AD65" i="8"/>
  <c r="AD66" i="8" s="1"/>
  <c r="AA17" i="8"/>
  <c r="AC18" i="8"/>
  <c r="AC11" i="8"/>
  <c r="AD11" i="8" s="1"/>
  <c r="AG65" i="8"/>
  <c r="AG66" i="8" s="1"/>
  <c r="AF65" i="8"/>
  <c r="AF66" i="8" s="1"/>
  <c r="AH65" i="8"/>
  <c r="AH66" i="8" s="1"/>
  <c r="W20" i="3"/>
  <c r="AG8" i="8"/>
  <c r="AG9" i="8"/>
  <c r="AG15" i="8"/>
  <c r="AH15" i="8" s="1"/>
  <c r="AG16" i="8"/>
  <c r="AH16" i="8" s="1"/>
  <c r="AD19" i="8"/>
  <c r="AG10" i="8"/>
  <c r="AG14" i="8"/>
  <c r="AH14" i="8" s="1"/>
  <c r="AG7" i="8"/>
  <c r="AC65" i="8"/>
  <c r="AC66" i="8" s="1"/>
  <c r="V21" i="23"/>
  <c r="X21" i="23"/>
  <c r="AC18" i="7"/>
  <c r="W22" i="3"/>
  <c r="AE17" i="7"/>
  <c r="AF17" i="7" s="1"/>
  <c r="AF18" i="7"/>
  <c r="AA8" i="7"/>
  <c r="AA17" i="7"/>
  <c r="AG17" i="7"/>
  <c r="W23" i="3"/>
  <c r="AC11" i="7"/>
  <c r="AD11" i="7" s="1"/>
  <c r="AC17" i="7"/>
  <c r="U24" i="24"/>
  <c r="V24" i="24" s="1"/>
  <c r="X21" i="24"/>
  <c r="U21" i="3"/>
  <c r="AA7" i="7"/>
  <c r="X23" i="23"/>
  <c r="U23" i="3"/>
  <c r="U20" i="3"/>
  <c r="AG14" i="7"/>
  <c r="V23" i="24"/>
  <c r="V21" i="24"/>
  <c r="AE14" i="7"/>
  <c r="AF14" i="7" s="1"/>
  <c r="AG15" i="7"/>
  <c r="AE9" i="7"/>
  <c r="AF9" i="7" s="1"/>
  <c r="W24" i="23"/>
  <c r="X24" i="23" s="1"/>
  <c r="AA14" i="7"/>
  <c r="AA18" i="7"/>
  <c r="Z27" i="7"/>
  <c r="X23" i="24"/>
  <c r="AA10" i="7"/>
  <c r="AA16" i="7"/>
  <c r="AB16" i="7" s="1"/>
  <c r="AG10" i="7"/>
  <c r="AE10" i="7"/>
  <c r="AF10" i="7" s="1"/>
  <c r="W9" i="23"/>
  <c r="X9" i="23"/>
  <c r="V9" i="23"/>
  <c r="U9" i="23"/>
  <c r="AF9" i="23"/>
  <c r="AE9" i="23"/>
  <c r="AD9" i="23"/>
  <c r="AC9" i="23"/>
  <c r="AB9" i="23"/>
  <c r="AA9" i="23"/>
  <c r="Z9" i="23"/>
  <c r="Y9" i="23"/>
  <c r="AG8" i="7"/>
  <c r="W24" i="24"/>
  <c r="X24" i="24" s="1"/>
  <c r="X20" i="23"/>
  <c r="T24" i="3"/>
  <c r="U24" i="3" s="1"/>
  <c r="V22" i="23"/>
  <c r="X22" i="23"/>
  <c r="AG7" i="7"/>
  <c r="V9" i="24"/>
  <c r="U9" i="24"/>
  <c r="AD9" i="24"/>
  <c r="AF9" i="24"/>
  <c r="AE9" i="24"/>
  <c r="AC9" i="24"/>
  <c r="AB9" i="24"/>
  <c r="AA9" i="24"/>
  <c r="Z9" i="24"/>
  <c r="Y9" i="24"/>
  <c r="X9" i="24"/>
  <c r="W9" i="24"/>
  <c r="V5" i="23"/>
  <c r="U5" i="23"/>
  <c r="AD19" i="7"/>
  <c r="AA15" i="7"/>
  <c r="AB15" i="7" s="1"/>
  <c r="U24" i="23"/>
  <c r="V24" i="23" s="1"/>
  <c r="V5" i="24"/>
  <c r="U5" i="24"/>
  <c r="AE15" i="7"/>
  <c r="AF15" i="7" s="1"/>
  <c r="V22" i="24"/>
  <c r="AG9" i="7"/>
  <c r="U5" i="3"/>
  <c r="T5" i="3"/>
  <c r="W21" i="3"/>
  <c r="V20" i="24"/>
  <c r="V24" i="3"/>
  <c r="W24" i="3" s="1"/>
  <c r="AE16" i="7"/>
  <c r="AF16" i="7" s="1"/>
  <c r="AE8" i="7"/>
  <c r="AF8" i="7" s="1"/>
  <c r="AE7" i="7"/>
  <c r="AF7" i="7" s="1"/>
  <c r="AG16" i="7"/>
  <c r="AH16" i="7" s="1"/>
  <c r="X20" i="24"/>
  <c r="V23" i="23"/>
  <c r="AA11" i="7"/>
  <c r="AB11" i="7" s="1"/>
  <c r="AC16" i="7"/>
  <c r="AD16" i="7" s="1"/>
  <c r="AC8" i="7"/>
  <c r="AC10" i="7"/>
  <c r="AD10" i="7" s="1"/>
  <c r="AG18" i="7"/>
  <c r="AC9" i="7"/>
  <c r="AD9" i="7" s="1"/>
  <c r="AC7" i="7"/>
  <c r="AC15" i="7"/>
  <c r="AD15" i="7" s="1"/>
  <c r="AG11" i="7"/>
  <c r="AH11" i="7" s="1"/>
  <c r="AC14" i="7"/>
  <c r="AD14" i="7" s="1"/>
  <c r="U22" i="3"/>
  <c r="V9" i="3"/>
  <c r="U9" i="3"/>
  <c r="T9" i="3"/>
  <c r="AE9" i="3"/>
  <c r="AD9" i="3"/>
  <c r="AC9" i="3"/>
  <c r="AB9" i="3"/>
  <c r="Z9" i="3"/>
  <c r="Y9" i="3"/>
  <c r="AA9" i="3"/>
  <c r="X9" i="3"/>
  <c r="W9" i="3"/>
  <c r="X22" i="24"/>
  <c r="AA9" i="7"/>
  <c r="AB9" i="8" l="1"/>
  <c r="AA7" i="11"/>
  <c r="AO6" i="11"/>
  <c r="AN5" i="11"/>
  <c r="Z6" i="11"/>
  <c r="Y6" i="11"/>
  <c r="AM5" i="11"/>
  <c r="X6" i="11"/>
  <c r="AL5" i="11"/>
  <c r="W6" i="11"/>
  <c r="AK5" i="11"/>
  <c r="V6" i="11"/>
  <c r="AJ5" i="11"/>
  <c r="U6" i="11"/>
  <c r="AI5" i="11"/>
  <c r="T6" i="11"/>
  <c r="AH5" i="11"/>
  <c r="AG5" i="11"/>
  <c r="S6" i="11"/>
  <c r="R6" i="11"/>
  <c r="AF5" i="11"/>
  <c r="AB5" i="11"/>
  <c r="AB6" i="11" s="1"/>
  <c r="AE5" i="11"/>
  <c r="Q6" i="11"/>
  <c r="P6" i="11"/>
  <c r="AD5" i="11"/>
  <c r="AD18" i="9"/>
  <c r="AB7" i="9"/>
  <c r="AH9" i="9"/>
  <c r="AB10" i="9"/>
  <c r="AB18" i="9"/>
  <c r="AB8" i="9"/>
  <c r="AB17" i="9"/>
  <c r="AB9" i="9"/>
  <c r="AH7" i="9"/>
  <c r="Z34" i="9" s="1"/>
  <c r="AD8" i="9"/>
  <c r="Z31" i="9" s="1"/>
  <c r="AD7" i="9"/>
  <c r="Z30" i="9" s="1"/>
  <c r="AH16" i="9"/>
  <c r="AH18" i="9"/>
  <c r="AH17" i="9"/>
  <c r="AB16" i="9"/>
  <c r="AH8" i="9"/>
  <c r="AH10" i="9"/>
  <c r="AH15" i="9"/>
  <c r="AB10" i="8"/>
  <c r="AB17" i="8"/>
  <c r="AB8" i="8"/>
  <c r="AB7" i="8"/>
  <c r="AB18" i="8"/>
  <c r="AD18" i="8"/>
  <c r="AD17" i="8"/>
  <c r="AD9" i="8"/>
  <c r="AH18" i="8"/>
  <c r="AH10" i="8"/>
  <c r="AD8" i="8"/>
  <c r="Z31" i="8" s="1"/>
  <c r="AH9" i="8"/>
  <c r="AH8" i="8"/>
  <c r="Z35" i="8" s="1"/>
  <c r="AD10" i="8"/>
  <c r="AH7" i="8"/>
  <c r="Z34" i="8" s="1"/>
  <c r="AD7" i="8"/>
  <c r="Z30" i="8" s="1"/>
  <c r="AH17" i="8"/>
  <c r="AD17" i="7"/>
  <c r="AD18" i="7"/>
  <c r="U25" i="3"/>
  <c r="X25" i="23"/>
  <c r="AB9" i="7"/>
  <c r="V25" i="24"/>
  <c r="W25" i="3"/>
  <c r="AH18" i="7"/>
  <c r="AH9" i="7"/>
  <c r="V25" i="23"/>
  <c r="AB17" i="7"/>
  <c r="AB8" i="7"/>
  <c r="AB10" i="7"/>
  <c r="AH7" i="7"/>
  <c r="AD7" i="7"/>
  <c r="Z30" i="7" s="1"/>
  <c r="X25" i="24"/>
  <c r="AH10" i="7"/>
  <c r="AH8" i="7"/>
  <c r="AD8" i="7"/>
  <c r="Z31" i="7" s="1"/>
  <c r="AB14" i="7"/>
  <c r="AH17" i="7"/>
  <c r="AB7" i="7"/>
  <c r="AB18" i="7"/>
  <c r="AH15" i="7"/>
  <c r="AH14" i="7"/>
  <c r="AA8" i="11" l="1"/>
  <c r="AO7" i="11"/>
  <c r="Z7" i="11"/>
  <c r="AN6" i="11"/>
  <c r="Y7" i="11"/>
  <c r="AM6" i="11"/>
  <c r="X7" i="11"/>
  <c r="AL6" i="11"/>
  <c r="W7" i="11"/>
  <c r="AK6" i="11"/>
  <c r="V7" i="11"/>
  <c r="AJ6" i="11"/>
  <c r="U7" i="11"/>
  <c r="AI6" i="11"/>
  <c r="T7" i="11"/>
  <c r="AH6" i="11"/>
  <c r="S7" i="11"/>
  <c r="AG6" i="11"/>
  <c r="R7" i="11"/>
  <c r="AF6" i="11"/>
  <c r="AP5" i="11"/>
  <c r="Q7" i="11"/>
  <c r="AE6" i="11"/>
  <c r="P7" i="11"/>
  <c r="AD6" i="11"/>
  <c r="AB7" i="11"/>
  <c r="AP6" i="11"/>
  <c r="Z35" i="9"/>
  <c r="Z35" i="7"/>
  <c r="Z34" i="7"/>
  <c r="AA9" i="11" l="1"/>
  <c r="AO8" i="11"/>
  <c r="Z8" i="11"/>
  <c r="AN7" i="11"/>
  <c r="Y8" i="11"/>
  <c r="AM7" i="11"/>
  <c r="X8" i="11"/>
  <c r="AL7" i="11"/>
  <c r="W8" i="11"/>
  <c r="AK7" i="11"/>
  <c r="V8" i="11"/>
  <c r="AJ7" i="11"/>
  <c r="U8" i="11"/>
  <c r="AI7" i="11"/>
  <c r="T8" i="11"/>
  <c r="AH7" i="11"/>
  <c r="S8" i="11"/>
  <c r="AG7" i="11"/>
  <c r="R8" i="11"/>
  <c r="AF7" i="11"/>
  <c r="Q8" i="11"/>
  <c r="AE7" i="11"/>
  <c r="AB8" i="11"/>
  <c r="AP7" i="11"/>
  <c r="P8" i="11"/>
  <c r="AD7" i="11"/>
  <c r="AA10" i="11" l="1"/>
  <c r="AO9" i="11"/>
  <c r="Z9" i="11"/>
  <c r="AN8" i="11"/>
  <c r="Y9" i="11"/>
  <c r="AM8" i="11"/>
  <c r="X9" i="11"/>
  <c r="AL8" i="11"/>
  <c r="W9" i="11"/>
  <c r="AK8" i="11"/>
  <c r="V9" i="11"/>
  <c r="AJ8" i="11"/>
  <c r="AI8" i="11"/>
  <c r="U9" i="11"/>
  <c r="T9" i="11"/>
  <c r="AH8" i="11"/>
  <c r="S9" i="11"/>
  <c r="AG8" i="11"/>
  <c r="R9" i="11"/>
  <c r="AF8" i="11"/>
  <c r="Q9" i="11"/>
  <c r="AE8" i="11"/>
  <c r="P9" i="11"/>
  <c r="AD8" i="11"/>
  <c r="AB9" i="11"/>
  <c r="AP8" i="11"/>
  <c r="AA11" i="11" l="1"/>
  <c r="AO10" i="11"/>
  <c r="Z10" i="11"/>
  <c r="AN9" i="11"/>
  <c r="Y10" i="11"/>
  <c r="AM9" i="11"/>
  <c r="X10" i="11"/>
  <c r="AL9" i="11"/>
  <c r="W10" i="11"/>
  <c r="AK9" i="11"/>
  <c r="V10" i="11"/>
  <c r="AJ9" i="11"/>
  <c r="U10" i="11"/>
  <c r="AI9" i="11"/>
  <c r="T10" i="11"/>
  <c r="AH9" i="11"/>
  <c r="S10" i="11"/>
  <c r="AG9" i="11"/>
  <c r="R10" i="11"/>
  <c r="AF9" i="11"/>
  <c r="Q10" i="11"/>
  <c r="AE9" i="11"/>
  <c r="AB10" i="11"/>
  <c r="AP9" i="11"/>
  <c r="P10" i="11"/>
  <c r="AD9" i="11"/>
  <c r="AA12" i="11" l="1"/>
  <c r="AO11" i="11"/>
  <c r="Z11" i="11"/>
  <c r="AN10" i="11"/>
  <c r="Y11" i="11"/>
  <c r="AM10" i="11"/>
  <c r="X11" i="11"/>
  <c r="AL10" i="11"/>
  <c r="W11" i="11"/>
  <c r="AK10" i="11"/>
  <c r="V11" i="11"/>
  <c r="AJ10" i="11"/>
  <c r="U11" i="11"/>
  <c r="AI10" i="11"/>
  <c r="T11" i="11"/>
  <c r="AH10" i="11"/>
  <c r="S11" i="11"/>
  <c r="AG10" i="11"/>
  <c r="R11" i="11"/>
  <c r="AF10" i="11"/>
  <c r="Q11" i="11"/>
  <c r="AE10" i="11"/>
  <c r="P11" i="11"/>
  <c r="AD10" i="11"/>
  <c r="AB11" i="11"/>
  <c r="AP10" i="11"/>
  <c r="AA13" i="11" l="1"/>
  <c r="AO12" i="11"/>
  <c r="Z12" i="11"/>
  <c r="AN11" i="11"/>
  <c r="Y12" i="11"/>
  <c r="AM11" i="11"/>
  <c r="X12" i="11"/>
  <c r="AL11" i="11"/>
  <c r="W12" i="11"/>
  <c r="AK11" i="11"/>
  <c r="V12" i="11"/>
  <c r="AJ11" i="11"/>
  <c r="U12" i="11"/>
  <c r="AI11" i="11"/>
  <c r="T12" i="11"/>
  <c r="AH11" i="11"/>
  <c r="S12" i="11"/>
  <c r="AG11" i="11"/>
  <c r="R12" i="11"/>
  <c r="AF11" i="11"/>
  <c r="Q12" i="11"/>
  <c r="AE11" i="11"/>
  <c r="AB12" i="11"/>
  <c r="AP11" i="11"/>
  <c r="P12" i="11"/>
  <c r="AD11" i="11"/>
  <c r="AA14" i="11" l="1"/>
  <c r="AO13" i="11"/>
  <c r="Z13" i="11"/>
  <c r="AN12" i="11"/>
  <c r="Y13" i="11"/>
  <c r="AM12" i="11"/>
  <c r="X13" i="11"/>
  <c r="AL12" i="11"/>
  <c r="W13" i="11"/>
  <c r="AK12" i="11"/>
  <c r="V13" i="11"/>
  <c r="AJ12" i="11"/>
  <c r="U13" i="11"/>
  <c r="AI12" i="11"/>
  <c r="T13" i="11"/>
  <c r="AH12" i="11"/>
  <c r="S13" i="11"/>
  <c r="AG12" i="11"/>
  <c r="R13" i="11"/>
  <c r="AF12" i="11"/>
  <c r="Q13" i="11"/>
  <c r="AE12" i="11"/>
  <c r="P13" i="11"/>
  <c r="AD12" i="11"/>
  <c r="AB13" i="11"/>
  <c r="AP12" i="11"/>
  <c r="AA15" i="11" l="1"/>
  <c r="AO14" i="11"/>
  <c r="Z14" i="11"/>
  <c r="AN13" i="11"/>
  <c r="Y14" i="11"/>
  <c r="AM13" i="11"/>
  <c r="X14" i="11"/>
  <c r="AL13" i="11"/>
  <c r="W14" i="11"/>
  <c r="AK13" i="11"/>
  <c r="V14" i="11"/>
  <c r="AJ13" i="11"/>
  <c r="U14" i="11"/>
  <c r="AI13" i="11"/>
  <c r="T14" i="11"/>
  <c r="AH13" i="11"/>
  <c r="S14" i="11"/>
  <c r="AG13" i="11"/>
  <c r="R14" i="11"/>
  <c r="AF13" i="11"/>
  <c r="Q14" i="11"/>
  <c r="AE13" i="11"/>
  <c r="AB14" i="11"/>
  <c r="AP13" i="11"/>
  <c r="P14" i="11"/>
  <c r="AD13" i="11"/>
  <c r="AA16" i="11" l="1"/>
  <c r="AO15" i="11"/>
  <c r="Z15" i="11"/>
  <c r="AN14" i="11"/>
  <c r="Y15" i="11"/>
  <c r="AM14" i="11"/>
  <c r="X15" i="11"/>
  <c r="AL14" i="11"/>
  <c r="W15" i="11"/>
  <c r="AK14" i="11"/>
  <c r="V15" i="11"/>
  <c r="AJ14" i="11"/>
  <c r="U15" i="11"/>
  <c r="AI14" i="11"/>
  <c r="T15" i="11"/>
  <c r="AH14" i="11"/>
  <c r="S15" i="11"/>
  <c r="AG14" i="11"/>
  <c r="R15" i="11"/>
  <c r="AF14" i="11"/>
  <c r="Q15" i="11"/>
  <c r="AE14" i="11"/>
  <c r="P15" i="11"/>
  <c r="AD14" i="11"/>
  <c r="AB15" i="11"/>
  <c r="AP14" i="11"/>
  <c r="AA17" i="11" l="1"/>
  <c r="AO16" i="11"/>
  <c r="Z16" i="11"/>
  <c r="AN15" i="11"/>
  <c r="Y16" i="11"/>
  <c r="AM15" i="11"/>
  <c r="X16" i="11"/>
  <c r="AL15" i="11"/>
  <c r="W16" i="11"/>
  <c r="AK15" i="11"/>
  <c r="V16" i="11"/>
  <c r="AJ15" i="11"/>
  <c r="U16" i="11"/>
  <c r="AI15" i="11"/>
  <c r="T16" i="11"/>
  <c r="AH15" i="11"/>
  <c r="S16" i="11"/>
  <c r="AG15" i="11"/>
  <c r="R16" i="11"/>
  <c r="AF15" i="11"/>
  <c r="Q16" i="11"/>
  <c r="AE15" i="11"/>
  <c r="AB16" i="11"/>
  <c r="AP15" i="11"/>
  <c r="P16" i="11"/>
  <c r="AD15" i="11"/>
  <c r="AA18" i="11" l="1"/>
  <c r="AO17" i="11"/>
  <c r="Z17" i="11"/>
  <c r="AN16" i="11"/>
  <c r="Y17" i="11"/>
  <c r="AM16" i="11"/>
  <c r="X17" i="11"/>
  <c r="AL16" i="11"/>
  <c r="W17" i="11"/>
  <c r="AK16" i="11"/>
  <c r="V17" i="11"/>
  <c r="AJ16" i="11"/>
  <c r="U17" i="11"/>
  <c r="AI16" i="11"/>
  <c r="T17" i="11"/>
  <c r="AH16" i="11"/>
  <c r="S17" i="11"/>
  <c r="AG16" i="11"/>
  <c r="R17" i="11"/>
  <c r="AF16" i="11"/>
  <c r="Q17" i="11"/>
  <c r="AE16" i="11"/>
  <c r="P17" i="11"/>
  <c r="AD16" i="11"/>
  <c r="AB17" i="11"/>
  <c r="AP16" i="11"/>
  <c r="AA19" i="11" l="1"/>
  <c r="AO18" i="11"/>
  <c r="Z18" i="11"/>
  <c r="AN17" i="11"/>
  <c r="Y18" i="11"/>
  <c r="AM17" i="11"/>
  <c r="X18" i="11"/>
  <c r="AL17" i="11"/>
  <c r="W18" i="11"/>
  <c r="AK17" i="11"/>
  <c r="V18" i="11"/>
  <c r="AJ17" i="11"/>
  <c r="U18" i="11"/>
  <c r="AI17" i="11"/>
  <c r="T18" i="11"/>
  <c r="AH17" i="11"/>
  <c r="S18" i="11"/>
  <c r="AG17" i="11"/>
  <c r="R18" i="11"/>
  <c r="AF17" i="11"/>
  <c r="Q18" i="11"/>
  <c r="AE17" i="11"/>
  <c r="AB18" i="11"/>
  <c r="AP17" i="11"/>
  <c r="P18" i="11"/>
  <c r="AD17" i="11"/>
  <c r="AA20" i="11" l="1"/>
  <c r="AO19" i="11"/>
  <c r="Z19" i="11"/>
  <c r="AN18" i="11"/>
  <c r="Y19" i="11"/>
  <c r="AM18" i="11"/>
  <c r="X19" i="11"/>
  <c r="AL18" i="11"/>
  <c r="W19" i="11"/>
  <c r="AK18" i="11"/>
  <c r="V19" i="11"/>
  <c r="AJ18" i="11"/>
  <c r="U19" i="11"/>
  <c r="AI18" i="11"/>
  <c r="T19" i="11"/>
  <c r="AH18" i="11"/>
  <c r="S19" i="11"/>
  <c r="AG18" i="11"/>
  <c r="R19" i="11"/>
  <c r="AF18" i="11"/>
  <c r="Q19" i="11"/>
  <c r="AE18" i="11"/>
  <c r="P19" i="11"/>
  <c r="AD18" i="11"/>
  <c r="AB19" i="11"/>
  <c r="AP18" i="11"/>
  <c r="AA21" i="11" l="1"/>
  <c r="AO20" i="11"/>
  <c r="Z20" i="11"/>
  <c r="AN19" i="11"/>
  <c r="Y20" i="11"/>
  <c r="AM19" i="11"/>
  <c r="X20" i="11"/>
  <c r="AL19" i="11"/>
  <c r="W20" i="11"/>
  <c r="AK19" i="11"/>
  <c r="V20" i="11"/>
  <c r="AJ19" i="11"/>
  <c r="U20" i="11"/>
  <c r="AI19" i="11"/>
  <c r="T20" i="11"/>
  <c r="AH19" i="11"/>
  <c r="S20" i="11"/>
  <c r="AG19" i="11"/>
  <c r="R20" i="11"/>
  <c r="AF19" i="11"/>
  <c r="Q20" i="11"/>
  <c r="AE19" i="11"/>
  <c r="AB20" i="11"/>
  <c r="AP19" i="11"/>
  <c r="P20" i="11"/>
  <c r="AD19" i="11"/>
  <c r="AA22" i="11" l="1"/>
  <c r="AO21" i="11"/>
  <c r="Z21" i="11"/>
  <c r="AN20" i="11"/>
  <c r="Y21" i="11"/>
  <c r="AM20" i="11"/>
  <c r="X21" i="11"/>
  <c r="AL20" i="11"/>
  <c r="W21" i="11"/>
  <c r="AK20" i="11"/>
  <c r="V21" i="11"/>
  <c r="AJ20" i="11"/>
  <c r="U21" i="11"/>
  <c r="AI20" i="11"/>
  <c r="T21" i="11"/>
  <c r="AH20" i="11"/>
  <c r="S21" i="11"/>
  <c r="AG20" i="11"/>
  <c r="R21" i="11"/>
  <c r="AF20" i="11"/>
  <c r="Q21" i="11"/>
  <c r="AE20" i="11"/>
  <c r="P21" i="11"/>
  <c r="AD20" i="11"/>
  <c r="AB21" i="11"/>
  <c r="AP20" i="11"/>
  <c r="AA23" i="11" l="1"/>
  <c r="AO22" i="11"/>
  <c r="Z22" i="11"/>
  <c r="AN21" i="11"/>
  <c r="Y22" i="11"/>
  <c r="AM21" i="11"/>
  <c r="X22" i="11"/>
  <c r="AL21" i="11"/>
  <c r="W22" i="11"/>
  <c r="AK21" i="11"/>
  <c r="V22" i="11"/>
  <c r="AJ21" i="11"/>
  <c r="U22" i="11"/>
  <c r="AI21" i="11"/>
  <c r="T22" i="11"/>
  <c r="AH21" i="11"/>
  <c r="S22" i="11"/>
  <c r="AG21" i="11"/>
  <c r="R22" i="11"/>
  <c r="AF21" i="11"/>
  <c r="Q22" i="11"/>
  <c r="AE21" i="11"/>
  <c r="AB22" i="11"/>
  <c r="AP21" i="11"/>
  <c r="P22" i="11"/>
  <c r="AD21" i="11"/>
  <c r="AA24" i="11" l="1"/>
  <c r="AO23" i="11"/>
  <c r="Z23" i="11"/>
  <c r="AN22" i="11"/>
  <c r="Y23" i="11"/>
  <c r="AM22" i="11"/>
  <c r="X23" i="11"/>
  <c r="AL22" i="11"/>
  <c r="W23" i="11"/>
  <c r="AK22" i="11"/>
  <c r="V23" i="11"/>
  <c r="AJ22" i="11"/>
  <c r="U23" i="11"/>
  <c r="AI22" i="11"/>
  <c r="T23" i="11"/>
  <c r="AH22" i="11"/>
  <c r="S23" i="11"/>
  <c r="AG22" i="11"/>
  <c r="R23" i="11"/>
  <c r="AF22" i="11"/>
  <c r="Q23" i="11"/>
  <c r="AE22" i="11"/>
  <c r="P23" i="11"/>
  <c r="AD22" i="11"/>
  <c r="AB23" i="11"/>
  <c r="AP22" i="11"/>
  <c r="AA25" i="11" l="1"/>
  <c r="AO24" i="11"/>
  <c r="Z24" i="11"/>
  <c r="AN23" i="11"/>
  <c r="Y24" i="11"/>
  <c r="AM23" i="11"/>
  <c r="X24" i="11"/>
  <c r="AL23" i="11"/>
  <c r="W24" i="11"/>
  <c r="AK23" i="11"/>
  <c r="V24" i="11"/>
  <c r="AJ23" i="11"/>
  <c r="U24" i="11"/>
  <c r="AI23" i="11"/>
  <c r="T24" i="11"/>
  <c r="AH23" i="11"/>
  <c r="S24" i="11"/>
  <c r="AG23" i="11"/>
  <c r="R24" i="11"/>
  <c r="AF23" i="11"/>
  <c r="Q24" i="11"/>
  <c r="AE23" i="11"/>
  <c r="AB24" i="11"/>
  <c r="AP23" i="11"/>
  <c r="P24" i="11"/>
  <c r="AD23" i="11"/>
  <c r="AA26" i="11" l="1"/>
  <c r="AO25" i="11"/>
  <c r="Z25" i="11"/>
  <c r="AN24" i="11"/>
  <c r="Y25" i="11"/>
  <c r="AM24" i="11"/>
  <c r="X25" i="11"/>
  <c r="AL24" i="11"/>
  <c r="W25" i="11"/>
  <c r="AK24" i="11"/>
  <c r="V25" i="11"/>
  <c r="AJ24" i="11"/>
  <c r="U25" i="11"/>
  <c r="AI24" i="11"/>
  <c r="T25" i="11"/>
  <c r="AH24" i="11"/>
  <c r="S25" i="11"/>
  <c r="AG24" i="11"/>
  <c r="R25" i="11"/>
  <c r="AF24" i="11"/>
  <c r="Q25" i="11"/>
  <c r="AE24" i="11"/>
  <c r="P25" i="11"/>
  <c r="AD24" i="11"/>
  <c r="AB25" i="11"/>
  <c r="AP24" i="11"/>
  <c r="AA27" i="11" l="1"/>
  <c r="AO26" i="11"/>
  <c r="Z26" i="11"/>
  <c r="AN25" i="11"/>
  <c r="Y26" i="11"/>
  <c r="AM25" i="11"/>
  <c r="X26" i="11"/>
  <c r="AL25" i="11"/>
  <c r="W26" i="11"/>
  <c r="AK25" i="11"/>
  <c r="V26" i="11"/>
  <c r="AJ25" i="11"/>
  <c r="U26" i="11"/>
  <c r="AI25" i="11"/>
  <c r="T26" i="11"/>
  <c r="AH25" i="11"/>
  <c r="S26" i="11"/>
  <c r="AG25" i="11"/>
  <c r="R26" i="11"/>
  <c r="AF25" i="11"/>
  <c r="Q26" i="11"/>
  <c r="AE25" i="11"/>
  <c r="AB26" i="11"/>
  <c r="AP25" i="11"/>
  <c r="P26" i="11"/>
  <c r="AD25" i="11"/>
  <c r="AA28" i="11" l="1"/>
  <c r="AO27" i="11"/>
  <c r="Z27" i="11"/>
  <c r="AN26" i="11"/>
  <c r="Y27" i="11"/>
  <c r="AM26" i="11"/>
  <c r="X27" i="11"/>
  <c r="AL26" i="11"/>
  <c r="W27" i="11"/>
  <c r="AK26" i="11"/>
  <c r="V27" i="11"/>
  <c r="AJ26" i="11"/>
  <c r="U27" i="11"/>
  <c r="AI26" i="11"/>
  <c r="T27" i="11"/>
  <c r="AH26" i="11"/>
  <c r="S27" i="11"/>
  <c r="AG26" i="11"/>
  <c r="R27" i="11"/>
  <c r="AF26" i="11"/>
  <c r="Q27" i="11"/>
  <c r="AE26" i="11"/>
  <c r="P27" i="11"/>
  <c r="AD26" i="11"/>
  <c r="AB27" i="11"/>
  <c r="AP26" i="11"/>
  <c r="AA29" i="11" l="1"/>
  <c r="AO28" i="11"/>
  <c r="Z28" i="11"/>
  <c r="AN27" i="11"/>
  <c r="Y28" i="11"/>
  <c r="AM27" i="11"/>
  <c r="X28" i="11"/>
  <c r="AL27" i="11"/>
  <c r="W28" i="11"/>
  <c r="AK27" i="11"/>
  <c r="V28" i="11"/>
  <c r="AJ27" i="11"/>
  <c r="U28" i="11"/>
  <c r="AI27" i="11"/>
  <c r="T28" i="11"/>
  <c r="AH27" i="11"/>
  <c r="S28" i="11"/>
  <c r="AG27" i="11"/>
  <c r="R28" i="11"/>
  <c r="AF27" i="11"/>
  <c r="Q28" i="11"/>
  <c r="AE27" i="11"/>
  <c r="AB28" i="11"/>
  <c r="AP27" i="11"/>
  <c r="P28" i="11"/>
  <c r="AD27" i="11"/>
  <c r="AA30" i="11" l="1"/>
  <c r="AO29" i="11"/>
  <c r="Z29" i="11"/>
  <c r="AN28" i="11"/>
  <c r="Y29" i="11"/>
  <c r="AM28" i="11"/>
  <c r="X29" i="11"/>
  <c r="AL28" i="11"/>
  <c r="W29" i="11"/>
  <c r="AK28" i="11"/>
  <c r="V29" i="11"/>
  <c r="AJ28" i="11"/>
  <c r="U29" i="11"/>
  <c r="AI28" i="11"/>
  <c r="T29" i="11"/>
  <c r="AH28" i="11"/>
  <c r="S29" i="11"/>
  <c r="AG28" i="11"/>
  <c r="R29" i="11"/>
  <c r="AF28" i="11"/>
  <c r="Q29" i="11"/>
  <c r="AE28" i="11"/>
  <c r="P29" i="11"/>
  <c r="AD28" i="11"/>
  <c r="AB29" i="11"/>
  <c r="AP28" i="11"/>
  <c r="AA31" i="11" l="1"/>
  <c r="AO30" i="11"/>
  <c r="Z30" i="11"/>
  <c r="AN29" i="11"/>
  <c r="Y30" i="11"/>
  <c r="AM29" i="11"/>
  <c r="X30" i="11"/>
  <c r="AL29" i="11"/>
  <c r="W30" i="11"/>
  <c r="AK29" i="11"/>
  <c r="V30" i="11"/>
  <c r="AJ29" i="11"/>
  <c r="U30" i="11"/>
  <c r="AI29" i="11"/>
  <c r="T30" i="11"/>
  <c r="AH29" i="11"/>
  <c r="S30" i="11"/>
  <c r="AG29" i="11"/>
  <c r="R30" i="11"/>
  <c r="AF29" i="11"/>
  <c r="Q30" i="11"/>
  <c r="AE29" i="11"/>
  <c r="AB30" i="11"/>
  <c r="AP29" i="11"/>
  <c r="P30" i="11"/>
  <c r="AD29" i="11"/>
  <c r="AA32" i="11" l="1"/>
  <c r="AO31" i="11"/>
  <c r="Z31" i="11"/>
  <c r="AN30" i="11"/>
  <c r="Y31" i="11"/>
  <c r="AM30" i="11"/>
  <c r="X31" i="11"/>
  <c r="AL30" i="11"/>
  <c r="W31" i="11"/>
  <c r="AK30" i="11"/>
  <c r="V31" i="11"/>
  <c r="AJ30" i="11"/>
  <c r="U31" i="11"/>
  <c r="AI30" i="11"/>
  <c r="T31" i="11"/>
  <c r="AH30" i="11"/>
  <c r="S31" i="11"/>
  <c r="AG30" i="11"/>
  <c r="R31" i="11"/>
  <c r="AF30" i="11"/>
  <c r="Q31" i="11"/>
  <c r="AE30" i="11"/>
  <c r="P31" i="11"/>
  <c r="AD30" i="11"/>
  <c r="AB31" i="11"/>
  <c r="AP30" i="11"/>
  <c r="AA33" i="11" l="1"/>
  <c r="AO32" i="11"/>
  <c r="Z32" i="11"/>
  <c r="AN31" i="11"/>
  <c r="Y32" i="11"/>
  <c r="AM31" i="11"/>
  <c r="X32" i="11"/>
  <c r="AL31" i="11"/>
  <c r="W32" i="11"/>
  <c r="AK31" i="11"/>
  <c r="V32" i="11"/>
  <c r="AJ31" i="11"/>
  <c r="U32" i="11"/>
  <c r="AI31" i="11"/>
  <c r="T32" i="11"/>
  <c r="AH31" i="11"/>
  <c r="S32" i="11"/>
  <c r="AG31" i="11"/>
  <c r="R32" i="11"/>
  <c r="AF31" i="11"/>
  <c r="Q32" i="11"/>
  <c r="AE31" i="11"/>
  <c r="AB32" i="11"/>
  <c r="AP31" i="11"/>
  <c r="P32" i="11"/>
  <c r="AD31" i="11"/>
  <c r="AA34" i="11" l="1"/>
  <c r="AO33" i="11"/>
  <c r="Z33" i="11"/>
  <c r="AN32" i="11"/>
  <c r="Y33" i="11"/>
  <c r="AM32" i="11"/>
  <c r="X33" i="11"/>
  <c r="AL32" i="11"/>
  <c r="W33" i="11"/>
  <c r="AK32" i="11"/>
  <c r="V33" i="11"/>
  <c r="AJ32" i="11"/>
  <c r="U33" i="11"/>
  <c r="AI32" i="11"/>
  <c r="T33" i="11"/>
  <c r="AH32" i="11"/>
  <c r="S33" i="11"/>
  <c r="AG32" i="11"/>
  <c r="R33" i="11"/>
  <c r="AF32" i="11"/>
  <c r="Q33" i="11"/>
  <c r="AE32" i="11"/>
  <c r="P33" i="11"/>
  <c r="AD32" i="11"/>
  <c r="AB33" i="11"/>
  <c r="AP32" i="11"/>
  <c r="AA35" i="11" l="1"/>
  <c r="AO34" i="11"/>
  <c r="Z34" i="11"/>
  <c r="AN33" i="11"/>
  <c r="Y34" i="11"/>
  <c r="AM33" i="11"/>
  <c r="X34" i="11"/>
  <c r="AL33" i="11"/>
  <c r="W34" i="11"/>
  <c r="AK33" i="11"/>
  <c r="V34" i="11"/>
  <c r="AJ33" i="11"/>
  <c r="U34" i="11"/>
  <c r="AI33" i="11"/>
  <c r="T34" i="11"/>
  <c r="AH33" i="11"/>
  <c r="S34" i="11"/>
  <c r="AG33" i="11"/>
  <c r="R34" i="11"/>
  <c r="AF33" i="11"/>
  <c r="Q34" i="11"/>
  <c r="AE33" i="11"/>
  <c r="AB34" i="11"/>
  <c r="AP33" i="11"/>
  <c r="P34" i="11"/>
  <c r="AD33" i="11"/>
  <c r="AA36" i="11" l="1"/>
  <c r="AO35" i="11"/>
  <c r="Z35" i="11"/>
  <c r="AN34" i="11"/>
  <c r="Y35" i="11"/>
  <c r="AM34" i="11"/>
  <c r="X35" i="11"/>
  <c r="AL34" i="11"/>
  <c r="W35" i="11"/>
  <c r="AK34" i="11"/>
  <c r="V35" i="11"/>
  <c r="AJ34" i="11"/>
  <c r="U35" i="11"/>
  <c r="AI34" i="11"/>
  <c r="T35" i="11"/>
  <c r="AH34" i="11"/>
  <c r="S35" i="11"/>
  <c r="AG34" i="11"/>
  <c r="R35" i="11"/>
  <c r="AF34" i="11"/>
  <c r="Q35" i="11"/>
  <c r="AE34" i="11"/>
  <c r="P35" i="11"/>
  <c r="AD34" i="11"/>
  <c r="AB35" i="11"/>
  <c r="AP34" i="11"/>
  <c r="AA37" i="11" l="1"/>
  <c r="AO36" i="11"/>
  <c r="Z36" i="11"/>
  <c r="AN35" i="11"/>
  <c r="Y36" i="11"/>
  <c r="AM35" i="11"/>
  <c r="X36" i="11"/>
  <c r="AL35" i="11"/>
  <c r="W36" i="11"/>
  <c r="AK35" i="11"/>
  <c r="V36" i="11"/>
  <c r="AJ35" i="11"/>
  <c r="U36" i="11"/>
  <c r="AI35" i="11"/>
  <c r="T36" i="11"/>
  <c r="AH35" i="11"/>
  <c r="S36" i="11"/>
  <c r="AG35" i="11"/>
  <c r="R36" i="11"/>
  <c r="AF35" i="11"/>
  <c r="Q36" i="11"/>
  <c r="AE35" i="11"/>
  <c r="AB36" i="11"/>
  <c r="AP35" i="11"/>
  <c r="P36" i="11"/>
  <c r="AD35" i="11"/>
  <c r="AA38" i="11" l="1"/>
  <c r="AO37" i="11"/>
  <c r="Z37" i="11"/>
  <c r="AN36" i="11"/>
  <c r="Y37" i="11"/>
  <c r="AM36" i="11"/>
  <c r="X37" i="11"/>
  <c r="AL36" i="11"/>
  <c r="W37" i="11"/>
  <c r="AK36" i="11"/>
  <c r="V37" i="11"/>
  <c r="AJ36" i="11"/>
  <c r="U37" i="11"/>
  <c r="AI36" i="11"/>
  <c r="T37" i="11"/>
  <c r="AH36" i="11"/>
  <c r="S37" i="11"/>
  <c r="AG36" i="11"/>
  <c r="R37" i="11"/>
  <c r="AF36" i="11"/>
  <c r="Q37" i="11"/>
  <c r="AE36" i="11"/>
  <c r="P37" i="11"/>
  <c r="AD36" i="11"/>
  <c r="AB37" i="11"/>
  <c r="AP36" i="11"/>
  <c r="AA39" i="11" l="1"/>
  <c r="AO38" i="11"/>
  <c r="Z38" i="11"/>
  <c r="AN37" i="11"/>
  <c r="Y38" i="11"/>
  <c r="AM37" i="11"/>
  <c r="X38" i="11"/>
  <c r="AL37" i="11"/>
  <c r="W38" i="11"/>
  <c r="AK37" i="11"/>
  <c r="V38" i="11"/>
  <c r="AJ37" i="11"/>
  <c r="U38" i="11"/>
  <c r="AI37" i="11"/>
  <c r="T38" i="11"/>
  <c r="AH37" i="11"/>
  <c r="S38" i="11"/>
  <c r="AG37" i="11"/>
  <c r="R38" i="11"/>
  <c r="AF37" i="11"/>
  <c r="Q38" i="11"/>
  <c r="AE37" i="11"/>
  <c r="AB38" i="11"/>
  <c r="AP37" i="11"/>
  <c r="P38" i="11"/>
  <c r="AD37" i="11"/>
  <c r="AA40" i="11" l="1"/>
  <c r="AO39" i="11"/>
  <c r="Z39" i="11"/>
  <c r="AN38" i="11"/>
  <c r="Y39" i="11"/>
  <c r="AM38" i="11"/>
  <c r="X39" i="11"/>
  <c r="AL38" i="11"/>
  <c r="W39" i="11"/>
  <c r="AK38" i="11"/>
  <c r="V39" i="11"/>
  <c r="AJ38" i="11"/>
  <c r="U39" i="11"/>
  <c r="AI38" i="11"/>
  <c r="T39" i="11"/>
  <c r="AH38" i="11"/>
  <c r="S39" i="11"/>
  <c r="AG38" i="11"/>
  <c r="R39" i="11"/>
  <c r="AF38" i="11"/>
  <c r="Q39" i="11"/>
  <c r="AE38" i="11"/>
  <c r="P39" i="11"/>
  <c r="AD38" i="11"/>
  <c r="AB39" i="11"/>
  <c r="AP38" i="11"/>
  <c r="AA41" i="11" l="1"/>
  <c r="AO40" i="11"/>
  <c r="Z40" i="11"/>
  <c r="AN39" i="11"/>
  <c r="Y40" i="11"/>
  <c r="AM39" i="11"/>
  <c r="X40" i="11"/>
  <c r="AL39" i="11"/>
  <c r="W40" i="11"/>
  <c r="AK39" i="11"/>
  <c r="V40" i="11"/>
  <c r="AJ39" i="11"/>
  <c r="U40" i="11"/>
  <c r="AI39" i="11"/>
  <c r="T40" i="11"/>
  <c r="AH39" i="11"/>
  <c r="S40" i="11"/>
  <c r="AG39" i="11"/>
  <c r="R40" i="11"/>
  <c r="AF39" i="11"/>
  <c r="Q40" i="11"/>
  <c r="AE39" i="11"/>
  <c r="AB40" i="11"/>
  <c r="AP39" i="11"/>
  <c r="P40" i="11"/>
  <c r="AD39" i="11"/>
  <c r="AA42" i="11" l="1"/>
  <c r="AO41" i="11"/>
  <c r="Z41" i="11"/>
  <c r="AN40" i="11"/>
  <c r="Y41" i="11"/>
  <c r="AM40" i="11"/>
  <c r="X41" i="11"/>
  <c r="AL40" i="11"/>
  <c r="W41" i="11"/>
  <c r="AK40" i="11"/>
  <c r="V41" i="11"/>
  <c r="AJ40" i="11"/>
  <c r="U41" i="11"/>
  <c r="AI40" i="11"/>
  <c r="T41" i="11"/>
  <c r="AH40" i="11"/>
  <c r="S41" i="11"/>
  <c r="AG40" i="11"/>
  <c r="R41" i="11"/>
  <c r="AF40" i="11"/>
  <c r="Q41" i="11"/>
  <c r="AE40" i="11"/>
  <c r="P41" i="11"/>
  <c r="AD40" i="11"/>
  <c r="AB41" i="11"/>
  <c r="AP40" i="11"/>
  <c r="AA43" i="11" l="1"/>
  <c r="AO42" i="11"/>
  <c r="Z42" i="11"/>
  <c r="AN41" i="11"/>
  <c r="Y42" i="11"/>
  <c r="AM41" i="11"/>
  <c r="X42" i="11"/>
  <c r="AL41" i="11"/>
  <c r="W42" i="11"/>
  <c r="AK41" i="11"/>
  <c r="V42" i="11"/>
  <c r="AJ41" i="11"/>
  <c r="U42" i="11"/>
  <c r="AI41" i="11"/>
  <c r="T42" i="11"/>
  <c r="AH41" i="11"/>
  <c r="S42" i="11"/>
  <c r="AG41" i="11"/>
  <c r="R42" i="11"/>
  <c r="AF41" i="11"/>
  <c r="Q42" i="11"/>
  <c r="AE41" i="11"/>
  <c r="AB42" i="11"/>
  <c r="AP41" i="11"/>
  <c r="P42" i="11"/>
  <c r="AD41" i="11"/>
  <c r="AA44" i="11" l="1"/>
  <c r="AO43" i="11"/>
  <c r="Z43" i="11"/>
  <c r="AN42" i="11"/>
  <c r="Y43" i="11"/>
  <c r="AM42" i="11"/>
  <c r="X43" i="11"/>
  <c r="AL42" i="11"/>
  <c r="W43" i="11"/>
  <c r="AK42" i="11"/>
  <c r="V43" i="11"/>
  <c r="AJ42" i="11"/>
  <c r="U43" i="11"/>
  <c r="AI42" i="11"/>
  <c r="T43" i="11"/>
  <c r="AH42" i="11"/>
  <c r="S43" i="11"/>
  <c r="AG42" i="11"/>
  <c r="R43" i="11"/>
  <c r="AF42" i="11"/>
  <c r="Q43" i="11"/>
  <c r="AE42" i="11"/>
  <c r="P43" i="11"/>
  <c r="AD42" i="11"/>
  <c r="AB43" i="11"/>
  <c r="AP42" i="11"/>
  <c r="AA45" i="11" l="1"/>
  <c r="AO44" i="11"/>
  <c r="Z44" i="11"/>
  <c r="AN43" i="11"/>
  <c r="Y44" i="11"/>
  <c r="AM43" i="11"/>
  <c r="X44" i="11"/>
  <c r="AL43" i="11"/>
  <c r="W44" i="11"/>
  <c r="AK43" i="11"/>
  <c r="V44" i="11"/>
  <c r="AJ43" i="11"/>
  <c r="U44" i="11"/>
  <c r="AI43" i="11"/>
  <c r="T44" i="11"/>
  <c r="AH43" i="11"/>
  <c r="S44" i="11"/>
  <c r="AG43" i="11"/>
  <c r="R44" i="11"/>
  <c r="AF43" i="11"/>
  <c r="Q44" i="11"/>
  <c r="AE43" i="11"/>
  <c r="AB44" i="11"/>
  <c r="AP43" i="11"/>
  <c r="P44" i="11"/>
  <c r="AD43" i="11"/>
  <c r="AA46" i="11" l="1"/>
  <c r="AO45" i="11"/>
  <c r="Z45" i="11"/>
  <c r="AN44" i="11"/>
  <c r="Y45" i="11"/>
  <c r="AM44" i="11"/>
  <c r="X45" i="11"/>
  <c r="AL44" i="11"/>
  <c r="W45" i="11"/>
  <c r="AK44" i="11"/>
  <c r="V45" i="11"/>
  <c r="AJ44" i="11"/>
  <c r="U45" i="11"/>
  <c r="AI44" i="11"/>
  <c r="T45" i="11"/>
  <c r="AH44" i="11"/>
  <c r="S45" i="11"/>
  <c r="AG44" i="11"/>
  <c r="R45" i="11"/>
  <c r="AF44" i="11"/>
  <c r="Q45" i="11"/>
  <c r="AE44" i="11"/>
  <c r="P45" i="11"/>
  <c r="AD44" i="11"/>
  <c r="AB45" i="11"/>
  <c r="AP44" i="11"/>
  <c r="AA47" i="11" l="1"/>
  <c r="AO46" i="11"/>
  <c r="Z46" i="11"/>
  <c r="AN45" i="11"/>
  <c r="Y46" i="11"/>
  <c r="AM45" i="11"/>
  <c r="X46" i="11"/>
  <c r="AL45" i="11"/>
  <c r="W46" i="11"/>
  <c r="AK45" i="11"/>
  <c r="V46" i="11"/>
  <c r="AJ45" i="11"/>
  <c r="U46" i="11"/>
  <c r="AI45" i="11"/>
  <c r="T46" i="11"/>
  <c r="AH45" i="11"/>
  <c r="S46" i="11"/>
  <c r="AG45" i="11"/>
  <c r="R46" i="11"/>
  <c r="AF45" i="11"/>
  <c r="Q46" i="11"/>
  <c r="AE45" i="11"/>
  <c r="AB46" i="11"/>
  <c r="AP45" i="11"/>
  <c r="P46" i="11"/>
  <c r="AD45" i="11"/>
  <c r="AA48" i="11" l="1"/>
  <c r="AO47" i="11"/>
  <c r="Z47" i="11"/>
  <c r="AN46" i="11"/>
  <c r="Y47" i="11"/>
  <c r="AM46" i="11"/>
  <c r="X47" i="11"/>
  <c r="AL46" i="11"/>
  <c r="W47" i="11"/>
  <c r="AK46" i="11"/>
  <c r="V47" i="11"/>
  <c r="AJ46" i="11"/>
  <c r="U47" i="11"/>
  <c r="AI46" i="11"/>
  <c r="T47" i="11"/>
  <c r="AH46" i="11"/>
  <c r="S47" i="11"/>
  <c r="AG46" i="11"/>
  <c r="R47" i="11"/>
  <c r="AF46" i="11"/>
  <c r="Q47" i="11"/>
  <c r="AE46" i="11"/>
  <c r="P47" i="11"/>
  <c r="AD46" i="11"/>
  <c r="AB47" i="11"/>
  <c r="AP46" i="11"/>
  <c r="AA49" i="11" l="1"/>
  <c r="AO48" i="11"/>
  <c r="Z48" i="11"/>
  <c r="AN47" i="11"/>
  <c r="Y48" i="11"/>
  <c r="AM47" i="11"/>
  <c r="X48" i="11"/>
  <c r="AL47" i="11"/>
  <c r="W48" i="11"/>
  <c r="AK47" i="11"/>
  <c r="V48" i="11"/>
  <c r="AJ47" i="11"/>
  <c r="U48" i="11"/>
  <c r="AI47" i="11"/>
  <c r="T48" i="11"/>
  <c r="AH47" i="11"/>
  <c r="S48" i="11"/>
  <c r="AG47" i="11"/>
  <c r="R48" i="11"/>
  <c r="AF47" i="11"/>
  <c r="Q48" i="11"/>
  <c r="AE47" i="11"/>
  <c r="AB48" i="11"/>
  <c r="AP47" i="11"/>
  <c r="P48" i="11"/>
  <c r="AD47" i="11"/>
  <c r="AA50" i="11" l="1"/>
  <c r="AO49" i="11"/>
  <c r="Z49" i="11"/>
  <c r="AN48" i="11"/>
  <c r="Y49" i="11"/>
  <c r="AM48" i="11"/>
  <c r="X49" i="11"/>
  <c r="AL48" i="11"/>
  <c r="W49" i="11"/>
  <c r="AK48" i="11"/>
  <c r="V49" i="11"/>
  <c r="AJ48" i="11"/>
  <c r="U49" i="11"/>
  <c r="AI48" i="11"/>
  <c r="T49" i="11"/>
  <c r="AH48" i="11"/>
  <c r="S49" i="11"/>
  <c r="AG48" i="11"/>
  <c r="R49" i="11"/>
  <c r="AF48" i="11"/>
  <c r="Q49" i="11"/>
  <c r="AE48" i="11"/>
  <c r="P49" i="11"/>
  <c r="AD48" i="11"/>
  <c r="AB49" i="11"/>
  <c r="AP48" i="11"/>
  <c r="AA51" i="11" l="1"/>
  <c r="AO50" i="11"/>
  <c r="Z50" i="11"/>
  <c r="AN49" i="11"/>
  <c r="Y50" i="11"/>
  <c r="AM49" i="11"/>
  <c r="X50" i="11"/>
  <c r="AL49" i="11"/>
  <c r="W50" i="11"/>
  <c r="AK49" i="11"/>
  <c r="V50" i="11"/>
  <c r="AJ49" i="11"/>
  <c r="U50" i="11"/>
  <c r="AI49" i="11"/>
  <c r="T50" i="11"/>
  <c r="AH49" i="11"/>
  <c r="S50" i="11"/>
  <c r="AG49" i="11"/>
  <c r="R50" i="11"/>
  <c r="AF49" i="11"/>
  <c r="Q50" i="11"/>
  <c r="AE49" i="11"/>
  <c r="AB50" i="11"/>
  <c r="AP49" i="11"/>
  <c r="P50" i="11"/>
  <c r="AD49" i="11"/>
  <c r="AA52" i="11" l="1"/>
  <c r="AO51" i="11"/>
  <c r="Z51" i="11"/>
  <c r="AN50" i="11"/>
  <c r="Y51" i="11"/>
  <c r="AM50" i="11"/>
  <c r="X51" i="11"/>
  <c r="AL50" i="11"/>
  <c r="W51" i="11"/>
  <c r="AK50" i="11"/>
  <c r="V51" i="11"/>
  <c r="AJ50" i="11"/>
  <c r="U51" i="11"/>
  <c r="AI50" i="11"/>
  <c r="T51" i="11"/>
  <c r="AH50" i="11"/>
  <c r="S51" i="11"/>
  <c r="AG50" i="11"/>
  <c r="R51" i="11"/>
  <c r="AF50" i="11"/>
  <c r="Q51" i="11"/>
  <c r="AE50" i="11"/>
  <c r="P51" i="11"/>
  <c r="AD50" i="11"/>
  <c r="AB51" i="11"/>
  <c r="AP50" i="11"/>
  <c r="AA53" i="11" l="1"/>
  <c r="AO52" i="11"/>
  <c r="Z52" i="11"/>
  <c r="AN51" i="11"/>
  <c r="Y52" i="11"/>
  <c r="AM51" i="11"/>
  <c r="X52" i="11"/>
  <c r="AL51" i="11"/>
  <c r="W52" i="11"/>
  <c r="AK51" i="11"/>
  <c r="V52" i="11"/>
  <c r="AJ51" i="11"/>
  <c r="U52" i="11"/>
  <c r="AI51" i="11"/>
  <c r="T52" i="11"/>
  <c r="AH51" i="11"/>
  <c r="S52" i="11"/>
  <c r="AG51" i="11"/>
  <c r="R52" i="11"/>
  <c r="AF51" i="11"/>
  <c r="Q52" i="11"/>
  <c r="AE51" i="11"/>
  <c r="AB52" i="11"/>
  <c r="AP51" i="11"/>
  <c r="P52" i="11"/>
  <c r="AD51" i="11"/>
  <c r="AA54" i="11" l="1"/>
  <c r="AO53" i="11"/>
  <c r="Z53" i="11"/>
  <c r="AN52" i="11"/>
  <c r="Y53" i="11"/>
  <c r="AM52" i="11"/>
  <c r="X53" i="11"/>
  <c r="AL52" i="11"/>
  <c r="W53" i="11"/>
  <c r="AK52" i="11"/>
  <c r="V53" i="11"/>
  <c r="AJ52" i="11"/>
  <c r="U53" i="11"/>
  <c r="AI52" i="11"/>
  <c r="T53" i="11"/>
  <c r="AH52" i="11"/>
  <c r="S53" i="11"/>
  <c r="AG52" i="11"/>
  <c r="R53" i="11"/>
  <c r="AF52" i="11"/>
  <c r="Q53" i="11"/>
  <c r="AE52" i="11"/>
  <c r="P53" i="11"/>
  <c r="AD52" i="11"/>
  <c r="AB53" i="11"/>
  <c r="AP52" i="11"/>
  <c r="AA55" i="11" l="1"/>
  <c r="AO54" i="11"/>
  <c r="Z54" i="11"/>
  <c r="AN53" i="11"/>
  <c r="Y54" i="11"/>
  <c r="AM53" i="11"/>
  <c r="X54" i="11"/>
  <c r="AL53" i="11"/>
  <c r="W54" i="11"/>
  <c r="AK53" i="11"/>
  <c r="V54" i="11"/>
  <c r="AJ53" i="11"/>
  <c r="U54" i="11"/>
  <c r="AI53" i="11"/>
  <c r="T54" i="11"/>
  <c r="AH53" i="11"/>
  <c r="S54" i="11"/>
  <c r="AG53" i="11"/>
  <c r="R54" i="11"/>
  <c r="AF53" i="11"/>
  <c r="Q54" i="11"/>
  <c r="AE53" i="11"/>
  <c r="AB54" i="11"/>
  <c r="AP53" i="11"/>
  <c r="P54" i="11"/>
  <c r="AD53" i="11"/>
  <c r="AA56" i="11" l="1"/>
  <c r="AO55" i="11"/>
  <c r="Z55" i="11"/>
  <c r="AN54" i="11"/>
  <c r="Y55" i="11"/>
  <c r="AM54" i="11"/>
  <c r="X55" i="11"/>
  <c r="AL54" i="11"/>
  <c r="W55" i="11"/>
  <c r="AK54" i="11"/>
  <c r="V55" i="11"/>
  <c r="AJ54" i="11"/>
  <c r="U55" i="11"/>
  <c r="AI54" i="11"/>
  <c r="T55" i="11"/>
  <c r="AH54" i="11"/>
  <c r="S55" i="11"/>
  <c r="AG54" i="11"/>
  <c r="R55" i="11"/>
  <c r="AF54" i="11"/>
  <c r="Q55" i="11"/>
  <c r="AE54" i="11"/>
  <c r="P55" i="11"/>
  <c r="AD54" i="11"/>
  <c r="AB55" i="11"/>
  <c r="AP54" i="11"/>
  <c r="AA57" i="11" l="1"/>
  <c r="AO56" i="11"/>
  <c r="Z56" i="11"/>
  <c r="AN55" i="11"/>
  <c r="Y56" i="11"/>
  <c r="AM55" i="11"/>
  <c r="X56" i="11"/>
  <c r="AL55" i="11"/>
  <c r="W56" i="11"/>
  <c r="AK55" i="11"/>
  <c r="V56" i="11"/>
  <c r="AJ55" i="11"/>
  <c r="U56" i="11"/>
  <c r="AI55" i="11"/>
  <c r="T56" i="11"/>
  <c r="AH55" i="11"/>
  <c r="S56" i="11"/>
  <c r="AG55" i="11"/>
  <c r="R56" i="11"/>
  <c r="AF55" i="11"/>
  <c r="Q56" i="11"/>
  <c r="AE55" i="11"/>
  <c r="AB56" i="11"/>
  <c r="AP55" i="11"/>
  <c r="P56" i="11"/>
  <c r="AD55" i="11"/>
  <c r="AA58" i="11" l="1"/>
  <c r="AO57" i="11"/>
  <c r="Z57" i="11"/>
  <c r="AN56" i="11"/>
  <c r="Y57" i="11"/>
  <c r="AM56" i="11"/>
  <c r="X57" i="11"/>
  <c r="AL56" i="11"/>
  <c r="W57" i="11"/>
  <c r="AK56" i="11"/>
  <c r="V57" i="11"/>
  <c r="AJ56" i="11"/>
  <c r="U57" i="11"/>
  <c r="AI56" i="11"/>
  <c r="T57" i="11"/>
  <c r="AH56" i="11"/>
  <c r="S57" i="11"/>
  <c r="AG56" i="11"/>
  <c r="R57" i="11"/>
  <c r="AF56" i="11"/>
  <c r="Q57" i="11"/>
  <c r="AE56" i="11"/>
  <c r="P57" i="11"/>
  <c r="AD56" i="11"/>
  <c r="AB57" i="11"/>
  <c r="AP56" i="11"/>
  <c r="AA59" i="11" l="1"/>
  <c r="AO58" i="11"/>
  <c r="Z58" i="11"/>
  <c r="AN57" i="11"/>
  <c r="Y58" i="11"/>
  <c r="AM57" i="11"/>
  <c r="X58" i="11"/>
  <c r="AL57" i="11"/>
  <c r="W58" i="11"/>
  <c r="AK57" i="11"/>
  <c r="V58" i="11"/>
  <c r="AJ57" i="11"/>
  <c r="U58" i="11"/>
  <c r="AI57" i="11"/>
  <c r="T58" i="11"/>
  <c r="AH57" i="11"/>
  <c r="S58" i="11"/>
  <c r="AG57" i="11"/>
  <c r="R58" i="11"/>
  <c r="AF57" i="11"/>
  <c r="Q58" i="11"/>
  <c r="AE57" i="11"/>
  <c r="AB58" i="11"/>
  <c r="AP57" i="11"/>
  <c r="P58" i="11"/>
  <c r="AD57" i="11"/>
  <c r="AA60" i="11" l="1"/>
  <c r="AO59" i="11"/>
  <c r="Z59" i="11"/>
  <c r="AN58" i="11"/>
  <c r="Y59" i="11"/>
  <c r="AM58" i="11"/>
  <c r="X59" i="11"/>
  <c r="AL58" i="11"/>
  <c r="W59" i="11"/>
  <c r="AK58" i="11"/>
  <c r="V59" i="11"/>
  <c r="AJ58" i="11"/>
  <c r="U59" i="11"/>
  <c r="AI58" i="11"/>
  <c r="T59" i="11"/>
  <c r="AH58" i="11"/>
  <c r="S59" i="11"/>
  <c r="AG58" i="11"/>
  <c r="R59" i="11"/>
  <c r="AF58" i="11"/>
  <c r="Q59" i="11"/>
  <c r="AE58" i="11"/>
  <c r="P59" i="11"/>
  <c r="AD58" i="11"/>
  <c r="AB59" i="11"/>
  <c r="AP58" i="11"/>
  <c r="AA61" i="11" l="1"/>
  <c r="AO60" i="11"/>
  <c r="Z60" i="11"/>
  <c r="AN59" i="11"/>
  <c r="Y60" i="11"/>
  <c r="AM59" i="11"/>
  <c r="X60" i="11"/>
  <c r="AL59" i="11"/>
  <c r="W60" i="11"/>
  <c r="AK59" i="11"/>
  <c r="V60" i="11"/>
  <c r="AJ59" i="11"/>
  <c r="U60" i="11"/>
  <c r="AI59" i="11"/>
  <c r="T60" i="11"/>
  <c r="AH59" i="11"/>
  <c r="S60" i="11"/>
  <c r="AG59" i="11"/>
  <c r="R60" i="11"/>
  <c r="AF59" i="11"/>
  <c r="Q60" i="11"/>
  <c r="AE59" i="11"/>
  <c r="AB60" i="11"/>
  <c r="AP59" i="11"/>
  <c r="P60" i="11"/>
  <c r="AD59" i="11"/>
  <c r="AA62" i="11" l="1"/>
  <c r="AO61" i="11"/>
  <c r="Z61" i="11"/>
  <c r="AN60" i="11"/>
  <c r="Y61" i="11"/>
  <c r="AM60" i="11"/>
  <c r="X61" i="11"/>
  <c r="AL60" i="11"/>
  <c r="W61" i="11"/>
  <c r="AK60" i="11"/>
  <c r="V61" i="11"/>
  <c r="AJ60" i="11"/>
  <c r="U61" i="11"/>
  <c r="AI60" i="11"/>
  <c r="T61" i="11"/>
  <c r="AH60" i="11"/>
  <c r="S61" i="11"/>
  <c r="AG60" i="11"/>
  <c r="R61" i="11"/>
  <c r="AF60" i="11"/>
  <c r="Q61" i="11"/>
  <c r="AE60" i="11"/>
  <c r="P61" i="11"/>
  <c r="AD60" i="11"/>
  <c r="AB61" i="11"/>
  <c r="AP60" i="11"/>
  <c r="AA63" i="11" l="1"/>
  <c r="AO62" i="11"/>
  <c r="Z62" i="11"/>
  <c r="AN61" i="11"/>
  <c r="Y62" i="11"/>
  <c r="AM61" i="11"/>
  <c r="X62" i="11"/>
  <c r="AL61" i="11"/>
  <c r="W62" i="11"/>
  <c r="AK61" i="11"/>
  <c r="V62" i="11"/>
  <c r="AJ61" i="11"/>
  <c r="U62" i="11"/>
  <c r="AI61" i="11"/>
  <c r="T62" i="11"/>
  <c r="AH61" i="11"/>
  <c r="S62" i="11"/>
  <c r="AG61" i="11"/>
  <c r="R62" i="11"/>
  <c r="AF61" i="11"/>
  <c r="Q62" i="11"/>
  <c r="AE61" i="11"/>
  <c r="AB62" i="11"/>
  <c r="AP61" i="11"/>
  <c r="P62" i="11"/>
  <c r="AD61" i="11"/>
  <c r="AA64" i="11" l="1"/>
  <c r="AO63" i="11"/>
  <c r="Z63" i="11"/>
  <c r="AN62" i="11"/>
  <c r="Y63" i="11"/>
  <c r="AM62" i="11"/>
  <c r="X63" i="11"/>
  <c r="AL62" i="11"/>
  <c r="W63" i="11"/>
  <c r="AK62" i="11"/>
  <c r="V63" i="11"/>
  <c r="AJ62" i="11"/>
  <c r="U63" i="11"/>
  <c r="AI62" i="11"/>
  <c r="T63" i="11"/>
  <c r="AH62" i="11"/>
  <c r="S63" i="11"/>
  <c r="AG62" i="11"/>
  <c r="R63" i="11"/>
  <c r="AF62" i="11"/>
  <c r="Q63" i="11"/>
  <c r="AE62" i="11"/>
  <c r="P63" i="11"/>
  <c r="AD62" i="11"/>
  <c r="AB63" i="11"/>
  <c r="AP62" i="11"/>
  <c r="AA65" i="11" l="1"/>
  <c r="AO64" i="11"/>
  <c r="Z64" i="11"/>
  <c r="AN63" i="11"/>
  <c r="Y64" i="11"/>
  <c r="AM63" i="11"/>
  <c r="X64" i="11"/>
  <c r="AL63" i="11"/>
  <c r="W64" i="11"/>
  <c r="AK63" i="11"/>
  <c r="V64" i="11"/>
  <c r="AJ63" i="11"/>
  <c r="U64" i="11"/>
  <c r="AI63" i="11"/>
  <c r="T64" i="11"/>
  <c r="AH63" i="11"/>
  <c r="S64" i="11"/>
  <c r="AG63" i="11"/>
  <c r="R64" i="11"/>
  <c r="AF63" i="11"/>
  <c r="Q64" i="11"/>
  <c r="AE63" i="11"/>
  <c r="AB64" i="11"/>
  <c r="AP63" i="11"/>
  <c r="P64" i="11"/>
  <c r="AD63" i="11"/>
  <c r="AA66" i="11" l="1"/>
  <c r="AO65" i="11"/>
  <c r="Z65" i="11"/>
  <c r="AN64" i="11"/>
  <c r="Y65" i="11"/>
  <c r="AM64" i="11"/>
  <c r="X65" i="11"/>
  <c r="AL64" i="11"/>
  <c r="W65" i="11"/>
  <c r="AK64" i="11"/>
  <c r="V65" i="11"/>
  <c r="AJ64" i="11"/>
  <c r="U65" i="11"/>
  <c r="AI64" i="11"/>
  <c r="T65" i="11"/>
  <c r="AH64" i="11"/>
  <c r="S65" i="11"/>
  <c r="AG64" i="11"/>
  <c r="R65" i="11"/>
  <c r="AF64" i="11"/>
  <c r="Q65" i="11"/>
  <c r="AE64" i="11"/>
  <c r="P65" i="11"/>
  <c r="AD64" i="11"/>
  <c r="AB65" i="11"/>
  <c r="AP64" i="11"/>
  <c r="AA67" i="11" l="1"/>
  <c r="AO66" i="11"/>
  <c r="Z66" i="11"/>
  <c r="AN65" i="11"/>
  <c r="Y66" i="11"/>
  <c r="AM65" i="11"/>
  <c r="X66" i="11"/>
  <c r="AL65" i="11"/>
  <c r="W66" i="11"/>
  <c r="AK65" i="11"/>
  <c r="V66" i="11"/>
  <c r="AJ65" i="11"/>
  <c r="U66" i="11"/>
  <c r="AI65" i="11"/>
  <c r="T66" i="11"/>
  <c r="AH65" i="11"/>
  <c r="S66" i="11"/>
  <c r="AG65" i="11"/>
  <c r="R66" i="11"/>
  <c r="AF65" i="11"/>
  <c r="Q66" i="11"/>
  <c r="AE65" i="11"/>
  <c r="AB66" i="11"/>
  <c r="AP65" i="11"/>
  <c r="P66" i="11"/>
  <c r="AD65" i="11"/>
  <c r="AA68" i="11" l="1"/>
  <c r="AO67" i="11"/>
  <c r="Z67" i="11"/>
  <c r="AN66" i="11"/>
  <c r="Y67" i="11"/>
  <c r="AM66" i="11"/>
  <c r="X67" i="11"/>
  <c r="AL66" i="11"/>
  <c r="W67" i="11"/>
  <c r="AK66" i="11"/>
  <c r="V67" i="11"/>
  <c r="AJ66" i="11"/>
  <c r="U67" i="11"/>
  <c r="AI66" i="11"/>
  <c r="T67" i="11"/>
  <c r="AH66" i="11"/>
  <c r="S67" i="11"/>
  <c r="AG66" i="11"/>
  <c r="R67" i="11"/>
  <c r="AF66" i="11"/>
  <c r="Q67" i="11"/>
  <c r="AE66" i="11"/>
  <c r="P67" i="11"/>
  <c r="AD66" i="11"/>
  <c r="AB67" i="11"/>
  <c r="AP66" i="11"/>
  <c r="AA69" i="11" l="1"/>
  <c r="AO69" i="11" s="1"/>
  <c r="AO68" i="11"/>
  <c r="Z68" i="11"/>
  <c r="AN67" i="11"/>
  <c r="Y68" i="11"/>
  <c r="AM67" i="11"/>
  <c r="X68" i="11"/>
  <c r="AL67" i="11"/>
  <c r="W68" i="11"/>
  <c r="AK67" i="11"/>
  <c r="V68" i="11"/>
  <c r="AJ67" i="11"/>
  <c r="U68" i="11"/>
  <c r="AI67" i="11"/>
  <c r="T68" i="11"/>
  <c r="AH67" i="11"/>
  <c r="S68" i="11"/>
  <c r="AG67" i="11"/>
  <c r="R68" i="11"/>
  <c r="AF67" i="11"/>
  <c r="Q68" i="11"/>
  <c r="AE67" i="11"/>
  <c r="AB68" i="11"/>
  <c r="AP67" i="11"/>
  <c r="P68" i="11"/>
  <c r="AD67" i="11"/>
  <c r="Z69" i="11" l="1"/>
  <c r="AN69" i="11" s="1"/>
  <c r="AN68" i="11"/>
  <c r="Y69" i="11"/>
  <c r="AM69" i="11" s="1"/>
  <c r="AM68" i="11"/>
  <c r="X69" i="11"/>
  <c r="AL69" i="11" s="1"/>
  <c r="AL68" i="11"/>
  <c r="W69" i="11"/>
  <c r="AK69" i="11" s="1"/>
  <c r="AK68" i="11"/>
  <c r="V69" i="11"/>
  <c r="AJ69" i="11" s="1"/>
  <c r="AJ68" i="11"/>
  <c r="U69" i="11"/>
  <c r="AI69" i="11" s="1"/>
  <c r="AI68" i="11"/>
  <c r="T69" i="11"/>
  <c r="AH69" i="11" s="1"/>
  <c r="AH68" i="11"/>
  <c r="S69" i="11"/>
  <c r="AG69" i="11" s="1"/>
  <c r="AG68" i="11"/>
  <c r="R69" i="11"/>
  <c r="AF69" i="11" s="1"/>
  <c r="AF68" i="11"/>
  <c r="Q69" i="11"/>
  <c r="AE69" i="11" s="1"/>
  <c r="AE68" i="11"/>
  <c r="P69" i="11"/>
  <c r="AD69" i="11" s="1"/>
  <c r="AD68" i="11"/>
  <c r="AB69" i="11"/>
  <c r="AP69" i="11" s="1"/>
  <c r="AP68" i="11"/>
</calcChain>
</file>

<file path=xl/sharedStrings.xml><?xml version="1.0" encoding="utf-8"?>
<sst xmlns="http://schemas.openxmlformats.org/spreadsheetml/2006/main" count="2645" uniqueCount="146">
  <si>
    <t>File</t>
  </si>
  <si>
    <t>rc_ordering</t>
  </si>
  <si>
    <t>rc_memory</t>
  </si>
  <si>
    <t>rc_cputime</t>
  </si>
  <si>
    <t>rc_realtime</t>
  </si>
  <si>
    <t>rc_cells</t>
  </si>
  <si>
    <t>qe_ordering</t>
  </si>
  <si>
    <t>qe_memory</t>
  </si>
  <si>
    <t>qe_cputime</t>
  </si>
  <si>
    <t>qe_realtime</t>
  </si>
  <si>
    <t>qe_cells</t>
  </si>
  <si>
    <t>Ordering match</t>
  </si>
  <si>
    <t>memory diff</t>
  </si>
  <si>
    <t>win</t>
  </si>
  <si>
    <t>% of other</t>
  </si>
  <si>
    <t>cputime diff</t>
  </si>
  <si>
    <t>realtime diff</t>
  </si>
  <si>
    <t>cells diff</t>
  </si>
  <si>
    <t>rc_memory_avg</t>
  </si>
  <si>
    <t>rc_cputime_avg</t>
  </si>
  <si>
    <t>rc_realtime_avg</t>
  </si>
  <si>
    <t>rc_cells_avg</t>
  </si>
  <si>
    <t>qe_memory_avg</t>
  </si>
  <si>
    <t>qe_cputime_avg</t>
  </si>
  <si>
    <t>qe_realtime_avg</t>
  </si>
  <si>
    <t>qe_cells_avg</t>
  </si>
  <si>
    <t>memory</t>
  </si>
  <si>
    <t>cputime</t>
  </si>
  <si>
    <t>realtime</t>
  </si>
  <si>
    <t>cells</t>
  </si>
  <si>
    <t>RC</t>
  </si>
  <si>
    <t>QE</t>
  </si>
  <si>
    <t>TIE</t>
  </si>
  <si>
    <t>total</t>
  </si>
  <si>
    <t>--</t>
  </si>
  <si>
    <t>No.</t>
  </si>
  <si>
    <t>Successes</t>
  </si>
  <si>
    <t>Timeouts</t>
  </si>
  <si>
    <t>Errors</t>
  </si>
  <si>
    <t>Total</t>
  </si>
  <si>
    <t>Success Rate</t>
  </si>
  <si>
    <t>No. times faster (cputime)</t>
  </si>
  <si>
    <t>No. times fewer cells</t>
  </si>
  <si>
    <t>RC REAL TIME</t>
  </si>
  <si>
    <t>QE REAL TIME</t>
  </si>
  <si>
    <t>RC error</t>
  </si>
  <si>
    <t>QE error</t>
  </si>
  <si>
    <t xml:space="preserve"> </t>
  </si>
  <si>
    <t>Fastest</t>
  </si>
  <si>
    <t>"TIME OUT"</t>
  </si>
  <si>
    <t>"ERROR</t>
  </si>
  <si>
    <t>Completed/Failed</t>
  </si>
  <si>
    <t>Success</t>
  </si>
  <si>
    <t>Time out</t>
  </si>
  <si>
    <t>Error</t>
  </si>
  <si>
    <t>ERROR: Maple was unable to allocate enough memory to complete this computation.  Please see ?alloc</t>
  </si>
  <si>
    <t>Run again on fresh restart</t>
  </si>
  <si>
    <t>ERROR: reducible RootOf detected. Substitutions are %1</t>
  </si>
  <si>
    <t>Not sure I can do anything - issue with QuantifierElimination, maybe check 129 again</t>
  </si>
  <si>
    <t>ERROR: invalid input: %1 expects its %-2 argument, %3, to be of type %4, but received %5</t>
  </si>
  <si>
    <t>Check this - anything I can do? Could be a bug in the conversion tool</t>
  </si>
  <si>
    <t>ERROR: attempt to refine root to target precision %1 failed with last working precision %2</t>
  </si>
  <si>
    <t>Check this - anything I can do?</t>
  </si>
  <si>
    <t>No error</t>
  </si>
  <si>
    <t>Error: Memory</t>
  </si>
  <si>
    <t>Error: Reducible RootOf</t>
  </si>
  <si>
    <t>Error: Invalid input</t>
  </si>
  <si>
    <t>Error: Root refine</t>
  </si>
  <si>
    <t>RC1</t>
  </si>
  <si>
    <t>RC2</t>
  </si>
  <si>
    <t>RC3</t>
  </si>
  <si>
    <t>RC4</t>
  </si>
  <si>
    <t>RC5</t>
  </si>
  <si>
    <t>RC6</t>
  </si>
  <si>
    <t>QE1</t>
  </si>
  <si>
    <t>QE2</t>
  </si>
  <si>
    <t>QE3</t>
  </si>
  <si>
    <t>QE4</t>
  </si>
  <si>
    <t>QE5</t>
  </si>
  <si>
    <t>QE6</t>
  </si>
  <si>
    <t>Grand Total</t>
  </si>
  <si>
    <t>Sum of RC1</t>
  </si>
  <si>
    <t>Sum of RC2</t>
  </si>
  <si>
    <t>Sum of RC3</t>
  </si>
  <si>
    <t>Sum of RC4</t>
  </si>
  <si>
    <t>Sum of RC5</t>
  </si>
  <si>
    <t>Sum of RC6</t>
  </si>
  <si>
    <t>Sum of QE1</t>
  </si>
  <si>
    <t>Sum of QE2</t>
  </si>
  <si>
    <t>Sum of QE3</t>
  </si>
  <si>
    <t>Sum of QE4</t>
  </si>
  <si>
    <t>Sum of QE5</t>
  </si>
  <si>
    <t>Sum of QE6</t>
  </si>
  <si>
    <t>Make sure to sort these out - removes zeroes etc and sort each one individually</t>
  </si>
  <si>
    <t>VB</t>
  </si>
  <si>
    <t>Log Sums</t>
  </si>
  <si>
    <t>[skoE, skoR, skoX]</t>
  </si>
  <si>
    <t>TIME OUT</t>
  </si>
  <si>
    <t>[skoEC1, skoRC1, skoXC1]</t>
  </si>
  <si>
    <t>ERROR: invalid subscript selector</t>
  </si>
  <si>
    <t>[skoX, skoR, skoE]</t>
  </si>
  <si>
    <t>[skoE, skoX, skoR]</t>
  </si>
  <si>
    <t>ERROR</t>
  </si>
  <si>
    <t>[skoX, skoE, skoR]</t>
  </si>
  <si>
    <t>[skoXC1, skoRC1, skoEC1]</t>
  </si>
  <si>
    <t>[skoEC1, skoXC1, skoRC1]</t>
  </si>
  <si>
    <t>[skoXC1, skoEC1, skoRC1]</t>
  </si>
  <si>
    <t>[skoR, skoX, skoE]</t>
  </si>
  <si>
    <t>[skoRC1, skoXC1, skoEC1]</t>
  </si>
  <si>
    <t>(All)</t>
  </si>
  <si>
    <t>(Multiple Items)</t>
  </si>
  <si>
    <t>Both succeed:</t>
  </si>
  <si>
    <t>Total memory</t>
  </si>
  <si>
    <t>total cputime</t>
  </si>
  <si>
    <t>total realtime</t>
  </si>
  <si>
    <t>total cells</t>
  </si>
  <si>
    <t>RC % of QE</t>
  </si>
  <si>
    <t>QE % of RC</t>
  </si>
  <si>
    <t>Both match</t>
  </si>
  <si>
    <t>Don't match</t>
  </si>
  <si>
    <t>Match Tonks order</t>
  </si>
  <si>
    <t>vs 3</t>
  </si>
  <si>
    <t>vs 5</t>
  </si>
  <si>
    <t>6 vs 5</t>
  </si>
  <si>
    <t>6 vs 3</t>
  </si>
  <si>
    <t>Bad ordering</t>
  </si>
  <si>
    <t>Own ordering</t>
  </si>
  <si>
    <t>dsum ordering</t>
  </si>
  <si>
    <t>Just polys</t>
  </si>
  <si>
    <t>Ecs</t>
  </si>
  <si>
    <t>Smallest</t>
  </si>
  <si>
    <t>Least</t>
  </si>
  <si>
    <t>RC CELLS</t>
  </si>
  <si>
    <t>QE CELLS</t>
  </si>
  <si>
    <t>RC MEMORY</t>
  </si>
  <si>
    <t>QE MEMORY</t>
  </si>
  <si>
    <r>
      <t>\addplot</t>
    </r>
    <r>
      <rPr>
        <sz val="10"/>
        <color rgb="FF000000"/>
        <rFont val="Arial Unicode MS"/>
      </rPr>
      <t xml:space="preserve"> coordinates {</t>
    </r>
  </si>
  <si>
    <t>VB (Polys)</t>
  </si>
  <si>
    <t>VB (Ecs)</t>
  </si>
  <si>
    <t>VB (RC)</t>
  </si>
  <si>
    <t>VB (PL)</t>
  </si>
  <si>
    <t>Logsum</t>
  </si>
  <si>
    <t>Raw</t>
  </si>
  <si>
    <r>
      <t>\addplot[color=black, mark=none, dashed]</t>
    </r>
    <r>
      <rPr>
        <sz val="10"/>
        <color rgb="FF000000"/>
        <rFont val="Arial Unicode MS"/>
      </rPr>
      <t xml:space="preserve"> coordinates {</t>
    </r>
  </si>
  <si>
    <t>ALL</t>
  </si>
  <si>
    <t>RC3+RC6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</si>
</sst>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800000"/>
      <name val="Arial Unicode MS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0" fontId="4" fillId="0" borderId="2" xfId="0" applyFont="1" applyBorder="1"/>
    <xf numFmtId="10" fontId="4" fillId="0" borderId="2" xfId="0" applyNumberFormat="1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0" fontId="2" fillId="0" borderId="2" xfId="0" applyNumberFormat="1" applyFont="1" applyBorder="1"/>
    <xf numFmtId="0" fontId="0" fillId="0" borderId="0" xfId="0" pivotButton="1"/>
    <xf numFmtId="11" fontId="0" fillId="0" borderId="0" xfId="0" applyNumberFormat="1"/>
    <xf numFmtId="164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1" fontId="0" fillId="0" borderId="0" xfId="0" applyNumberFormat="1"/>
    <xf numFmtId="1" fontId="0" fillId="0" borderId="1" xfId="0" applyNumberFormat="1" applyBorder="1"/>
    <xf numFmtId="1" fontId="6" fillId="0" borderId="0" xfId="0" applyNumberFormat="1" applyFont="1"/>
    <xf numFmtId="1" fontId="6" fillId="0" borderId="1" xfId="0" applyNumberFormat="1" applyFont="1" applyBorder="1"/>
    <xf numFmtId="0" fontId="7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3" borderId="0" xfId="2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  <color rgb="FFFF7C80"/>
      <color rgb="FFFF9999"/>
      <color rgb="FFFF3300"/>
      <color rgb="FF33CCCC"/>
      <color rgb="FFCCFFFF"/>
      <color rgb="FF35FD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51C-4872-A44C-70BB6A1CA606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51C-4872-A44C-70BB6A1C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51C-4872-A44C-70BB6A1CA60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1C-4872-A44C-70BB6A1CA60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1C-4872-A44C-70BB6A1CA6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1C-4872-A44C-70BB6A1CA60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1C-4872-A44C-70BB6A1CA60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51C-4872-A44C-70BB6A1CA60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1C-4872-A44C-70BB6A1CA60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1C-4872-A44C-70BB6A1CA606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1C-4872-A44C-70BB6A1CA606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51C-4872-A44C-70BB6A1CA60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51C-4872-A44C-70BB6A1CA606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3-4657-A158-963902D0871B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73-4657-A158-963902D08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73-4657-A158-963902D0871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73-4657-A158-963902D087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73-4657-A158-963902D0871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73-4657-A158-963902D0871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73-4657-A158-963902D0871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73-4657-A158-963902D0871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373-4657-A158-963902D0871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373-4657-A158-963902D0871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373-4657-A158-963902D0871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373-4657-A158-963902D0871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373-4657-A158-963902D0871B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CB7-4650-9784-7DC6C208E715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CB7-4650-9784-7DC6C208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CB7-4650-9784-7DC6C208E71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B7-4650-9784-7DC6C208E7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B7-4650-9784-7DC6C208E7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7-4650-9784-7DC6C208E7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7-4650-9784-7DC6C208E71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7-4650-9784-7DC6C208E71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7-4650-9784-7DC6C208E71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7-4650-9784-7DC6C208E71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7-4650-9784-7DC6C208E71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CB7-4650-9784-7DC6C208E71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CB7-4650-9784-7DC6C208E715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4D4-414F-A579-AB53B785694C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94D4-414F-A579-AB53B7856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4D4-414F-A579-AB53B785694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4D4-414F-A579-AB53B785694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D4-414F-A579-AB53B785694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D4-414F-A579-AB53B785694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D4-414F-A579-AB53B785694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D4-414F-A579-AB53B785694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D4-414F-A579-AB53B785694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D4-414F-A579-AB53B785694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4D4-414F-A579-AB53B785694C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4D4-414F-A579-AB53B785694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4D4-414F-A579-AB53B785694C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EEB-487E-B5B6-5D8FA3607C33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BEEB-487E-B5B6-5D8FA360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EEB-487E-B5B6-5D8FA3607C3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EB-487E-B5B6-5D8FA3607C3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EEB-487E-B5B6-5D8FA3607C3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EB-487E-B5B6-5D8FA3607C3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EB-487E-B5B6-5D8FA3607C3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EB-487E-B5B6-5D8FA3607C3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EB-487E-B5B6-5D8FA3607C3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EEB-487E-B5B6-5D8FA3607C3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EEB-487E-B5B6-5D8FA3607C3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EEB-487E-B5B6-5D8FA3607C3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EEB-487E-B5B6-5D8FA3607C3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F985-411C-AFC9-7F0D90F01293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985-411C-AFC9-7F0D90F0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85-411C-AFC9-7F0D90F0129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985-411C-AFC9-7F0D90F0129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85-411C-AFC9-7F0D90F0129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5-411C-AFC9-7F0D90F0129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5-411C-AFC9-7F0D90F0129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985-411C-AFC9-7F0D90F0129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85-411C-AFC9-7F0D90F0129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985-411C-AFC9-7F0D90F0129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985-411C-AFC9-7F0D90F0129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985-411C-AFC9-7F0D90F0129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985-411C-AFC9-7F0D90F0129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7-4CFE-A2E5-FAC8F0029DD2}"/>
            </c:ext>
          </c:extLst>
        </c:ser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1C7-4CFE-A2E5-FAC8F0029DD2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7-4CFE-A2E5-FAC8F0029DD2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C7-4CFE-A2E5-FAC8F002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 w="9525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C7-4CFE-A2E5-FAC8F0029DD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C7-4CFE-A2E5-FAC8F0029DD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1C7-4CFE-A2E5-FAC8F0029DD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C7-4CFE-A2E5-FAC8F0029DD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 w="9525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1C7-4CFE-A2E5-FAC8F0029DD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1C7-4CFE-A2E5-FAC8F0029DD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1C7-4CFE-A2E5-FAC8F0029DD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1C7-4CFE-A2E5-FAC8F0029DD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1C7-4CFE-A2E5-FAC8F0029DD2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785-46EB-A97F-BB3F7DEB9E24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785-46EB-A97F-BB3F7DEB9E24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785-46EB-A97F-BB3F7DEB9E24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785-46EB-A97F-BB3F7DEB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785-46EB-A97F-BB3F7DEB9E2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85-46EB-A97F-BB3F7DEB9E2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 w="9525">
                      <a:solidFill>
                        <a:schemeClr val="accent2">
                          <a:lumMod val="20000"/>
                          <a:lumOff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85-46EB-A97F-BB3F7DEB9E2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85-46EB-A97F-BB3F7DEB9E2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785-46EB-A97F-BB3F7DEB9E2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785-46EB-A97F-BB3F7DEB9E2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 w="9525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785-46EB-A97F-BB3F7DEB9E2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785-46EB-A97F-BB3F7DEB9E2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785-46EB-A97F-BB3F7DEB9E24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D3-4E91-8C58-4DB5622FCA13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2D3-4E91-8C58-4DB5622FCA13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2D3-4E91-8C58-4DB5622FCA13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2D3-4E91-8C58-4DB5622F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D3-4E91-8C58-4DB5622FCA1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D3-4E91-8C58-4DB5622FCA1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D3-4E91-8C58-4DB5622FCA1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D3-4E91-8C58-4DB5622FCA1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D3-4E91-8C58-4DB5622FCA1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2D3-4E91-8C58-4DB5622FCA1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2D3-4E91-8C58-4DB5622FCA1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2D3-4E91-8C58-4DB5622FCA1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2D3-4E91-8C58-4DB5622FCA1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2-4FD3-A109-8F2250C8ABDF}"/>
            </c:ext>
          </c:extLst>
        </c:ser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4E2-4FD3-A109-8F2250C8ABDF}"/>
            </c:ext>
          </c:extLst>
        </c:ser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4E2-4FD3-A109-8F2250C8A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14E2-4FD3-A109-8F2250C8ABD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4E2-4FD3-A109-8F2250C8ABD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4E2-4FD3-A109-8F2250C8ABD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4E2-4FD3-A109-8F2250C8ABD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4E2-4FD3-A109-8F2250C8ABD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4E2-4FD3-A109-8F2250C8ABD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4E2-4FD3-A109-8F2250C8ABD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4E2-4FD3-A109-8F2250C8ABD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4E2-4FD3-A109-8F2250C8ABD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4E2-4FD3-A109-8F2250C8ABDF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B58-4A8F-A258-5E66EC737E74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BB58-4A8F-A258-5E66EC737E74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B58-4A8F-A258-5E66EC737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B58-4A8F-A258-5E66EC737E7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58-4A8F-A258-5E66EC737E7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B58-4A8F-A258-5E66EC737E7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B58-4A8F-A258-5E66EC737E7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B58-4A8F-A258-5E66EC737E7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58-4A8F-A258-5E66EC737E7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B58-4A8F-A258-5E66EC737E7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B58-4A8F-A258-5E66EC737E7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B58-4A8F-A258-5E66EC737E7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B58-4A8F-A258-5E66EC737E74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24-4565-8017-9CAA1DD60E8A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624-4565-8017-9CAA1DD60E8A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624-4565-8017-9CAA1DD6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624-4565-8017-9CAA1DD60E8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24-4565-8017-9CAA1DD60E8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24-4565-8017-9CAA1DD60E8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24-4565-8017-9CAA1DD60E8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24-4565-8017-9CAA1DD60E8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24-4565-8017-9CAA1DD60E8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624-4565-8017-9CAA1DD60E8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624-4565-8017-9CAA1DD60E8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624-4565-8017-9CAA1DD60E8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624-4565-8017-9CAA1DD60E8A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444-420D-A85E-28B28FE34777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D444-420D-A85E-28B28FE34777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D444-420D-A85E-28B28FE3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444-420D-A85E-28B28FE3477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44-420D-A85E-28B28FE347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44-420D-A85E-28B28FE347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44-420D-A85E-28B28FE3477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44-420D-A85E-28B28FE347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44-420D-A85E-28B28FE3477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444-420D-A85E-28B28FE3477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444-420D-A85E-28B28FE3477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444-420D-A85E-28B28FE3477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444-420D-A85E-28B28FE34777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A-4C13-ACEC-66565DE29633}"/>
            </c:ext>
          </c:extLst>
        </c:ser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0AA-4C13-ACEC-66565DE29633}"/>
            </c:ext>
          </c:extLst>
        </c:ser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0AA-4C13-ACEC-66565DE29633}"/>
            </c:ext>
          </c:extLst>
        </c:ser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0AA-4C13-ACEC-66565DE29633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9999"/>
              </a:solidFill>
              <a:ln w="9525">
                <a:solidFill>
                  <a:srgbClr val="FF9999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0AA-4C13-ACEC-66565DE29633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0AA-4C13-ACEC-66565DE2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60AA-4C13-ACEC-66565DE2963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0AA-4C13-ACEC-66565DE2963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0AA-4C13-ACEC-66565DE2963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0AA-4C13-ACEC-66565DE2963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0AA-4C13-ACEC-66565DE2963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0AA-4C13-ACEC-66565DE2963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0AA-4C13-ACEC-66565DE2963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6-4133-B4C1-2A7A03A4ABAB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516-4133-B4C1-2A7A03A4ABAB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516-4133-B4C1-2A7A03A4ABAB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5FDE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5FDEA"/>
              </a:solidFill>
              <a:ln w="9525">
                <a:solidFill>
                  <a:srgbClr val="35FDEA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4516-4133-B4C1-2A7A03A4ABAB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CFFFF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CCFFFF"/>
              </a:solidFill>
              <a:ln w="9525">
                <a:solidFill>
                  <a:srgbClr val="CCFFFF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4516-4133-B4C1-2A7A03A4ABAB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4516-4133-B4C1-2A7A03A4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516-4133-B4C1-2A7A03A4ABA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516-4133-B4C1-2A7A03A4ABA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516-4133-B4C1-2A7A03A4ABA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516-4133-B4C1-2A7A03A4ABA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516-4133-B4C1-2A7A03A4ABA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516-4133-B4C1-2A7A03A4ABA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516-4133-B4C1-2A7A03A4ABAB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3-46E1-A1FE-D13E77730154}"/>
            </c:ext>
          </c:extLst>
        </c:ser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563-46E1-A1FE-D13E77730154}"/>
            </c:ext>
          </c:extLst>
        </c:ser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563-46E1-A1FE-D13E77730154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563-46E1-A1FE-D13E77730154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563-46E1-A1FE-D13E77730154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563-46E1-A1FE-D13E7773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-1.2048154103175761</c:v>
                      </c:pt>
                      <c:pt idx="4">
                        <c:v>-0.79371395558756752</c:v>
                      </c:pt>
                      <c:pt idx="5">
                        <c:v>-0.57348873863542471</c:v>
                      </c:pt>
                      <c:pt idx="6">
                        <c:v>-0.42620041778425932</c:v>
                      </c:pt>
                      <c:pt idx="7">
                        <c:v>-0.31452698027724074</c:v>
                      </c:pt>
                      <c:pt idx="8">
                        <c:v>-0.16449967213268116</c:v>
                      </c:pt>
                      <c:pt idx="9">
                        <c:v>-5.2468254304406825E-2</c:v>
                      </c:pt>
                      <c:pt idx="10">
                        <c:v>3.8421445642459459E-2</c:v>
                      </c:pt>
                      <c:pt idx="11">
                        <c:v>0.11457762700016604</c:v>
                      </c:pt>
                      <c:pt idx="12">
                        <c:v>0.18158636373685635</c:v>
                      </c:pt>
                      <c:pt idx="13">
                        <c:v>0.24390577021752136</c:v>
                      </c:pt>
                      <c:pt idx="14">
                        <c:v>0.34401873774591279</c:v>
                      </c:pt>
                      <c:pt idx="15">
                        <c:v>0.42787543631316594</c:v>
                      </c:pt>
                      <c:pt idx="16">
                        <c:v>0.4983381271670837</c:v>
                      </c:pt>
                      <c:pt idx="17">
                        <c:v>0.56026539786271468</c:v>
                      </c:pt>
                      <c:pt idx="18">
                        <c:v>0.61478124814107804</c:v>
                      </c:pt>
                      <c:pt idx="19">
                        <c:v>0.66336164753400673</c:v>
                      </c:pt>
                      <c:pt idx="20">
                        <c:v>0.70705041493570853</c:v>
                      </c:pt>
                      <c:pt idx="21">
                        <c:v>0.74759046117286043</c:v>
                      </c:pt>
                      <c:pt idx="22">
                        <c:v>0.78478128093069199</c:v>
                      </c:pt>
                      <c:pt idx="23">
                        <c:v>0.81934648408045274</c:v>
                      </c:pt>
                      <c:pt idx="24">
                        <c:v>0.85164353774300816</c:v>
                      </c:pt>
                      <c:pt idx="25">
                        <c:v>0.88179535873846426</c:v>
                      </c:pt>
                      <c:pt idx="26">
                        <c:v>0.9101599844246262</c:v>
                      </c:pt>
                      <c:pt idx="27">
                        <c:v>0.93709643196347636</c:v>
                      </c:pt>
                      <c:pt idx="28">
                        <c:v>0.96282848833920409</c:v>
                      </c:pt>
                      <c:pt idx="29">
                        <c:v>0.99136343283551032</c:v>
                      </c:pt>
                      <c:pt idx="30">
                        <c:v>1.0279201364058028</c:v>
                      </c:pt>
                      <c:pt idx="31">
                        <c:v>1.0622283885350754</c:v>
                      </c:pt>
                      <c:pt idx="32">
                        <c:v>1.0966389286642346</c:v>
                      </c:pt>
                      <c:pt idx="33">
                        <c:v>1.1286738473085902</c:v>
                      </c:pt>
                      <c:pt idx="34">
                        <c:v>1.1599640123855286</c:v>
                      </c:pt>
                      <c:pt idx="35">
                        <c:v>1.1961181277915032</c:v>
                      </c:pt>
                      <c:pt idx="36">
                        <c:v>1.2301320262862674</c:v>
                      </c:pt>
                      <c:pt idx="37">
                        <c:v>1.2633780186500057</c:v>
                      </c:pt>
                      <c:pt idx="38">
                        <c:v>1.2958418829402656</c:v>
                      </c:pt>
                      <c:pt idx="39">
                        <c:v>1.3363656598786331</c:v>
                      </c:pt>
                      <c:pt idx="40">
                        <c:v>1.3750048155306398</c:v>
                      </c:pt>
                      <c:pt idx="41">
                        <c:v>1.4352660893076084</c:v>
                      </c:pt>
                      <c:pt idx="42">
                        <c:v>1.4885070028429377</c:v>
                      </c:pt>
                      <c:pt idx="43">
                        <c:v>2.3995332018900677</c:v>
                      </c:pt>
                      <c:pt idx="44">
                        <c:v>2.7767023459787814</c:v>
                      </c:pt>
                      <c:pt idx="45">
                        <c:v>2.9757117807409017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563-46E1-A1FE-D13E777301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-1.1837587000082168</c:v>
                      </c:pt>
                      <c:pt idx="4">
                        <c:v>-0.63601217025150858</c:v>
                      </c:pt>
                      <c:pt idx="5">
                        <c:v>-0.38923340522672906</c:v>
                      </c:pt>
                      <c:pt idx="6">
                        <c:v>-0.2204756566752101</c:v>
                      </c:pt>
                      <c:pt idx="7">
                        <c:v>-9.1622227567605422E-2</c:v>
                      </c:pt>
                      <c:pt idx="8">
                        <c:v>5.9070913092980251E-2</c:v>
                      </c:pt>
                      <c:pt idx="9">
                        <c:v>0.17527981844238424</c:v>
                      </c:pt>
                      <c:pt idx="10">
                        <c:v>0.26761753168677194</c:v>
                      </c:pt>
                      <c:pt idx="11">
                        <c:v>0.34401873774591279</c:v>
                      </c:pt>
                      <c:pt idx="12">
                        <c:v>0.41188895239584855</c:v>
                      </c:pt>
                      <c:pt idx="13">
                        <c:v>0.47079257256689611</c:v>
                      </c:pt>
                      <c:pt idx="14">
                        <c:v>0.52447401547359662</c:v>
                      </c:pt>
                      <c:pt idx="15">
                        <c:v>0.57243011610504368</c:v>
                      </c:pt>
                      <c:pt idx="16">
                        <c:v>0.61644400407693312</c:v>
                      </c:pt>
                      <c:pt idx="17">
                        <c:v>0.65715150190096672</c:v>
                      </c:pt>
                      <c:pt idx="18">
                        <c:v>0.69518387254603708</c:v>
                      </c:pt>
                      <c:pt idx="19">
                        <c:v>0.73016025654818972</c:v>
                      </c:pt>
                      <c:pt idx="20">
                        <c:v>0.76263355678590639</c:v>
                      </c:pt>
                      <c:pt idx="21">
                        <c:v>0.7932873732019724</c:v>
                      </c:pt>
                      <c:pt idx="22">
                        <c:v>0.82192601047462943</c:v>
                      </c:pt>
                      <c:pt idx="23">
                        <c:v>0.84926581716155725</c:v>
                      </c:pt>
                      <c:pt idx="24">
                        <c:v>0.87535069657928921</c:v>
                      </c:pt>
                      <c:pt idx="25">
                        <c:v>0.90012669787447031</c:v>
                      </c:pt>
                      <c:pt idx="26">
                        <c:v>0.92405173887522696</c:v>
                      </c:pt>
                      <c:pt idx="27">
                        <c:v>0.94680584505314991</c:v>
                      </c:pt>
                      <c:pt idx="28">
                        <c:v>0.96856699741693397</c:v>
                      </c:pt>
                      <c:pt idx="29">
                        <c:v>0.98936526440400518</c:v>
                      </c:pt>
                      <c:pt idx="30">
                        <c:v>1.0204897286221786</c:v>
                      </c:pt>
                      <c:pt idx="31">
                        <c:v>1.0497140758159491</c:v>
                      </c:pt>
                      <c:pt idx="32">
                        <c:v>1.078344423469568</c:v>
                      </c:pt>
                      <c:pt idx="33">
                        <c:v>1.1057894059517335</c:v>
                      </c:pt>
                      <c:pt idx="34">
                        <c:v>1.1317020511477651</c:v>
                      </c:pt>
                      <c:pt idx="35">
                        <c:v>1.1572421367615293</c:v>
                      </c:pt>
                      <c:pt idx="36">
                        <c:v>1.181540619034898</c:v>
                      </c:pt>
                      <c:pt idx="37">
                        <c:v>1.2049335223541449</c:v>
                      </c:pt>
                      <c:pt idx="38">
                        <c:v>1.2271717148099963</c:v>
                      </c:pt>
                      <c:pt idx="39">
                        <c:v>1.250273586232246</c:v>
                      </c:pt>
                      <c:pt idx="40">
                        <c:v>1.2743426161168829</c:v>
                      </c:pt>
                      <c:pt idx="41">
                        <c:v>1.3184911547918832</c:v>
                      </c:pt>
                      <c:pt idx="42">
                        <c:v>1.3655497551439935</c:v>
                      </c:pt>
                      <c:pt idx="43">
                        <c:v>1.8749355893398796</c:v>
                      </c:pt>
                      <c:pt idx="44">
                        <c:v>2.1051861313120357</c:v>
                      </c:pt>
                      <c:pt idx="45">
                        <c:v>2.336772833338514</c:v>
                      </c:pt>
                      <c:pt idx="46">
                        <c:v>2.4890046553267711</c:v>
                      </c:pt>
                      <c:pt idx="47">
                        <c:v>2.609227611660911</c:v>
                      </c:pt>
                      <c:pt idx="48">
                        <c:v>2.7034245699999739</c:v>
                      </c:pt>
                      <c:pt idx="49">
                        <c:v>2.8127683448932812</c:v>
                      </c:pt>
                      <c:pt idx="50">
                        <c:v>2.9008892790969556</c:v>
                      </c:pt>
                      <c:pt idx="51">
                        <c:v>2.9805310710905841</c:v>
                      </c:pt>
                      <c:pt idx="52">
                        <c:v>3.0487828510388244</c:v>
                      </c:pt>
                      <c:pt idx="53">
                        <c:v>3.1078933776091091</c:v>
                      </c:pt>
                      <c:pt idx="54">
                        <c:v>3.1605600024516858</c:v>
                      </c:pt>
                      <c:pt idx="55">
                        <c:v>3.2095816548667178</c:v>
                      </c:pt>
                      <c:pt idx="56">
                        <c:v>3.2685333935719814</c:v>
                      </c:pt>
                      <c:pt idx="57">
                        <c:v>3.3206810532508739</c:v>
                      </c:pt>
                      <c:pt idx="58">
                        <c:v>3.3673326399810817</c:v>
                      </c:pt>
                      <c:pt idx="59">
                        <c:v>3.4096061472047619</c:v>
                      </c:pt>
                      <c:pt idx="60">
                        <c:v>3.4481919096201374</c:v>
                      </c:pt>
                      <c:pt idx="61">
                        <c:v>3.4836327778419585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63-46E1-A1FE-D13E7773015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-1.2048154103175759</c:v>
                      </c:pt>
                      <c:pt idx="4">
                        <c:v>-0.6601512169623629</c:v>
                      </c:pt>
                      <c:pt idx="5">
                        <c:v>-0.41521662100349227</c:v>
                      </c:pt>
                      <c:pt idx="6">
                        <c:v>-0.25711782856272708</c:v>
                      </c:pt>
                      <c:pt idx="7">
                        <c:v>-0.14104194528199424</c:v>
                      </c:pt>
                      <c:pt idx="8">
                        <c:v>1.5694988526518093E-2</c:v>
                      </c:pt>
                      <c:pt idx="9">
                        <c:v>0.13209952191650434</c:v>
                      </c:pt>
                      <c:pt idx="10">
                        <c:v>0.22744962046984168</c:v>
                      </c:pt>
                      <c:pt idx="11">
                        <c:v>0.30593147446331287</c:v>
                      </c:pt>
                      <c:pt idx="12">
                        <c:v>0.37551730064967137</c:v>
                      </c:pt>
                      <c:pt idx="13">
                        <c:v>0.43648069500949499</c:v>
                      </c:pt>
                      <c:pt idx="14">
                        <c:v>0.520247652686888</c:v>
                      </c:pt>
                      <c:pt idx="15">
                        <c:v>0.59097551184064911</c:v>
                      </c:pt>
                      <c:pt idx="16">
                        <c:v>0.65971658781144238</c:v>
                      </c:pt>
                      <c:pt idx="17">
                        <c:v>0.71944730436275617</c:v>
                      </c:pt>
                      <c:pt idx="18">
                        <c:v>0.77718749572561452</c:v>
                      </c:pt>
                      <c:pt idx="19">
                        <c:v>0.82894975900572865</c:v>
                      </c:pt>
                      <c:pt idx="20">
                        <c:v>0.87546641586638563</c:v>
                      </c:pt>
                      <c:pt idx="21">
                        <c:v>0.91764202565790454</c:v>
                      </c:pt>
                      <c:pt idx="22">
                        <c:v>0.9563797613194146</c:v>
                      </c:pt>
                      <c:pt idx="23">
                        <c:v>0.99208495167187261</c:v>
                      </c:pt>
                      <c:pt idx="24">
                        <c:v>1.0264188539182912</c:v>
                      </c:pt>
                      <c:pt idx="25">
                        <c:v>1.0584146354663651</c:v>
                      </c:pt>
                      <c:pt idx="26">
                        <c:v>1.0889330407719071</c:v>
                      </c:pt>
                      <c:pt idx="27">
                        <c:v>1.1174502809210511</c:v>
                      </c:pt>
                      <c:pt idx="28">
                        <c:v>1.1447422890728136</c:v>
                      </c:pt>
                      <c:pt idx="29">
                        <c:v>1.1706957928742761</c:v>
                      </c:pt>
                      <c:pt idx="30">
                        <c:v>1.2026544832812325</c:v>
                      </c:pt>
                      <c:pt idx="31">
                        <c:v>1.2330545203417704</c:v>
                      </c:pt>
                      <c:pt idx="32">
                        <c:v>1.2619856944553705</c:v>
                      </c:pt>
                      <c:pt idx="33">
                        <c:v>1.2923757074380928</c:v>
                      </c:pt>
                      <c:pt idx="34">
                        <c:v>1.321327041075808</c:v>
                      </c:pt>
                      <c:pt idx="35">
                        <c:v>1.3484995702838378</c:v>
                      </c:pt>
                      <c:pt idx="36">
                        <c:v>1.3742734777507821</c:v>
                      </c:pt>
                      <c:pt idx="37">
                        <c:v>1.3988996071409407</c:v>
                      </c:pt>
                      <c:pt idx="38">
                        <c:v>1.4224355279301342</c:v>
                      </c:pt>
                      <c:pt idx="39">
                        <c:v>1.4448595050797497</c:v>
                      </c:pt>
                      <c:pt idx="40">
                        <c:v>1.4671550785422356</c:v>
                      </c:pt>
                      <c:pt idx="41">
                        <c:v>1.509631226890235</c:v>
                      </c:pt>
                      <c:pt idx="42">
                        <c:v>1.5506758738948914</c:v>
                      </c:pt>
                      <c:pt idx="43">
                        <c:v>1.6418368625725686</c:v>
                      </c:pt>
                      <c:pt idx="44">
                        <c:v>1.7173384153428546</c:v>
                      </c:pt>
                      <c:pt idx="45">
                        <c:v>1.7840428454672133</c:v>
                      </c:pt>
                      <c:pt idx="46">
                        <c:v>1.842486921067124</c:v>
                      </c:pt>
                      <c:pt idx="47">
                        <c:v>1.906835323737281</c:v>
                      </c:pt>
                      <c:pt idx="48">
                        <c:v>1.9636806566805958</c:v>
                      </c:pt>
                      <c:pt idx="49">
                        <c:v>2.01410999108582</c:v>
                      </c:pt>
                      <c:pt idx="50">
                        <c:v>2.0604054428757728</c:v>
                      </c:pt>
                      <c:pt idx="51">
                        <c:v>2.1042972366890225</c:v>
                      </c:pt>
                      <c:pt idx="52">
                        <c:v>2.1442256982602905</c:v>
                      </c:pt>
                      <c:pt idx="53">
                        <c:v>2.1808352551006607</c:v>
                      </c:pt>
                      <c:pt idx="54">
                        <c:v>2.2146179031898314</c:v>
                      </c:pt>
                      <c:pt idx="55">
                        <c:v>2.2460998020957095</c:v>
                      </c:pt>
                      <c:pt idx="56">
                        <c:v>2.275658190805367</c:v>
                      </c:pt>
                      <c:pt idx="57">
                        <c:v>2.3044987138026434</c:v>
                      </c:pt>
                      <c:pt idx="58">
                        <c:v>2.3343513984004276</c:v>
                      </c:pt>
                      <c:pt idx="59">
                        <c:v>2.3623836916823104</c:v>
                      </c:pt>
                      <c:pt idx="60">
                        <c:v>2.3922942969923029</c:v>
                      </c:pt>
                      <c:pt idx="61">
                        <c:v>2.4203593061838178</c:v>
                      </c:pt>
                      <c:pt idx="62">
                        <c:v>2.4467252274296016</c:v>
                      </c:pt>
                      <c:pt idx="63">
                        <c:v>2.4717121568926421</c:v>
                      </c:pt>
                      <c:pt idx="64">
                        <c:v>2.4953697521535401</c:v>
                      </c:pt>
                      <c:pt idx="65">
                        <c:v>2.5329303535918393</c:v>
                      </c:pt>
                      <c:pt idx="66">
                        <c:v>2.5678338264981542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63-46E1-A1FE-D13E7773015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-1.2628073572952627</c:v>
                      </c:pt>
                      <c:pt idx="1">
                        <c:v>-0.95979337242528884</c:v>
                      </c:pt>
                      <c:pt idx="2">
                        <c:v>-0.78146449478347213</c:v>
                      </c:pt>
                      <c:pt idx="3">
                        <c:v>-0.6552148773673393</c:v>
                      </c:pt>
                      <c:pt idx="4">
                        <c:v>-0.37551163748655109</c:v>
                      </c:pt>
                      <c:pt idx="5">
                        <c:v>-0.20565139610391731</c:v>
                      </c:pt>
                      <c:pt idx="6">
                        <c:v>-7.5927570089637159E-2</c:v>
                      </c:pt>
                      <c:pt idx="7">
                        <c:v>2.6492407052839655E-2</c:v>
                      </c:pt>
                      <c:pt idx="8">
                        <c:v>0.14912669974261428</c:v>
                      </c:pt>
                      <c:pt idx="9">
                        <c:v>0.24504357393060996</c:v>
                      </c:pt>
                      <c:pt idx="10">
                        <c:v>0.32358207984899479</c:v>
                      </c:pt>
                      <c:pt idx="11">
                        <c:v>0.39292546917227988</c:v>
                      </c:pt>
                      <c:pt idx="12">
                        <c:v>0.45357822727841823</c:v>
                      </c:pt>
                      <c:pt idx="13">
                        <c:v>0.50807161659937516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563-46E1-A1FE-D13E7773015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-1.2471835688117285</c:v>
                      </c:pt>
                      <c:pt idx="1">
                        <c:v>-0.94423953531226523</c:v>
                      </c:pt>
                      <c:pt idx="2">
                        <c:v>-0.7510463845042924</c:v>
                      </c:pt>
                      <c:pt idx="3">
                        <c:v>-0.61332271603916233</c:v>
                      </c:pt>
                      <c:pt idx="4">
                        <c:v>-0.41555569283482385</c:v>
                      </c:pt>
                      <c:pt idx="5">
                        <c:v>-0.27884915625031587</c:v>
                      </c:pt>
                      <c:pt idx="6">
                        <c:v>-0.1678105389314869</c:v>
                      </c:pt>
                      <c:pt idx="7">
                        <c:v>-6.8745593583586506E-2</c:v>
                      </c:pt>
                      <c:pt idx="8">
                        <c:v>4.6924174230034969E-2</c:v>
                      </c:pt>
                      <c:pt idx="9">
                        <c:v>0.14016222961363667</c:v>
                      </c:pt>
                      <c:pt idx="10">
                        <c:v>0.21769446020537836</c:v>
                      </c:pt>
                      <c:pt idx="11">
                        <c:v>0.2862767864668429</c:v>
                      </c:pt>
                      <c:pt idx="12">
                        <c:v>0.34586362850376406</c:v>
                      </c:pt>
                      <c:pt idx="13">
                        <c:v>0.39847820021975566</c:v>
                      </c:pt>
                      <c:pt idx="14">
                        <c:v>0.55192550960235653</c:v>
                      </c:pt>
                      <c:pt idx="15">
                        <c:v>0.66688285923281887</c:v>
                      </c:pt>
                      <c:pt idx="16">
                        <c:v>0.75774514623257405</c:v>
                      </c:pt>
                      <c:pt idx="17">
                        <c:v>0.83301954707653147</c:v>
                      </c:pt>
                      <c:pt idx="18">
                        <c:v>0.89731912780964207</c:v>
                      </c:pt>
                      <c:pt idx="19">
                        <c:v>0.95355191497818681</c:v>
                      </c:pt>
                      <c:pt idx="20">
                        <c:v>1.0033484972578679</c:v>
                      </c:pt>
                      <c:pt idx="21">
                        <c:v>1.0481931201383252</c:v>
                      </c:pt>
                      <c:pt idx="22">
                        <c:v>1.0888799561080518</c:v>
                      </c:pt>
                      <c:pt idx="23">
                        <c:v>1.1263132726255731</c:v>
                      </c:pt>
                      <c:pt idx="24">
                        <c:v>1.1614578469717509</c:v>
                      </c:pt>
                      <c:pt idx="25">
                        <c:v>1.1941062186198614</c:v>
                      </c:pt>
                      <c:pt idx="26">
                        <c:v>1.2246418168368336</c:v>
                      </c:pt>
                      <c:pt idx="27">
                        <c:v>1.2542120153822804</c:v>
                      </c:pt>
                      <c:pt idx="28">
                        <c:v>1.2823025612186831</c:v>
                      </c:pt>
                      <c:pt idx="29">
                        <c:v>1.3091530330495185</c:v>
                      </c:pt>
                      <c:pt idx="30">
                        <c:v>1.3491997944299987</c:v>
                      </c:pt>
                      <c:pt idx="31">
                        <c:v>1.3873364261933372</c:v>
                      </c:pt>
                      <c:pt idx="32">
                        <c:v>1.430284731089956</c:v>
                      </c:pt>
                      <c:pt idx="33">
                        <c:v>1.4712550292326654</c:v>
                      </c:pt>
                      <c:pt idx="34">
                        <c:v>1.5090532499701683</c:v>
                      </c:pt>
                      <c:pt idx="35">
                        <c:v>1.5440059978494338</c:v>
                      </c:pt>
                      <c:pt idx="36">
                        <c:v>1.5782654872064696</c:v>
                      </c:pt>
                      <c:pt idx="37">
                        <c:v>1.6210484681812656</c:v>
                      </c:pt>
                      <c:pt idx="38">
                        <c:v>1.6600710739846782</c:v>
                      </c:pt>
                      <c:pt idx="39">
                        <c:v>1.7010660547719914</c:v>
                      </c:pt>
                      <c:pt idx="40">
                        <c:v>1.738658495072807</c:v>
                      </c:pt>
                      <c:pt idx="41">
                        <c:v>1.7964681747804265</c:v>
                      </c:pt>
                      <c:pt idx="42">
                        <c:v>1.8605063005098124</c:v>
                      </c:pt>
                      <c:pt idx="43">
                        <c:v>2.0659955122268054</c:v>
                      </c:pt>
                      <c:pt idx="44">
                        <c:v>2.2087508422062174</c:v>
                      </c:pt>
                      <c:pt idx="45">
                        <c:v>2.5001498543617497</c:v>
                      </c:pt>
                      <c:pt idx="46">
                        <c:v>2.6737820531233401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563-46E1-A1FE-D13E7773015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-1.2564902352715703</c:v>
                      </c:pt>
                      <c:pt idx="1">
                        <c:v>-0.95350483566529165</c:v>
                      </c:pt>
                      <c:pt idx="2">
                        <c:v>-0.77520804350731853</c:v>
                      </c:pt>
                      <c:pt idx="3">
                        <c:v>-0.64397414280687726</c:v>
                      </c:pt>
                      <c:pt idx="4">
                        <c:v>-0.4426131179404928</c:v>
                      </c:pt>
                      <c:pt idx="5">
                        <c:v>-0.30521936398793847</c:v>
                      </c:pt>
                      <c:pt idx="6">
                        <c:v>-0.19969542244380148</c:v>
                      </c:pt>
                      <c:pt idx="7">
                        <c:v>-0.1136220932414279</c:v>
                      </c:pt>
                      <c:pt idx="8">
                        <c:v>8.1315622406624034E-3</c:v>
                      </c:pt>
                      <c:pt idx="9">
                        <c:v>0.10387210840305562</c:v>
                      </c:pt>
                      <c:pt idx="10">
                        <c:v>0.18309894010012959</c:v>
                      </c:pt>
                      <c:pt idx="11">
                        <c:v>0.250420002308894</c:v>
                      </c:pt>
                      <c:pt idx="12">
                        <c:v>0.30882043310995982</c:v>
                      </c:pt>
                      <c:pt idx="13">
                        <c:v>0.36331106563662507</c:v>
                      </c:pt>
                      <c:pt idx="14">
                        <c:v>0.52977672775918916</c:v>
                      </c:pt>
                      <c:pt idx="15">
                        <c:v>0.64993816722434572</c:v>
                      </c:pt>
                      <c:pt idx="16">
                        <c:v>0.74423820378745054</c:v>
                      </c:pt>
                      <c:pt idx="17">
                        <c:v>0.82225309857973272</c:v>
                      </c:pt>
                      <c:pt idx="18">
                        <c:v>0.90178514530359921</c:v>
                      </c:pt>
                      <c:pt idx="19">
                        <c:v>0.96937863225765353</c:v>
                      </c:pt>
                      <c:pt idx="20">
                        <c:v>1.0280952198517956</c:v>
                      </c:pt>
                      <c:pt idx="21">
                        <c:v>1.0799622734011203</c:v>
                      </c:pt>
                      <c:pt idx="22">
                        <c:v>1.1263002847678063</c:v>
                      </c:pt>
                      <c:pt idx="23">
                        <c:v>1.1684297117965816</c:v>
                      </c:pt>
                      <c:pt idx="24">
                        <c:v>1.2069013989399444</c:v>
                      </c:pt>
                      <c:pt idx="25">
                        <c:v>1.2423053345269253</c:v>
                      </c:pt>
                      <c:pt idx="26">
                        <c:v>1.2751569624849</c:v>
                      </c:pt>
                      <c:pt idx="27">
                        <c:v>1.3057210073997563</c:v>
                      </c:pt>
                      <c:pt idx="28">
                        <c:v>1.3342888487947249</c:v>
                      </c:pt>
                      <c:pt idx="29">
                        <c:v>1.3617297242503659</c:v>
                      </c:pt>
                      <c:pt idx="30">
                        <c:v>1.3958486304586739</c:v>
                      </c:pt>
                      <c:pt idx="31">
                        <c:v>1.4278040857794203</c:v>
                      </c:pt>
                      <c:pt idx="32">
                        <c:v>1.4577835262166188</c:v>
                      </c:pt>
                      <c:pt idx="33">
                        <c:v>1.4901537977399775</c:v>
                      </c:pt>
                      <c:pt idx="34">
                        <c:v>1.5202856642431348</c:v>
                      </c:pt>
                      <c:pt idx="35">
                        <c:v>1.5485171691467539</c:v>
                      </c:pt>
                      <c:pt idx="36">
                        <c:v>1.5752109450836147</c:v>
                      </c:pt>
                      <c:pt idx="37">
                        <c:v>1.6005176820283258</c:v>
                      </c:pt>
                      <c:pt idx="38">
                        <c:v>1.6247532714510351</c:v>
                      </c:pt>
                      <c:pt idx="39">
                        <c:v>1.6477202976254166</c:v>
                      </c:pt>
                      <c:pt idx="40">
                        <c:v>1.670726280710469</c:v>
                      </c:pt>
                      <c:pt idx="41">
                        <c:v>1.7256029449586245</c:v>
                      </c:pt>
                      <c:pt idx="42">
                        <c:v>1.7749510432078681</c:v>
                      </c:pt>
                      <c:pt idx="43">
                        <c:v>1.820913748746712</c:v>
                      </c:pt>
                      <c:pt idx="44">
                        <c:v>1.8625851231060024</c:v>
                      </c:pt>
                      <c:pt idx="45">
                        <c:v>1.9061496457850424</c:v>
                      </c:pt>
                      <c:pt idx="46">
                        <c:v>1.9457717960419774</c:v>
                      </c:pt>
                      <c:pt idx="47">
                        <c:v>1.9851730991642134</c:v>
                      </c:pt>
                      <c:pt idx="48">
                        <c:v>2.0213600879798692</c:v>
                      </c:pt>
                      <c:pt idx="49">
                        <c:v>2.0549235368666303</c:v>
                      </c:pt>
                      <c:pt idx="50">
                        <c:v>2.0860792285264766</c:v>
                      </c:pt>
                      <c:pt idx="51">
                        <c:v>2.1152975738111208</c:v>
                      </c:pt>
                      <c:pt idx="52">
                        <c:v>2.1454935024125787</c:v>
                      </c:pt>
                      <c:pt idx="53">
                        <c:v>2.1737560153357274</c:v>
                      </c:pt>
                      <c:pt idx="54">
                        <c:v>2.2004808623420731</c:v>
                      </c:pt>
                      <c:pt idx="55">
                        <c:v>2.2256596780239084</c:v>
                      </c:pt>
                      <c:pt idx="56">
                        <c:v>2.2496791182084257</c:v>
                      </c:pt>
                      <c:pt idx="57">
                        <c:v>2.2724413083038111</c:v>
                      </c:pt>
                      <c:pt idx="58">
                        <c:v>2.2972499971910048</c:v>
                      </c:pt>
                      <c:pt idx="59">
                        <c:v>2.3207372723851023</c:v>
                      </c:pt>
                      <c:pt idx="60">
                        <c:v>2.3457666725777093</c:v>
                      </c:pt>
                      <c:pt idx="61">
                        <c:v>2.3694377734382939</c:v>
                      </c:pt>
                      <c:pt idx="62">
                        <c:v>2.391917689384345</c:v>
                      </c:pt>
                      <c:pt idx="63">
                        <c:v>2.413324580199764</c:v>
                      </c:pt>
                      <c:pt idx="64">
                        <c:v>2.4337266422706914</c:v>
                      </c:pt>
                      <c:pt idx="65">
                        <c:v>2.4767405011307795</c:v>
                      </c:pt>
                      <c:pt idx="66">
                        <c:v>2.5160057009197305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63-46E1-A1FE-D13E7773015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63-46E1-A1FE-D13E77730154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3300"/>
              </a:solidFill>
              <a:ln w="9525">
                <a:solidFill>
                  <a:srgbClr val="FF33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6A3-4846-B4E8-F8F43359900F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9999"/>
              </a:solidFill>
              <a:ln w="9525">
                <a:solidFill>
                  <a:srgbClr val="FF9999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6A3-4846-B4E8-F8F43359900F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6A3-4846-B4E8-F8F43359900F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5FDE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5FDEA"/>
              </a:solidFill>
              <a:ln w="9525">
                <a:solidFill>
                  <a:srgbClr val="35FDEA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6A3-4846-B4E8-F8F43359900F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CFFFF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CCFFFF"/>
              </a:solidFill>
              <a:ln w="9525">
                <a:solidFill>
                  <a:srgbClr val="CCFFFF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6A3-4846-B4E8-F8F43359900F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6A3-4846-B4E8-F8F433599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-1.7931741239681502</c:v>
                      </c:pt>
                      <c:pt idx="1">
                        <c:v>-1.485452247339714</c:v>
                      </c:pt>
                      <c:pt idx="2">
                        <c:v>-1.30189945437661</c:v>
                      </c:pt>
                      <c:pt idx="3">
                        <c:v>-1.1732774798310079</c:v>
                      </c:pt>
                      <c:pt idx="4">
                        <c:v>-0.5584619612978392</c:v>
                      </c:pt>
                      <c:pt idx="5">
                        <c:v>-0.31363189652696383</c:v>
                      </c:pt>
                      <c:pt idx="6">
                        <c:v>-0.15088783381542256</c:v>
                      </c:pt>
                      <c:pt idx="7">
                        <c:v>-2.9234840219232266E-2</c:v>
                      </c:pt>
                      <c:pt idx="8">
                        <c:v>0.12499302002589498</c:v>
                      </c:pt>
                      <c:pt idx="9">
                        <c:v>0.23889879222784061</c:v>
                      </c:pt>
                      <c:pt idx="10">
                        <c:v>0.32909264719533093</c:v>
                      </c:pt>
                      <c:pt idx="11">
                        <c:v>0.40623351137432306</c:v>
                      </c:pt>
                      <c:pt idx="12">
                        <c:v>0.47357455003634435</c:v>
                      </c:pt>
                      <c:pt idx="13">
                        <c:v>0.53193851498474565</c:v>
                      </c:pt>
                      <c:pt idx="14">
                        <c:v>1.2888414479513535</c:v>
                      </c:pt>
                      <c:pt idx="15">
                        <c:v>1.5501341437528524</c:v>
                      </c:pt>
                      <c:pt idx="16">
                        <c:v>1.7121469421148741</c:v>
                      </c:pt>
                      <c:pt idx="17">
                        <c:v>1.8301496619034072</c:v>
                      </c:pt>
                      <c:pt idx="18">
                        <c:v>1.9228525626270809</c:v>
                      </c:pt>
                      <c:pt idx="19">
                        <c:v>1.9992749919792612</c:v>
                      </c:pt>
                      <c:pt idx="20">
                        <c:v>2.0644392692337301</c:v>
                      </c:pt>
                      <c:pt idx="21">
                        <c:v>2.1211158030972048</c:v>
                      </c:pt>
                      <c:pt idx="22">
                        <c:v>2.1712816956153222</c:v>
                      </c:pt>
                      <c:pt idx="23">
                        <c:v>2.2163213756389841</c:v>
                      </c:pt>
                      <c:pt idx="24">
                        <c:v>2.2571900188085952</c:v>
                      </c:pt>
                      <c:pt idx="25">
                        <c:v>2.2945632151135027</c:v>
                      </c:pt>
                      <c:pt idx="26">
                        <c:v>2.3289873941106505</c:v>
                      </c:pt>
                      <c:pt idx="27">
                        <c:v>2.3610796873548217</c:v>
                      </c:pt>
                      <c:pt idx="28">
                        <c:v>2.3914862758911521</c:v>
                      </c:pt>
                      <c:pt idx="29">
                        <c:v>2.420314099966252</c:v>
                      </c:pt>
                      <c:pt idx="30">
                        <c:v>2.4872580375348297</c:v>
                      </c:pt>
                      <c:pt idx="31">
                        <c:v>2.5454200678338905</c:v>
                      </c:pt>
                      <c:pt idx="32">
                        <c:v>2.5993673959811967</c:v>
                      </c:pt>
                      <c:pt idx="33">
                        <c:v>2.6474724607701092</c:v>
                      </c:pt>
                      <c:pt idx="34">
                        <c:v>2.6907939311444871</c:v>
                      </c:pt>
                      <c:pt idx="35">
                        <c:v>2.799569079871326</c:v>
                      </c:pt>
                      <c:pt idx="36">
                        <c:v>2.8865249597647487</c:v>
                      </c:pt>
                      <c:pt idx="37">
                        <c:v>2.959042251364274</c:v>
                      </c:pt>
                      <c:pt idx="38">
                        <c:v>3.0252653428797482</c:v>
                      </c:pt>
                      <c:pt idx="39">
                        <c:v>3.083199331973832</c:v>
                      </c:pt>
                      <c:pt idx="40">
                        <c:v>3.1344913312464362</c:v>
                      </c:pt>
                      <c:pt idx="41">
                        <c:v>3.1993032375382953</c:v>
                      </c:pt>
                      <c:pt idx="42">
                        <c:v>3.2619671157837242</c:v>
                      </c:pt>
                      <c:pt idx="43">
                        <c:v>3.316943521573116</c:v>
                      </c:pt>
                      <c:pt idx="44">
                        <c:v>3.3657401020100202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A6A3-4846-B4E8-F8F43359900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-1.329754146925876</c:v>
                      </c:pt>
                      <c:pt idx="3">
                        <c:v>-1.1944991418415998</c:v>
                      </c:pt>
                      <c:pt idx="4">
                        <c:v>-0.55595520408192367</c:v>
                      </c:pt>
                      <c:pt idx="5">
                        <c:v>-0.30662484897481468</c:v>
                      </c:pt>
                      <c:pt idx="6">
                        <c:v>-0.128660618900139</c:v>
                      </c:pt>
                      <c:pt idx="7">
                        <c:v>-2.4825605852751751E-3</c:v>
                      </c:pt>
                      <c:pt idx="8">
                        <c:v>0.1448543072529298</c:v>
                      </c:pt>
                      <c:pt idx="9">
                        <c:v>0.2553931257073041</c:v>
                      </c:pt>
                      <c:pt idx="10">
                        <c:v>0.34376297528570227</c:v>
                      </c:pt>
                      <c:pt idx="11">
                        <c:v>0.41845045082958349</c:v>
                      </c:pt>
                      <c:pt idx="12">
                        <c:v>0.48461298801499836</c:v>
                      </c:pt>
                      <c:pt idx="13">
                        <c:v>0.54240212582241687</c:v>
                      </c:pt>
                      <c:pt idx="14">
                        <c:v>1.3442212734184802</c:v>
                      </c:pt>
                      <c:pt idx="15">
                        <c:v>1.6099176089041844</c:v>
                      </c:pt>
                      <c:pt idx="16">
                        <c:v>1.7735963081379476</c:v>
                      </c:pt>
                      <c:pt idx="17">
                        <c:v>1.8922543713967657</c:v>
                      </c:pt>
                      <c:pt idx="18">
                        <c:v>1.9853936874295302</c:v>
                      </c:pt>
                      <c:pt idx="19">
                        <c:v>2.0623604563534044</c:v>
                      </c:pt>
                      <c:pt idx="20">
                        <c:v>2.1277641659012656</c:v>
                      </c:pt>
                      <c:pt idx="21">
                        <c:v>2.1846397665710326</c:v>
                      </c:pt>
                      <c:pt idx="22">
                        <c:v>2.2350638568965606</c:v>
                      </c:pt>
                      <c:pt idx="23">
                        <c:v>2.2802698388807539</c:v>
                      </c:pt>
                      <c:pt idx="24">
                        <c:v>2.32122051065235</c:v>
                      </c:pt>
                      <c:pt idx="25">
                        <c:v>2.3586730912444205</c:v>
                      </c:pt>
                      <c:pt idx="26">
                        <c:v>2.3932878597206964</c:v>
                      </c:pt>
                      <c:pt idx="27">
                        <c:v>2.4254049236540847</c:v>
                      </c:pt>
                      <c:pt idx="28">
                        <c:v>2.455521070765633</c:v>
                      </c:pt>
                      <c:pt idx="29">
                        <c:v>2.4841624096784747</c:v>
                      </c:pt>
                      <c:pt idx="30">
                        <c:v>2.5150356945093058</c:v>
                      </c:pt>
                      <c:pt idx="31">
                        <c:v>2.5447484847719126</c:v>
                      </c:pt>
                      <c:pt idx="32">
                        <c:v>2.5981118428941388</c:v>
                      </c:pt>
                      <c:pt idx="33">
                        <c:v>2.6456482991179082</c:v>
                      </c:pt>
                      <c:pt idx="34">
                        <c:v>2.6931830370539829</c:v>
                      </c:pt>
                      <c:pt idx="35">
                        <c:v>2.7363906053941021</c:v>
                      </c:pt>
                      <c:pt idx="36">
                        <c:v>2.7760939820530486</c:v>
                      </c:pt>
                      <c:pt idx="37">
                        <c:v>2.8126076393786037</c:v>
                      </c:pt>
                      <c:pt idx="38">
                        <c:v>2.8464726997235461</c:v>
                      </c:pt>
                      <c:pt idx="39">
                        <c:v>2.8933744405462338</c:v>
                      </c:pt>
                      <c:pt idx="40">
                        <c:v>2.9359716923543382</c:v>
                      </c:pt>
                      <c:pt idx="41">
                        <c:v>2.9747852627394837</c:v>
                      </c:pt>
                      <c:pt idx="42">
                        <c:v>3.0105532070969825</c:v>
                      </c:pt>
                      <c:pt idx="43">
                        <c:v>3.0436417872371138</c:v>
                      </c:pt>
                      <c:pt idx="44">
                        <c:v>3.0744091534835714</c:v>
                      </c:pt>
                      <c:pt idx="45">
                        <c:v>3.1032842061684334</c:v>
                      </c:pt>
                      <c:pt idx="46">
                        <c:v>3.1306153252215001</c:v>
                      </c:pt>
                      <c:pt idx="47">
                        <c:v>3.158426244258469</c:v>
                      </c:pt>
                      <c:pt idx="48">
                        <c:v>3.1851977556769415</c:v>
                      </c:pt>
                      <c:pt idx="49">
                        <c:v>3.2204800353707919</c:v>
                      </c:pt>
                      <c:pt idx="50">
                        <c:v>3.2538497688665102</c:v>
                      </c:pt>
                      <c:pt idx="51">
                        <c:v>3.2878231754890574</c:v>
                      </c:pt>
                      <c:pt idx="52">
                        <c:v>3.3196376352384576</c:v>
                      </c:pt>
                      <c:pt idx="53">
                        <c:v>3.3493012915672731</c:v>
                      </c:pt>
                      <c:pt idx="54">
                        <c:v>3.3772616352200768</c:v>
                      </c:pt>
                      <c:pt idx="55">
                        <c:v>3.4036502603877095</c:v>
                      </c:pt>
                      <c:pt idx="56">
                        <c:v>3.4397458823904055</c:v>
                      </c:pt>
                      <c:pt idx="57">
                        <c:v>3.4733371381719653</c:v>
                      </c:pt>
                      <c:pt idx="58">
                        <c:v>3.5049712293604816</c:v>
                      </c:pt>
                      <c:pt idx="59">
                        <c:v>3.5344626446091976</c:v>
                      </c:pt>
                      <c:pt idx="60">
                        <c:v>3.5621222067423255</c:v>
                      </c:pt>
                      <c:pt idx="61">
                        <c:v>3.5885945562071364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6A3-4846-B4E8-F8F43359900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-1.8068754016455384</c:v>
                      </c:pt>
                      <c:pt idx="1">
                        <c:v>-1.5058454059815571</c:v>
                      </c:pt>
                      <c:pt idx="2">
                        <c:v>-1.3151546383555874</c:v>
                      </c:pt>
                      <c:pt idx="3">
                        <c:v>-1.1830961606243398</c:v>
                      </c:pt>
                      <c:pt idx="4">
                        <c:v>-0.54852059487513816</c:v>
                      </c:pt>
                      <c:pt idx="5">
                        <c:v>-0.29972906264356303</c:v>
                      </c:pt>
                      <c:pt idx="6">
                        <c:v>-0.12401322857151198</c:v>
                      </c:pt>
                      <c:pt idx="7">
                        <c:v>2.0796263931208716E-3</c:v>
                      </c:pt>
                      <c:pt idx="8">
                        <c:v>0.14952701375434785</c:v>
                      </c:pt>
                      <c:pt idx="9">
                        <c:v>0.2594266265870519</c:v>
                      </c:pt>
                      <c:pt idx="10">
                        <c:v>0.34734953373145683</c:v>
                      </c:pt>
                      <c:pt idx="11">
                        <c:v>0.42479999465659907</c:v>
                      </c:pt>
                      <c:pt idx="12">
                        <c:v>0.49355563429677934</c:v>
                      </c:pt>
                      <c:pt idx="13">
                        <c:v>0.56674380630400301</c:v>
                      </c:pt>
                      <c:pt idx="14">
                        <c:v>0.8800128383667718</c:v>
                      </c:pt>
                      <c:pt idx="15">
                        <c:v>1.0605807538852567</c:v>
                      </c:pt>
                      <c:pt idx="16">
                        <c:v>1.1879181721734953</c:v>
                      </c:pt>
                      <c:pt idx="17">
                        <c:v>1.2869277849592553</c:v>
                      </c:pt>
                      <c:pt idx="18">
                        <c:v>1.386445455747283</c:v>
                      </c:pt>
                      <c:pt idx="19">
                        <c:v>1.4674704708743691</c:v>
                      </c:pt>
                      <c:pt idx="20">
                        <c:v>1.5358091435633625</c:v>
                      </c:pt>
                      <c:pt idx="21">
                        <c:v>1.5949977096653651</c:v>
                      </c:pt>
                      <c:pt idx="22">
                        <c:v>1.6471696830712741</c:v>
                      </c:pt>
                      <c:pt idx="23">
                        <c:v>1.693755080448589</c:v>
                      </c:pt>
                      <c:pt idx="24">
                        <c:v>1.7360114431201523</c:v>
                      </c:pt>
                      <c:pt idx="25">
                        <c:v>1.7746891895548702</c:v>
                      </c:pt>
                      <c:pt idx="26">
                        <c:v>1.8102123490523696</c:v>
                      </c:pt>
                      <c:pt idx="27">
                        <c:v>1.8431168676908625</c:v>
                      </c:pt>
                      <c:pt idx="28">
                        <c:v>1.8739480439884457</c:v>
                      </c:pt>
                      <c:pt idx="29">
                        <c:v>1.903549010740504</c:v>
                      </c:pt>
                      <c:pt idx="30">
                        <c:v>1.9383020230407795</c:v>
                      </c:pt>
                      <c:pt idx="31">
                        <c:v>1.9705876708570533</c:v>
                      </c:pt>
                      <c:pt idx="32">
                        <c:v>2.0009704317323567</c:v>
                      </c:pt>
                      <c:pt idx="33">
                        <c:v>2.0293659184795003</c:v>
                      </c:pt>
                      <c:pt idx="34">
                        <c:v>2.0561491313374805</c:v>
                      </c:pt>
                      <c:pt idx="35">
                        <c:v>2.0815561222719277</c:v>
                      </c:pt>
                      <c:pt idx="36">
                        <c:v>2.1055588911452459</c:v>
                      </c:pt>
                      <c:pt idx="37">
                        <c:v>2.1286825663726527</c:v>
                      </c:pt>
                      <c:pt idx="38">
                        <c:v>2.1506612836489016</c:v>
                      </c:pt>
                      <c:pt idx="39">
                        <c:v>2.1716860930987369</c:v>
                      </c:pt>
                      <c:pt idx="40">
                        <c:v>2.19191021828036</c:v>
                      </c:pt>
                      <c:pt idx="41">
                        <c:v>2.2125423553352097</c:v>
                      </c:pt>
                      <c:pt idx="42">
                        <c:v>2.2323098403279875</c:v>
                      </c:pt>
                      <c:pt idx="43">
                        <c:v>2.2532706262904494</c:v>
                      </c:pt>
                      <c:pt idx="44">
                        <c:v>2.2736745433319077</c:v>
                      </c:pt>
                      <c:pt idx="45">
                        <c:v>2.2940325970855842</c:v>
                      </c:pt>
                      <c:pt idx="46">
                        <c:v>2.3137097073533042</c:v>
                      </c:pt>
                      <c:pt idx="47">
                        <c:v>2.3325967970362718</c:v>
                      </c:pt>
                      <c:pt idx="48">
                        <c:v>2.350790547426457</c:v>
                      </c:pt>
                      <c:pt idx="49">
                        <c:v>2.3683339386716074</c:v>
                      </c:pt>
                      <c:pt idx="50">
                        <c:v>2.3866555330357104</c:v>
                      </c:pt>
                      <c:pt idx="51">
                        <c:v>2.4043290263506694</c:v>
                      </c:pt>
                      <c:pt idx="52">
                        <c:v>2.4214194770570843</c:v>
                      </c:pt>
                      <c:pt idx="53">
                        <c:v>2.4378873281951035</c:v>
                      </c:pt>
                      <c:pt idx="54">
                        <c:v>2.4539612009488234</c:v>
                      </c:pt>
                      <c:pt idx="55">
                        <c:v>2.4695441258409914</c:v>
                      </c:pt>
                      <c:pt idx="56">
                        <c:v>2.4861563546671661</c:v>
                      </c:pt>
                      <c:pt idx="57">
                        <c:v>2.5022974951500396</c:v>
                      </c:pt>
                      <c:pt idx="58">
                        <c:v>2.5202895962832121</c:v>
                      </c:pt>
                      <c:pt idx="59">
                        <c:v>2.5376307340735234</c:v>
                      </c:pt>
                      <c:pt idx="60">
                        <c:v>2.5543458252313576</c:v>
                      </c:pt>
                      <c:pt idx="61">
                        <c:v>2.5705306813969044</c:v>
                      </c:pt>
                      <c:pt idx="62">
                        <c:v>2.5861955879653942</c:v>
                      </c:pt>
                      <c:pt idx="63">
                        <c:v>2.6062861108754229</c:v>
                      </c:pt>
                      <c:pt idx="64">
                        <c:v>2.6255075309180089</c:v>
                      </c:pt>
                      <c:pt idx="65">
                        <c:v>2.6487172542101569</c:v>
                      </c:pt>
                      <c:pt idx="66">
                        <c:v>2.6708317552296621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A3-4846-B4E8-F8F43359900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-1.0127807700919951</c:v>
                      </c:pt>
                      <c:pt idx="2">
                        <c:v>-0.83505262737815833</c:v>
                      </c:pt>
                      <c:pt idx="3">
                        <c:v>-0.70730099695607029</c:v>
                      </c:pt>
                      <c:pt idx="4">
                        <c:v>-0.40362285600240089</c:v>
                      </c:pt>
                      <c:pt idx="5">
                        <c:v>-0.22460802830338808</c:v>
                      </c:pt>
                      <c:pt idx="6">
                        <c:v>-9.3072652691044186E-2</c:v>
                      </c:pt>
                      <c:pt idx="7">
                        <c:v>1.0087846998524407E-2</c:v>
                      </c:pt>
                      <c:pt idx="8">
                        <c:v>0.13583204971268042</c:v>
                      </c:pt>
                      <c:pt idx="9">
                        <c:v>0.23441603756703558</c:v>
                      </c:pt>
                      <c:pt idx="10">
                        <c:v>0.31470969295517376</c:v>
                      </c:pt>
                      <c:pt idx="11">
                        <c:v>0.38498029565130432</c:v>
                      </c:pt>
                      <c:pt idx="12">
                        <c:v>0.4458065155795779</c:v>
                      </c:pt>
                      <c:pt idx="13">
                        <c:v>0.50122363280518123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6A3-4846-B4E8-F8F43359900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 w="9525"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-1.3142582613977363</c:v>
                      </c:pt>
                      <c:pt idx="1">
                        <c:v>-1.0065637695023884</c:v>
                      </c:pt>
                      <c:pt idx="2">
                        <c:v>-0.82564940252062002</c:v>
                      </c:pt>
                      <c:pt idx="3">
                        <c:v>-0.69745262751251447</c:v>
                      </c:pt>
                      <c:pt idx="4">
                        <c:v>-0.49147028102871343</c:v>
                      </c:pt>
                      <c:pt idx="5">
                        <c:v>-0.35076252765039273</c:v>
                      </c:pt>
                      <c:pt idx="6">
                        <c:v>-0.24366823267894244</c:v>
                      </c:pt>
                      <c:pt idx="7">
                        <c:v>-0.14831368455757249</c:v>
                      </c:pt>
                      <c:pt idx="8">
                        <c:v>-2.8167720075074829E-2</c:v>
                      </c:pt>
                      <c:pt idx="9">
                        <c:v>6.5915668188591903E-2</c:v>
                      </c:pt>
                      <c:pt idx="10">
                        <c:v>0.14320222504959695</c:v>
                      </c:pt>
                      <c:pt idx="11">
                        <c:v>0.21061276635289769</c:v>
                      </c:pt>
                      <c:pt idx="12">
                        <c:v>0.26911582689511943</c:v>
                      </c:pt>
                      <c:pt idx="13">
                        <c:v>0.32333461859904977</c:v>
                      </c:pt>
                      <c:pt idx="14">
                        <c:v>1.660579014697648</c:v>
                      </c:pt>
                      <c:pt idx="15">
                        <c:v>1.9597790660951269</c:v>
                      </c:pt>
                      <c:pt idx="16">
                        <c:v>2.2836525936260212</c:v>
                      </c:pt>
                      <c:pt idx="17">
                        <c:v>2.4677206968141667</c:v>
                      </c:pt>
                      <c:pt idx="18">
                        <c:v>2.652433849961799</c:v>
                      </c:pt>
                      <c:pt idx="19">
                        <c:v>2.7822706947941604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6A3-4846-B4E8-F8F43359900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4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-1.3151546383555874</c:v>
                      </c:pt>
                      <c:pt idx="1">
                        <c:v>-1.0114410431213845</c:v>
                      </c:pt>
                      <c:pt idx="2">
                        <c:v>-0.83268266525182388</c:v>
                      </c:pt>
                      <c:pt idx="3">
                        <c:v>-0.70465285166638214</c:v>
                      </c:pt>
                      <c:pt idx="4">
                        <c:v>-0.49471432585586766</c:v>
                      </c:pt>
                      <c:pt idx="5">
                        <c:v>-0.35340024827962668</c:v>
                      </c:pt>
                      <c:pt idx="6">
                        <c:v>-0.23515164280658923</c:v>
                      </c:pt>
                      <c:pt idx="7">
                        <c:v>-0.13870460647330418</c:v>
                      </c:pt>
                      <c:pt idx="8">
                        <c:v>-1.9088062223156503E-2</c:v>
                      </c:pt>
                      <c:pt idx="9">
                        <c:v>7.4706756471866989E-2</c:v>
                      </c:pt>
                      <c:pt idx="10">
                        <c:v>0.15201300005083451</c:v>
                      </c:pt>
                      <c:pt idx="11">
                        <c:v>0.21921765702290677</c:v>
                      </c:pt>
                      <c:pt idx="12">
                        <c:v>0.27955288115038596</c:v>
                      </c:pt>
                      <c:pt idx="13">
                        <c:v>0.33707971180093133</c:v>
                      </c:pt>
                      <c:pt idx="14">
                        <c:v>0.76012078526456761</c:v>
                      </c:pt>
                      <c:pt idx="15">
                        <c:v>0.97075586896619237</c:v>
                      </c:pt>
                      <c:pt idx="16">
                        <c:v>1.1134085068181756</c:v>
                      </c:pt>
                      <c:pt idx="17">
                        <c:v>1.2216072147314962</c:v>
                      </c:pt>
                      <c:pt idx="18">
                        <c:v>1.3266962577131116</c:v>
                      </c:pt>
                      <c:pt idx="19">
                        <c:v>1.4116903993109817</c:v>
                      </c:pt>
                      <c:pt idx="20">
                        <c:v>1.4829335806756305</c:v>
                      </c:pt>
                      <c:pt idx="21">
                        <c:v>1.5441524133683204</c:v>
                      </c:pt>
                      <c:pt idx="22">
                        <c:v>1.5979385858247985</c:v>
                      </c:pt>
                      <c:pt idx="23">
                        <c:v>1.6459240709206777</c:v>
                      </c:pt>
                      <c:pt idx="24">
                        <c:v>1.6892306968462159</c:v>
                      </c:pt>
                      <c:pt idx="25">
                        <c:v>1.7286215820148179</c:v>
                      </c:pt>
                      <c:pt idx="26">
                        <c:v>1.7649558166686317</c:v>
                      </c:pt>
                      <c:pt idx="27">
                        <c:v>1.7985083889802644</c:v>
                      </c:pt>
                      <c:pt idx="28">
                        <c:v>1.8298503181296704</c:v>
                      </c:pt>
                      <c:pt idx="29">
                        <c:v>1.8615391898641813</c:v>
                      </c:pt>
                      <c:pt idx="30">
                        <c:v>1.8979156088543963</c:v>
                      </c:pt>
                      <c:pt idx="31">
                        <c:v>1.9314878736039425</c:v>
                      </c:pt>
                      <c:pt idx="32">
                        <c:v>1.9626874807170815</c:v>
                      </c:pt>
                      <c:pt idx="33">
                        <c:v>1.9919261433670563</c:v>
                      </c:pt>
                      <c:pt idx="34">
                        <c:v>2.0195470464926664</c:v>
                      </c:pt>
                      <c:pt idx="35">
                        <c:v>2.0455858234577726</c:v>
                      </c:pt>
                      <c:pt idx="36">
                        <c:v>2.0704087989297228</c:v>
                      </c:pt>
                      <c:pt idx="37">
                        <c:v>2.093949872208078</c:v>
                      </c:pt>
                      <c:pt idx="38">
                        <c:v>2.116775718386612</c:v>
                      </c:pt>
                      <c:pt idx="39">
                        <c:v>2.1386518884358399</c:v>
                      </c:pt>
                      <c:pt idx="40">
                        <c:v>2.1596465860755085</c:v>
                      </c:pt>
                      <c:pt idx="41">
                        <c:v>2.1808504331981058</c:v>
                      </c:pt>
                      <c:pt idx="42">
                        <c:v>2.2011755503074162</c:v>
                      </c:pt>
                      <c:pt idx="43">
                        <c:v>2.2221332929851161</c:v>
                      </c:pt>
                      <c:pt idx="44">
                        <c:v>2.2422884302600079</c:v>
                      </c:pt>
                      <c:pt idx="45">
                        <c:v>2.2624620062851224</c:v>
                      </c:pt>
                      <c:pt idx="46">
                        <c:v>2.2818257429910775</c:v>
                      </c:pt>
                      <c:pt idx="47">
                        <c:v>2.3003700182784677</c:v>
                      </c:pt>
                      <c:pt idx="48">
                        <c:v>2.3182781323270616</c:v>
                      </c:pt>
                      <c:pt idx="49">
                        <c:v>2.3355844595303568</c:v>
                      </c:pt>
                      <c:pt idx="50">
                        <c:v>2.3540924891014146</c:v>
                      </c:pt>
                      <c:pt idx="51">
                        <c:v>2.3718902098599384</c:v>
                      </c:pt>
                      <c:pt idx="52">
                        <c:v>2.3890285064457539</c:v>
                      </c:pt>
                      <c:pt idx="53">
                        <c:v>2.405631981792669</c:v>
                      </c:pt>
                      <c:pt idx="54">
                        <c:v>2.421656236463841</c:v>
                      </c:pt>
                      <c:pt idx="55">
                        <c:v>2.437204339831764</c:v>
                      </c:pt>
                      <c:pt idx="56">
                        <c:v>2.4542872337776052</c:v>
                      </c:pt>
                      <c:pt idx="57">
                        <c:v>2.4707440962164346</c:v>
                      </c:pt>
                      <c:pt idx="58">
                        <c:v>2.4885470503627203</c:v>
                      </c:pt>
                      <c:pt idx="59">
                        <c:v>2.5057219202434475</c:v>
                      </c:pt>
                      <c:pt idx="60">
                        <c:v>2.5223554092456988</c:v>
                      </c:pt>
                      <c:pt idx="61">
                        <c:v>2.5384340987545344</c:v>
                      </c:pt>
                      <c:pt idx="62">
                        <c:v>2.5540255440438306</c:v>
                      </c:pt>
                      <c:pt idx="63">
                        <c:v>2.5868142935973006</c:v>
                      </c:pt>
                      <c:pt idx="64">
                        <c:v>2.6175394127536284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6A3-4846-B4E8-F8F43359900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-1.853871964321762</c:v>
                      </c:pt>
                      <c:pt idx="1">
                        <c:v>-1.5287082889410615</c:v>
                      </c:pt>
                      <c:pt idx="2">
                        <c:v>-1.3448615651886178</c:v>
                      </c:pt>
                      <c:pt idx="3">
                        <c:v>-1.2160964207272651</c:v>
                      </c:pt>
                      <c:pt idx="4">
                        <c:v>-0.79805693659834975</c:v>
                      </c:pt>
                      <c:pt idx="5">
                        <c:v>-0.57609908147158329</c:v>
                      </c:pt>
                      <c:pt idx="6">
                        <c:v>-0.42805836492553762</c:v>
                      </c:pt>
                      <c:pt idx="7">
                        <c:v>-0.31596296251348022</c:v>
                      </c:pt>
                      <c:pt idx="8">
                        <c:v>-0.16551571466519474</c:v>
                      </c:pt>
                      <c:pt idx="9">
                        <c:v>-5.3253064966414985E-2</c:v>
                      </c:pt>
                      <c:pt idx="10">
                        <c:v>3.7784941753637502E-2</c:v>
                      </c:pt>
                      <c:pt idx="11">
                        <c:v>0.11404356254807743</c:v>
                      </c:pt>
                      <c:pt idx="12">
                        <c:v>0.1811286997472952</c:v>
                      </c:pt>
                      <c:pt idx="13">
                        <c:v>0.24350931262677519</c:v>
                      </c:pt>
                      <c:pt idx="14">
                        <c:v>0.33059638216484721</c:v>
                      </c:pt>
                      <c:pt idx="15">
                        <c:v>0.40337793172285979</c:v>
                      </c:pt>
                      <c:pt idx="16">
                        <c:v>0.4668676203541095</c:v>
                      </c:pt>
                      <c:pt idx="17">
                        <c:v>0.52326509546888855</c:v>
                      </c:pt>
                      <c:pt idx="18">
                        <c:v>0.57425125453992898</c:v>
                      </c:pt>
                      <c:pt idx="19">
                        <c:v>0.61988602935838721</c:v>
                      </c:pt>
                      <c:pt idx="20">
                        <c:v>0.66131092286161475</c:v>
                      </c:pt>
                      <c:pt idx="21">
                        <c:v>0.69967299213020784</c:v>
                      </c:pt>
                      <c:pt idx="22">
                        <c:v>0.7349277796470467</c:v>
                      </c:pt>
                      <c:pt idx="23">
                        <c:v>0.76810507917918758</c:v>
                      </c:pt>
                      <c:pt idx="24">
                        <c:v>0.79936122965081435</c:v>
                      </c:pt>
                      <c:pt idx="25">
                        <c:v>0.82871788450856987</c:v>
                      </c:pt>
                      <c:pt idx="26">
                        <c:v>0.85678324929424743</c:v>
                      </c:pt>
                      <c:pt idx="27">
                        <c:v>0.88323544739812643</c:v>
                      </c:pt>
                      <c:pt idx="28">
                        <c:v>0.90832950288986436</c:v>
                      </c:pt>
                      <c:pt idx="29">
                        <c:v>0.93213878229812031</c:v>
                      </c:pt>
                      <c:pt idx="30">
                        <c:v>0.96747309140414017</c:v>
                      </c:pt>
                      <c:pt idx="31">
                        <c:v>1.000351636136924</c:v>
                      </c:pt>
                      <c:pt idx="32">
                        <c:v>1.0323044080601236</c:v>
                      </c:pt>
                      <c:pt idx="33">
                        <c:v>1.0627135686805871</c:v>
                      </c:pt>
                      <c:pt idx="34">
                        <c:v>1.091241245918968</c:v>
                      </c:pt>
                      <c:pt idx="35">
                        <c:v>1.1191964832343131</c:v>
                      </c:pt>
                      <c:pt idx="36">
                        <c:v>1.1456531543155519</c:v>
                      </c:pt>
                      <c:pt idx="37">
                        <c:v>1.1710034903685986</c:v>
                      </c:pt>
                      <c:pt idx="38">
                        <c:v>1.1949997033720086</c:v>
                      </c:pt>
                      <c:pt idx="39">
                        <c:v>1.2198280609760699</c:v>
                      </c:pt>
                      <c:pt idx="40">
                        <c:v>1.245594090396378</c:v>
                      </c:pt>
                      <c:pt idx="41">
                        <c:v>1.2926060248540643</c:v>
                      </c:pt>
                      <c:pt idx="42">
                        <c:v>1.3423950430212366</c:v>
                      </c:pt>
                      <c:pt idx="43">
                        <c:v>1.4570882440899415</c:v>
                      </c:pt>
                      <c:pt idx="44">
                        <c:v>1.5479616701270538</c:v>
                      </c:pt>
                      <c:pt idx="45">
                        <c:v>1.633515922382377</c:v>
                      </c:pt>
                      <c:pt idx="46">
                        <c:v>1.7050139554682213</c:v>
                      </c:pt>
                      <c:pt idx="47">
                        <c:v>1.771206663304618</c:v>
                      </c:pt>
                      <c:pt idx="48">
                        <c:v>1.8289555542822626</c:v>
                      </c:pt>
                      <c:pt idx="49">
                        <c:v>1.8801599445884523</c:v>
                      </c:pt>
                      <c:pt idx="50">
                        <c:v>1.9259604700383806</c:v>
                      </c:pt>
                      <c:pt idx="51">
                        <c:v>1.967597580298728</c:v>
                      </c:pt>
                      <c:pt idx="52">
                        <c:v>2.0094517456892165</c:v>
                      </c:pt>
                      <c:pt idx="53">
                        <c:v>2.0476649729063858</c:v>
                      </c:pt>
                      <c:pt idx="54">
                        <c:v>2.0830347488405652</c:v>
                      </c:pt>
                      <c:pt idx="55">
                        <c:v>2.1157442737409129</c:v>
                      </c:pt>
                      <c:pt idx="56">
                        <c:v>2.1464418551369264</c:v>
                      </c:pt>
                      <c:pt idx="57">
                        <c:v>2.1751144464221452</c:v>
                      </c:pt>
                      <c:pt idx="58">
                        <c:v>2.2059385778984475</c:v>
                      </c:pt>
                      <c:pt idx="59">
                        <c:v>2.2347429770017775</c:v>
                      </c:pt>
                      <c:pt idx="60">
                        <c:v>2.2650658193088997</c:v>
                      </c:pt>
                      <c:pt idx="61">
                        <c:v>2.2934160370490488</c:v>
                      </c:pt>
                      <c:pt idx="62">
                        <c:v>2.3200669006301085</c:v>
                      </c:pt>
                      <c:pt idx="63">
                        <c:v>2.3452156695862443</c:v>
                      </c:pt>
                      <c:pt idx="64">
                        <c:v>2.3689886285545718</c:v>
                      </c:pt>
                      <c:pt idx="65">
                        <c:v>2.4100247041840777</c:v>
                      </c:pt>
                      <c:pt idx="66">
                        <c:v>2.4476537746316533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6A3-4846-B4E8-F8F43359900F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-1.7931741239681502</c:v>
                </c:pt>
                <c:pt idx="1">
                  <c:v>-1.485452247339714</c:v>
                </c:pt>
                <c:pt idx="2">
                  <c:v>-1.30189945437661</c:v>
                </c:pt>
                <c:pt idx="3">
                  <c:v>-1.1732774798310079</c:v>
                </c:pt>
                <c:pt idx="4">
                  <c:v>-0.5584619612978392</c:v>
                </c:pt>
                <c:pt idx="5">
                  <c:v>-0.31363189652696383</c:v>
                </c:pt>
                <c:pt idx="6">
                  <c:v>-0.15088783381542256</c:v>
                </c:pt>
                <c:pt idx="7">
                  <c:v>-2.9234840219232266E-2</c:v>
                </c:pt>
                <c:pt idx="8">
                  <c:v>0.12499302002589498</c:v>
                </c:pt>
                <c:pt idx="9">
                  <c:v>0.23889879222784061</c:v>
                </c:pt>
                <c:pt idx="10">
                  <c:v>0.32909264719533093</c:v>
                </c:pt>
                <c:pt idx="11">
                  <c:v>0.40623351137432306</c:v>
                </c:pt>
                <c:pt idx="12">
                  <c:v>0.47357455003634435</c:v>
                </c:pt>
                <c:pt idx="13">
                  <c:v>0.53193851498474565</c:v>
                </c:pt>
                <c:pt idx="14">
                  <c:v>1.2888414479513535</c:v>
                </c:pt>
                <c:pt idx="15">
                  <c:v>1.5501341437528524</c:v>
                </c:pt>
                <c:pt idx="16">
                  <c:v>1.7121469421148741</c:v>
                </c:pt>
                <c:pt idx="17">
                  <c:v>1.8301496619034072</c:v>
                </c:pt>
                <c:pt idx="18">
                  <c:v>1.9228525626270809</c:v>
                </c:pt>
                <c:pt idx="19">
                  <c:v>1.9992749919792612</c:v>
                </c:pt>
                <c:pt idx="20">
                  <c:v>2.0644392692337301</c:v>
                </c:pt>
                <c:pt idx="21">
                  <c:v>2.1211158030972048</c:v>
                </c:pt>
                <c:pt idx="22">
                  <c:v>2.1712816956153222</c:v>
                </c:pt>
                <c:pt idx="23">
                  <c:v>2.2163213756389841</c:v>
                </c:pt>
                <c:pt idx="24">
                  <c:v>2.2571900188085952</c:v>
                </c:pt>
                <c:pt idx="25">
                  <c:v>2.2945632151135027</c:v>
                </c:pt>
                <c:pt idx="26">
                  <c:v>2.3289873941106505</c:v>
                </c:pt>
                <c:pt idx="27">
                  <c:v>2.3610796873548217</c:v>
                </c:pt>
                <c:pt idx="28">
                  <c:v>2.3914862758911521</c:v>
                </c:pt>
                <c:pt idx="29">
                  <c:v>2.420314099966252</c:v>
                </c:pt>
                <c:pt idx="30">
                  <c:v>2.4872580375348297</c:v>
                </c:pt>
                <c:pt idx="31">
                  <c:v>2.5454200678338905</c:v>
                </c:pt>
                <c:pt idx="32">
                  <c:v>2.5993673959811967</c:v>
                </c:pt>
                <c:pt idx="33">
                  <c:v>2.6474724607701092</c:v>
                </c:pt>
                <c:pt idx="34">
                  <c:v>2.6907939311444871</c:v>
                </c:pt>
                <c:pt idx="35">
                  <c:v>2.799569079871326</c:v>
                </c:pt>
                <c:pt idx="36">
                  <c:v>2.8865249597647487</c:v>
                </c:pt>
                <c:pt idx="37">
                  <c:v>2.959042251364274</c:v>
                </c:pt>
                <c:pt idx="38">
                  <c:v>3.0252653428797482</c:v>
                </c:pt>
                <c:pt idx="39">
                  <c:v>3.083199331973832</c:v>
                </c:pt>
                <c:pt idx="40">
                  <c:v>3.1344913312464362</c:v>
                </c:pt>
                <c:pt idx="41">
                  <c:v>3.1993032375382953</c:v>
                </c:pt>
                <c:pt idx="42">
                  <c:v>3.2619671157837242</c:v>
                </c:pt>
                <c:pt idx="43">
                  <c:v>3.316943521573116</c:v>
                </c:pt>
                <c:pt idx="44">
                  <c:v>3.3657401020100202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43C-4C35-9502-47D71C8A9041}"/>
            </c:ext>
          </c:extLst>
        </c:ser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-1.1944991418415998</c:v>
                </c:pt>
                <c:pt idx="4">
                  <c:v>-0.55595520408192367</c:v>
                </c:pt>
                <c:pt idx="5">
                  <c:v>-0.30662484897481468</c:v>
                </c:pt>
                <c:pt idx="6">
                  <c:v>-0.128660618900139</c:v>
                </c:pt>
                <c:pt idx="7">
                  <c:v>-2.4825605852751751E-3</c:v>
                </c:pt>
                <c:pt idx="8">
                  <c:v>0.1448543072529298</c:v>
                </c:pt>
                <c:pt idx="9">
                  <c:v>0.2553931257073041</c:v>
                </c:pt>
                <c:pt idx="10">
                  <c:v>0.34376297528570227</c:v>
                </c:pt>
                <c:pt idx="11">
                  <c:v>0.41845045082958349</c:v>
                </c:pt>
                <c:pt idx="12">
                  <c:v>0.48461298801499836</c:v>
                </c:pt>
                <c:pt idx="13">
                  <c:v>0.54240212582241687</c:v>
                </c:pt>
                <c:pt idx="14">
                  <c:v>1.3442212734184802</c:v>
                </c:pt>
                <c:pt idx="15">
                  <c:v>1.6099176089041844</c:v>
                </c:pt>
                <c:pt idx="16">
                  <c:v>1.7735963081379476</c:v>
                </c:pt>
                <c:pt idx="17">
                  <c:v>1.8922543713967657</c:v>
                </c:pt>
                <c:pt idx="18">
                  <c:v>1.9853936874295302</c:v>
                </c:pt>
                <c:pt idx="19">
                  <c:v>2.0623604563534044</c:v>
                </c:pt>
                <c:pt idx="20">
                  <c:v>2.1277641659012656</c:v>
                </c:pt>
                <c:pt idx="21">
                  <c:v>2.1846397665710326</c:v>
                </c:pt>
                <c:pt idx="22">
                  <c:v>2.2350638568965606</c:v>
                </c:pt>
                <c:pt idx="23">
                  <c:v>2.2802698388807539</c:v>
                </c:pt>
                <c:pt idx="24">
                  <c:v>2.32122051065235</c:v>
                </c:pt>
                <c:pt idx="25">
                  <c:v>2.3586730912444205</c:v>
                </c:pt>
                <c:pt idx="26">
                  <c:v>2.3932878597206964</c:v>
                </c:pt>
                <c:pt idx="27">
                  <c:v>2.4254049236540847</c:v>
                </c:pt>
                <c:pt idx="28">
                  <c:v>2.455521070765633</c:v>
                </c:pt>
                <c:pt idx="29">
                  <c:v>2.4841624096784747</c:v>
                </c:pt>
                <c:pt idx="30">
                  <c:v>2.5150356945093058</c:v>
                </c:pt>
                <c:pt idx="31">
                  <c:v>2.5447484847719126</c:v>
                </c:pt>
                <c:pt idx="32">
                  <c:v>2.5981118428941388</c:v>
                </c:pt>
                <c:pt idx="33">
                  <c:v>2.6456482991179082</c:v>
                </c:pt>
                <c:pt idx="34">
                  <c:v>2.6931830370539829</c:v>
                </c:pt>
                <c:pt idx="35">
                  <c:v>2.7363906053941021</c:v>
                </c:pt>
                <c:pt idx="36">
                  <c:v>2.7760939820530486</c:v>
                </c:pt>
                <c:pt idx="37">
                  <c:v>2.8126076393786037</c:v>
                </c:pt>
                <c:pt idx="38">
                  <c:v>2.8464726997235461</c:v>
                </c:pt>
                <c:pt idx="39">
                  <c:v>2.8933744405462338</c:v>
                </c:pt>
                <c:pt idx="40">
                  <c:v>2.9359716923543382</c:v>
                </c:pt>
                <c:pt idx="41">
                  <c:v>2.9747852627394837</c:v>
                </c:pt>
                <c:pt idx="42">
                  <c:v>3.0105532070969825</c:v>
                </c:pt>
                <c:pt idx="43">
                  <c:v>3.0436417872371138</c:v>
                </c:pt>
                <c:pt idx="44">
                  <c:v>3.0744091534835714</c:v>
                </c:pt>
                <c:pt idx="45">
                  <c:v>3.1032842061684334</c:v>
                </c:pt>
                <c:pt idx="46">
                  <c:v>3.1306153252215001</c:v>
                </c:pt>
                <c:pt idx="47">
                  <c:v>3.158426244258469</c:v>
                </c:pt>
                <c:pt idx="48">
                  <c:v>3.1851977556769415</c:v>
                </c:pt>
                <c:pt idx="49">
                  <c:v>3.2204800353707919</c:v>
                </c:pt>
                <c:pt idx="50">
                  <c:v>3.2538497688665102</c:v>
                </c:pt>
                <c:pt idx="51">
                  <c:v>3.2878231754890574</c:v>
                </c:pt>
                <c:pt idx="52">
                  <c:v>3.3196376352384576</c:v>
                </c:pt>
                <c:pt idx="53">
                  <c:v>3.3493012915672731</c:v>
                </c:pt>
                <c:pt idx="54">
                  <c:v>3.3772616352200768</c:v>
                </c:pt>
                <c:pt idx="55">
                  <c:v>3.4036502603877095</c:v>
                </c:pt>
                <c:pt idx="56">
                  <c:v>3.4397458823904055</c:v>
                </c:pt>
                <c:pt idx="57">
                  <c:v>3.4733371381719653</c:v>
                </c:pt>
                <c:pt idx="58">
                  <c:v>3.5049712293604816</c:v>
                </c:pt>
                <c:pt idx="59">
                  <c:v>3.5344626446091976</c:v>
                </c:pt>
                <c:pt idx="60">
                  <c:v>3.5621222067423255</c:v>
                </c:pt>
                <c:pt idx="61">
                  <c:v>3.5885945562071364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43C-4C35-9502-47D71C8A9041}"/>
            </c:ext>
          </c:extLst>
        </c:ser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-1.3151546383555874</c:v>
                </c:pt>
                <c:pt idx="3">
                  <c:v>-1.1830961606243398</c:v>
                </c:pt>
                <c:pt idx="4">
                  <c:v>-0.54852059487513816</c:v>
                </c:pt>
                <c:pt idx="5">
                  <c:v>-0.29972906264356303</c:v>
                </c:pt>
                <c:pt idx="6">
                  <c:v>-0.12401322857151198</c:v>
                </c:pt>
                <c:pt idx="7">
                  <c:v>2.0796263931208716E-3</c:v>
                </c:pt>
                <c:pt idx="8">
                  <c:v>0.14952701375434785</c:v>
                </c:pt>
                <c:pt idx="9">
                  <c:v>0.2594266265870519</c:v>
                </c:pt>
                <c:pt idx="10">
                  <c:v>0.34734953373145683</c:v>
                </c:pt>
                <c:pt idx="11">
                  <c:v>0.42479999465659907</c:v>
                </c:pt>
                <c:pt idx="12">
                  <c:v>0.49355563429677934</c:v>
                </c:pt>
                <c:pt idx="13">
                  <c:v>0.56674380630400301</c:v>
                </c:pt>
                <c:pt idx="14">
                  <c:v>0.8800128383667718</c:v>
                </c:pt>
                <c:pt idx="15">
                  <c:v>1.0605807538852567</c:v>
                </c:pt>
                <c:pt idx="16">
                  <c:v>1.1879181721734953</c:v>
                </c:pt>
                <c:pt idx="17">
                  <c:v>1.2869277849592553</c:v>
                </c:pt>
                <c:pt idx="18">
                  <c:v>1.386445455747283</c:v>
                </c:pt>
                <c:pt idx="19">
                  <c:v>1.4674704708743691</c:v>
                </c:pt>
                <c:pt idx="20">
                  <c:v>1.5358091435633625</c:v>
                </c:pt>
                <c:pt idx="21">
                  <c:v>1.5949977096653651</c:v>
                </c:pt>
                <c:pt idx="22">
                  <c:v>1.6471696830712741</c:v>
                </c:pt>
                <c:pt idx="23">
                  <c:v>1.693755080448589</c:v>
                </c:pt>
                <c:pt idx="24">
                  <c:v>1.7360114431201523</c:v>
                </c:pt>
                <c:pt idx="25">
                  <c:v>1.7746891895548702</c:v>
                </c:pt>
                <c:pt idx="26">
                  <c:v>1.8102123490523696</c:v>
                </c:pt>
                <c:pt idx="27">
                  <c:v>1.8431168676908625</c:v>
                </c:pt>
                <c:pt idx="28">
                  <c:v>1.8739480439884457</c:v>
                </c:pt>
                <c:pt idx="29">
                  <c:v>1.903549010740504</c:v>
                </c:pt>
                <c:pt idx="30">
                  <c:v>1.9383020230407795</c:v>
                </c:pt>
                <c:pt idx="31">
                  <c:v>1.9705876708570533</c:v>
                </c:pt>
                <c:pt idx="32">
                  <c:v>2.0009704317323567</c:v>
                </c:pt>
                <c:pt idx="33">
                  <c:v>2.0293659184795003</c:v>
                </c:pt>
                <c:pt idx="34">
                  <c:v>2.0561491313374805</c:v>
                </c:pt>
                <c:pt idx="35">
                  <c:v>2.0815561222719277</c:v>
                </c:pt>
                <c:pt idx="36">
                  <c:v>2.1055588911452459</c:v>
                </c:pt>
                <c:pt idx="37">
                  <c:v>2.1286825663726527</c:v>
                </c:pt>
                <c:pt idx="38">
                  <c:v>2.1506612836489016</c:v>
                </c:pt>
                <c:pt idx="39">
                  <c:v>2.1716860930987369</c:v>
                </c:pt>
                <c:pt idx="40">
                  <c:v>2.19191021828036</c:v>
                </c:pt>
                <c:pt idx="41">
                  <c:v>2.2125423553352097</c:v>
                </c:pt>
                <c:pt idx="42">
                  <c:v>2.2323098403279875</c:v>
                </c:pt>
                <c:pt idx="43">
                  <c:v>2.2532706262904494</c:v>
                </c:pt>
                <c:pt idx="44">
                  <c:v>2.2736745433319077</c:v>
                </c:pt>
                <c:pt idx="45">
                  <c:v>2.2940325970855842</c:v>
                </c:pt>
                <c:pt idx="46">
                  <c:v>2.3137097073533042</c:v>
                </c:pt>
                <c:pt idx="47">
                  <c:v>2.3325967970362718</c:v>
                </c:pt>
                <c:pt idx="48">
                  <c:v>2.350790547426457</c:v>
                </c:pt>
                <c:pt idx="49">
                  <c:v>2.3683339386716074</c:v>
                </c:pt>
                <c:pt idx="50">
                  <c:v>2.3866555330357104</c:v>
                </c:pt>
                <c:pt idx="51">
                  <c:v>2.4043290263506694</c:v>
                </c:pt>
                <c:pt idx="52">
                  <c:v>2.4214194770570843</c:v>
                </c:pt>
                <c:pt idx="53">
                  <c:v>2.4378873281951035</c:v>
                </c:pt>
                <c:pt idx="54">
                  <c:v>2.4539612009488234</c:v>
                </c:pt>
                <c:pt idx="55">
                  <c:v>2.4695441258409914</c:v>
                </c:pt>
                <c:pt idx="56">
                  <c:v>2.4861563546671661</c:v>
                </c:pt>
                <c:pt idx="57">
                  <c:v>2.5022974951500396</c:v>
                </c:pt>
                <c:pt idx="58">
                  <c:v>2.5202895962832121</c:v>
                </c:pt>
                <c:pt idx="59">
                  <c:v>2.5376307340735234</c:v>
                </c:pt>
                <c:pt idx="60">
                  <c:v>2.5543458252313576</c:v>
                </c:pt>
                <c:pt idx="61">
                  <c:v>2.5705306813969044</c:v>
                </c:pt>
                <c:pt idx="62">
                  <c:v>2.5861955879653942</c:v>
                </c:pt>
                <c:pt idx="63">
                  <c:v>2.6062861108754229</c:v>
                </c:pt>
                <c:pt idx="64">
                  <c:v>2.6255075309180089</c:v>
                </c:pt>
                <c:pt idx="65">
                  <c:v>2.6487172542101569</c:v>
                </c:pt>
                <c:pt idx="66">
                  <c:v>2.6708317552296621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43C-4C35-9502-47D71C8A9041}"/>
            </c:ext>
          </c:extLst>
        </c:ser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3300"/>
              </a:solidFill>
              <a:ln w="9525">
                <a:solidFill>
                  <a:srgbClr val="FF33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-1.2048154103175761</c:v>
                </c:pt>
                <c:pt idx="4">
                  <c:v>-0.79371395558756752</c:v>
                </c:pt>
                <c:pt idx="5">
                  <c:v>-0.57348873863542471</c:v>
                </c:pt>
                <c:pt idx="6">
                  <c:v>-0.42620041778425932</c:v>
                </c:pt>
                <c:pt idx="7">
                  <c:v>-0.31452698027724074</c:v>
                </c:pt>
                <c:pt idx="8">
                  <c:v>-0.16449967213268116</c:v>
                </c:pt>
                <c:pt idx="9">
                  <c:v>-5.2468254304406825E-2</c:v>
                </c:pt>
                <c:pt idx="10">
                  <c:v>3.8421445642459459E-2</c:v>
                </c:pt>
                <c:pt idx="11">
                  <c:v>0.11457762700016604</c:v>
                </c:pt>
                <c:pt idx="12">
                  <c:v>0.18158636373685635</c:v>
                </c:pt>
                <c:pt idx="13">
                  <c:v>0.24390577021752136</c:v>
                </c:pt>
                <c:pt idx="14">
                  <c:v>0.34401873774591279</c:v>
                </c:pt>
                <c:pt idx="15">
                  <c:v>0.42787543631316594</c:v>
                </c:pt>
                <c:pt idx="16">
                  <c:v>0.4983381271670837</c:v>
                </c:pt>
                <c:pt idx="17">
                  <c:v>0.56026539786271468</c:v>
                </c:pt>
                <c:pt idx="18">
                  <c:v>0.61478124814107804</c:v>
                </c:pt>
                <c:pt idx="19">
                  <c:v>0.66336164753400673</c:v>
                </c:pt>
                <c:pt idx="20">
                  <c:v>0.70705041493570853</c:v>
                </c:pt>
                <c:pt idx="21">
                  <c:v>0.74759046117286043</c:v>
                </c:pt>
                <c:pt idx="22">
                  <c:v>0.78478128093069199</c:v>
                </c:pt>
                <c:pt idx="23">
                  <c:v>0.81934648408045274</c:v>
                </c:pt>
                <c:pt idx="24">
                  <c:v>0.85164353774300816</c:v>
                </c:pt>
                <c:pt idx="25">
                  <c:v>0.88179535873846426</c:v>
                </c:pt>
                <c:pt idx="26">
                  <c:v>0.9101599844246262</c:v>
                </c:pt>
                <c:pt idx="27">
                  <c:v>0.93709643196347636</c:v>
                </c:pt>
                <c:pt idx="28">
                  <c:v>0.96282848833920409</c:v>
                </c:pt>
                <c:pt idx="29">
                  <c:v>0.99136343283551032</c:v>
                </c:pt>
                <c:pt idx="30">
                  <c:v>1.0279201364058028</c:v>
                </c:pt>
                <c:pt idx="31">
                  <c:v>1.0622283885350754</c:v>
                </c:pt>
                <c:pt idx="32">
                  <c:v>1.0966389286642346</c:v>
                </c:pt>
                <c:pt idx="33">
                  <c:v>1.1286738473085902</c:v>
                </c:pt>
                <c:pt idx="34">
                  <c:v>1.1599640123855286</c:v>
                </c:pt>
                <c:pt idx="35">
                  <c:v>1.1961181277915032</c:v>
                </c:pt>
                <c:pt idx="36">
                  <c:v>1.2301320262862674</c:v>
                </c:pt>
                <c:pt idx="37">
                  <c:v>1.2633780186500057</c:v>
                </c:pt>
                <c:pt idx="38">
                  <c:v>1.2958418829402656</c:v>
                </c:pt>
                <c:pt idx="39">
                  <c:v>1.3363656598786331</c:v>
                </c:pt>
                <c:pt idx="40">
                  <c:v>1.3750048155306398</c:v>
                </c:pt>
                <c:pt idx="41">
                  <c:v>1.4352660893076084</c:v>
                </c:pt>
                <c:pt idx="42">
                  <c:v>1.4885070028429377</c:v>
                </c:pt>
                <c:pt idx="43">
                  <c:v>2.3995332018900677</c:v>
                </c:pt>
                <c:pt idx="44">
                  <c:v>2.7767023459787814</c:v>
                </c:pt>
                <c:pt idx="45">
                  <c:v>2.9757117807409017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43C-4C35-9502-47D71C8A9041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9999"/>
              </a:solidFill>
              <a:ln w="9525">
                <a:solidFill>
                  <a:srgbClr val="FF9999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-1.8068754016455384</c:v>
                </c:pt>
                <c:pt idx="1">
                  <c:v>-1.5058454059815571</c:v>
                </c:pt>
                <c:pt idx="2">
                  <c:v>-1.329754146925876</c:v>
                </c:pt>
                <c:pt idx="3">
                  <c:v>-1.1837587000082168</c:v>
                </c:pt>
                <c:pt idx="4">
                  <c:v>-0.63601217025150858</c:v>
                </c:pt>
                <c:pt idx="5">
                  <c:v>-0.38923340522672906</c:v>
                </c:pt>
                <c:pt idx="6">
                  <c:v>-0.2204756566752101</c:v>
                </c:pt>
                <c:pt idx="7">
                  <c:v>-9.1622227567605422E-2</c:v>
                </c:pt>
                <c:pt idx="8">
                  <c:v>5.9070913092980251E-2</c:v>
                </c:pt>
                <c:pt idx="9">
                  <c:v>0.17527981844238424</c:v>
                </c:pt>
                <c:pt idx="10">
                  <c:v>0.26761753168677194</c:v>
                </c:pt>
                <c:pt idx="11">
                  <c:v>0.34401873774591279</c:v>
                </c:pt>
                <c:pt idx="12">
                  <c:v>0.41188895239584855</c:v>
                </c:pt>
                <c:pt idx="13">
                  <c:v>0.47079257256689611</c:v>
                </c:pt>
                <c:pt idx="14">
                  <c:v>0.52447401547359662</c:v>
                </c:pt>
                <c:pt idx="15">
                  <c:v>0.57243011610504368</c:v>
                </c:pt>
                <c:pt idx="16">
                  <c:v>0.61644400407693312</c:v>
                </c:pt>
                <c:pt idx="17">
                  <c:v>0.65715150190096672</c:v>
                </c:pt>
                <c:pt idx="18">
                  <c:v>0.69518387254603708</c:v>
                </c:pt>
                <c:pt idx="19">
                  <c:v>0.73016025654818972</c:v>
                </c:pt>
                <c:pt idx="20">
                  <c:v>0.76263355678590639</c:v>
                </c:pt>
                <c:pt idx="21">
                  <c:v>0.7932873732019724</c:v>
                </c:pt>
                <c:pt idx="22">
                  <c:v>0.82192601047462943</c:v>
                </c:pt>
                <c:pt idx="23">
                  <c:v>0.84926581716155725</c:v>
                </c:pt>
                <c:pt idx="24">
                  <c:v>0.87535069657928921</c:v>
                </c:pt>
                <c:pt idx="25">
                  <c:v>0.90012669787447031</c:v>
                </c:pt>
                <c:pt idx="26">
                  <c:v>0.92405173887522696</c:v>
                </c:pt>
                <c:pt idx="27">
                  <c:v>0.94680584505314991</c:v>
                </c:pt>
                <c:pt idx="28">
                  <c:v>0.96856699741693397</c:v>
                </c:pt>
                <c:pt idx="29">
                  <c:v>0.98936526440400518</c:v>
                </c:pt>
                <c:pt idx="30">
                  <c:v>1.0204897286221786</c:v>
                </c:pt>
                <c:pt idx="31">
                  <c:v>1.0497140758159491</c:v>
                </c:pt>
                <c:pt idx="32">
                  <c:v>1.078344423469568</c:v>
                </c:pt>
                <c:pt idx="33">
                  <c:v>1.1057894059517335</c:v>
                </c:pt>
                <c:pt idx="34">
                  <c:v>1.1317020511477651</c:v>
                </c:pt>
                <c:pt idx="35">
                  <c:v>1.1572421367615293</c:v>
                </c:pt>
                <c:pt idx="36">
                  <c:v>1.181540619034898</c:v>
                </c:pt>
                <c:pt idx="37">
                  <c:v>1.2049335223541449</c:v>
                </c:pt>
                <c:pt idx="38">
                  <c:v>1.2271717148099963</c:v>
                </c:pt>
                <c:pt idx="39">
                  <c:v>1.250273586232246</c:v>
                </c:pt>
                <c:pt idx="40">
                  <c:v>1.2743426161168829</c:v>
                </c:pt>
                <c:pt idx="41">
                  <c:v>1.3184911547918832</c:v>
                </c:pt>
                <c:pt idx="42">
                  <c:v>1.3655497551439935</c:v>
                </c:pt>
                <c:pt idx="43">
                  <c:v>1.8749355893398796</c:v>
                </c:pt>
                <c:pt idx="44">
                  <c:v>2.1051861313120357</c:v>
                </c:pt>
                <c:pt idx="45">
                  <c:v>2.336772833338514</c:v>
                </c:pt>
                <c:pt idx="46">
                  <c:v>2.4890046553267711</c:v>
                </c:pt>
                <c:pt idx="47">
                  <c:v>2.609227611660911</c:v>
                </c:pt>
                <c:pt idx="48">
                  <c:v>2.7034245699999739</c:v>
                </c:pt>
                <c:pt idx="49">
                  <c:v>2.8127683448932812</c:v>
                </c:pt>
                <c:pt idx="50">
                  <c:v>2.9008892790969556</c:v>
                </c:pt>
                <c:pt idx="51">
                  <c:v>2.9805310710905841</c:v>
                </c:pt>
                <c:pt idx="52">
                  <c:v>3.0487828510388244</c:v>
                </c:pt>
                <c:pt idx="53">
                  <c:v>3.1078933776091091</c:v>
                </c:pt>
                <c:pt idx="54">
                  <c:v>3.1605600024516858</c:v>
                </c:pt>
                <c:pt idx="55">
                  <c:v>3.2095816548667178</c:v>
                </c:pt>
                <c:pt idx="56">
                  <c:v>3.2685333935719814</c:v>
                </c:pt>
                <c:pt idx="57">
                  <c:v>3.3206810532508739</c:v>
                </c:pt>
                <c:pt idx="58">
                  <c:v>3.3673326399810817</c:v>
                </c:pt>
                <c:pt idx="59">
                  <c:v>3.4096061472047619</c:v>
                </c:pt>
                <c:pt idx="60">
                  <c:v>3.4481919096201374</c:v>
                </c:pt>
                <c:pt idx="61">
                  <c:v>3.4836327778419585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43C-4C35-9502-47D71C8A9041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-1.2048154103175759</c:v>
                </c:pt>
                <c:pt idx="4">
                  <c:v>-0.6601512169623629</c:v>
                </c:pt>
                <c:pt idx="5">
                  <c:v>-0.41521662100349227</c:v>
                </c:pt>
                <c:pt idx="6">
                  <c:v>-0.25711782856272708</c:v>
                </c:pt>
                <c:pt idx="7">
                  <c:v>-0.14104194528199424</c:v>
                </c:pt>
                <c:pt idx="8">
                  <c:v>1.5694988526518093E-2</c:v>
                </c:pt>
                <c:pt idx="9">
                  <c:v>0.13209952191650434</c:v>
                </c:pt>
                <c:pt idx="10">
                  <c:v>0.22744962046984168</c:v>
                </c:pt>
                <c:pt idx="11">
                  <c:v>0.30593147446331287</c:v>
                </c:pt>
                <c:pt idx="12">
                  <c:v>0.37551730064967137</c:v>
                </c:pt>
                <c:pt idx="13">
                  <c:v>0.43648069500949499</c:v>
                </c:pt>
                <c:pt idx="14">
                  <c:v>0.520247652686888</c:v>
                </c:pt>
                <c:pt idx="15">
                  <c:v>0.59097551184064911</c:v>
                </c:pt>
                <c:pt idx="16">
                  <c:v>0.65971658781144238</c:v>
                </c:pt>
                <c:pt idx="17">
                  <c:v>0.71944730436275617</c:v>
                </c:pt>
                <c:pt idx="18">
                  <c:v>0.77718749572561452</c:v>
                </c:pt>
                <c:pt idx="19">
                  <c:v>0.82894975900572865</c:v>
                </c:pt>
                <c:pt idx="20">
                  <c:v>0.87546641586638563</c:v>
                </c:pt>
                <c:pt idx="21">
                  <c:v>0.91764202565790454</c:v>
                </c:pt>
                <c:pt idx="22">
                  <c:v>0.9563797613194146</c:v>
                </c:pt>
                <c:pt idx="23">
                  <c:v>0.99208495167187261</c:v>
                </c:pt>
                <c:pt idx="24">
                  <c:v>1.0264188539182912</c:v>
                </c:pt>
                <c:pt idx="25">
                  <c:v>1.0584146354663651</c:v>
                </c:pt>
                <c:pt idx="26">
                  <c:v>1.0889330407719071</c:v>
                </c:pt>
                <c:pt idx="27">
                  <c:v>1.1174502809210511</c:v>
                </c:pt>
                <c:pt idx="28">
                  <c:v>1.1447422890728136</c:v>
                </c:pt>
                <c:pt idx="29">
                  <c:v>1.1706957928742761</c:v>
                </c:pt>
                <c:pt idx="30">
                  <c:v>1.2026544832812325</c:v>
                </c:pt>
                <c:pt idx="31">
                  <c:v>1.2330545203417704</c:v>
                </c:pt>
                <c:pt idx="32">
                  <c:v>1.2619856944553705</c:v>
                </c:pt>
                <c:pt idx="33">
                  <c:v>1.2923757074380928</c:v>
                </c:pt>
                <c:pt idx="34">
                  <c:v>1.321327041075808</c:v>
                </c:pt>
                <c:pt idx="35">
                  <c:v>1.3484995702838378</c:v>
                </c:pt>
                <c:pt idx="36">
                  <c:v>1.3742734777507821</c:v>
                </c:pt>
                <c:pt idx="37">
                  <c:v>1.3988996071409407</c:v>
                </c:pt>
                <c:pt idx="38">
                  <c:v>1.4224355279301342</c:v>
                </c:pt>
                <c:pt idx="39">
                  <c:v>1.4448595050797497</c:v>
                </c:pt>
                <c:pt idx="40">
                  <c:v>1.4671550785422356</c:v>
                </c:pt>
                <c:pt idx="41">
                  <c:v>1.509631226890235</c:v>
                </c:pt>
                <c:pt idx="42">
                  <c:v>1.5506758738948914</c:v>
                </c:pt>
                <c:pt idx="43">
                  <c:v>1.6418368625725686</c:v>
                </c:pt>
                <c:pt idx="44">
                  <c:v>1.7173384153428546</c:v>
                </c:pt>
                <c:pt idx="45">
                  <c:v>1.7840428454672133</c:v>
                </c:pt>
                <c:pt idx="46">
                  <c:v>1.842486921067124</c:v>
                </c:pt>
                <c:pt idx="47">
                  <c:v>1.906835323737281</c:v>
                </c:pt>
                <c:pt idx="48">
                  <c:v>1.9636806566805958</c:v>
                </c:pt>
                <c:pt idx="49">
                  <c:v>2.01410999108582</c:v>
                </c:pt>
                <c:pt idx="50">
                  <c:v>2.0604054428757728</c:v>
                </c:pt>
                <c:pt idx="51">
                  <c:v>2.1042972366890225</c:v>
                </c:pt>
                <c:pt idx="52">
                  <c:v>2.1442256982602905</c:v>
                </c:pt>
                <c:pt idx="53">
                  <c:v>2.1808352551006607</c:v>
                </c:pt>
                <c:pt idx="54">
                  <c:v>2.2146179031898314</c:v>
                </c:pt>
                <c:pt idx="55">
                  <c:v>2.2460998020957095</c:v>
                </c:pt>
                <c:pt idx="56">
                  <c:v>2.275658190805367</c:v>
                </c:pt>
                <c:pt idx="57">
                  <c:v>2.3044987138026434</c:v>
                </c:pt>
                <c:pt idx="58">
                  <c:v>2.3343513984004276</c:v>
                </c:pt>
                <c:pt idx="59">
                  <c:v>2.3623836916823104</c:v>
                </c:pt>
                <c:pt idx="60">
                  <c:v>2.3922942969923029</c:v>
                </c:pt>
                <c:pt idx="61">
                  <c:v>2.4203593061838178</c:v>
                </c:pt>
                <c:pt idx="62">
                  <c:v>2.4467252274296016</c:v>
                </c:pt>
                <c:pt idx="63">
                  <c:v>2.4717121568926421</c:v>
                </c:pt>
                <c:pt idx="64">
                  <c:v>2.4953697521535401</c:v>
                </c:pt>
                <c:pt idx="65">
                  <c:v>2.5329303535918393</c:v>
                </c:pt>
                <c:pt idx="66">
                  <c:v>2.5678338264981542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43C-4C35-9502-47D71C8A9041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-1.0127807700919951</c:v>
                </c:pt>
                <c:pt idx="2">
                  <c:v>-0.83505262737815833</c:v>
                </c:pt>
                <c:pt idx="3">
                  <c:v>-0.70730099695607029</c:v>
                </c:pt>
                <c:pt idx="4">
                  <c:v>-0.40362285600240089</c:v>
                </c:pt>
                <c:pt idx="5">
                  <c:v>-0.22460802830338808</c:v>
                </c:pt>
                <c:pt idx="6">
                  <c:v>-9.3072652691044186E-2</c:v>
                </c:pt>
                <c:pt idx="7">
                  <c:v>1.0087846998524407E-2</c:v>
                </c:pt>
                <c:pt idx="8">
                  <c:v>0.13583204971268042</c:v>
                </c:pt>
                <c:pt idx="9">
                  <c:v>0.23441603756703558</c:v>
                </c:pt>
                <c:pt idx="10">
                  <c:v>0.31470969295517376</c:v>
                </c:pt>
                <c:pt idx="11">
                  <c:v>0.38498029565130432</c:v>
                </c:pt>
                <c:pt idx="12">
                  <c:v>0.4458065155795779</c:v>
                </c:pt>
                <c:pt idx="13">
                  <c:v>0.50122363280518123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743C-4C35-9502-47D71C8A9041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-1.3142582613977363</c:v>
                </c:pt>
                <c:pt idx="1">
                  <c:v>-1.0065637695023884</c:v>
                </c:pt>
                <c:pt idx="2">
                  <c:v>-0.82564940252062002</c:v>
                </c:pt>
                <c:pt idx="3">
                  <c:v>-0.69745262751251447</c:v>
                </c:pt>
                <c:pt idx="4">
                  <c:v>-0.49147028102871343</c:v>
                </c:pt>
                <c:pt idx="5">
                  <c:v>-0.35076252765039273</c:v>
                </c:pt>
                <c:pt idx="6">
                  <c:v>-0.24366823267894244</c:v>
                </c:pt>
                <c:pt idx="7">
                  <c:v>-0.14831368455757249</c:v>
                </c:pt>
                <c:pt idx="8">
                  <c:v>-2.8167720075074829E-2</c:v>
                </c:pt>
                <c:pt idx="9">
                  <c:v>6.5915668188591903E-2</c:v>
                </c:pt>
                <c:pt idx="10">
                  <c:v>0.14320222504959695</c:v>
                </c:pt>
                <c:pt idx="11">
                  <c:v>0.21061276635289769</c:v>
                </c:pt>
                <c:pt idx="12">
                  <c:v>0.26911582689511943</c:v>
                </c:pt>
                <c:pt idx="13">
                  <c:v>0.32333461859904977</c:v>
                </c:pt>
                <c:pt idx="14">
                  <c:v>1.660579014697648</c:v>
                </c:pt>
                <c:pt idx="15">
                  <c:v>1.9597790660951269</c:v>
                </c:pt>
                <c:pt idx="16">
                  <c:v>2.2836525936260212</c:v>
                </c:pt>
                <c:pt idx="17">
                  <c:v>2.4677206968141667</c:v>
                </c:pt>
                <c:pt idx="18">
                  <c:v>2.652433849961799</c:v>
                </c:pt>
                <c:pt idx="19">
                  <c:v>2.7822706947941604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43C-4C35-9502-47D71C8A9041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-1.3151546383555874</c:v>
                </c:pt>
                <c:pt idx="1">
                  <c:v>-1.0114410431213845</c:v>
                </c:pt>
                <c:pt idx="2">
                  <c:v>-0.83268266525182388</c:v>
                </c:pt>
                <c:pt idx="3">
                  <c:v>-0.70465285166638214</c:v>
                </c:pt>
                <c:pt idx="4">
                  <c:v>-0.49471432585586766</c:v>
                </c:pt>
                <c:pt idx="5">
                  <c:v>-0.35340024827962668</c:v>
                </c:pt>
                <c:pt idx="6">
                  <c:v>-0.23515164280658923</c:v>
                </c:pt>
                <c:pt idx="7">
                  <c:v>-0.13870460647330418</c:v>
                </c:pt>
                <c:pt idx="8">
                  <c:v>-1.9088062223156503E-2</c:v>
                </c:pt>
                <c:pt idx="9">
                  <c:v>7.4706756471866989E-2</c:v>
                </c:pt>
                <c:pt idx="10">
                  <c:v>0.15201300005083451</c:v>
                </c:pt>
                <c:pt idx="11">
                  <c:v>0.21921765702290677</c:v>
                </c:pt>
                <c:pt idx="12">
                  <c:v>0.27955288115038596</c:v>
                </c:pt>
                <c:pt idx="13">
                  <c:v>0.33707971180093133</c:v>
                </c:pt>
                <c:pt idx="14">
                  <c:v>0.76012078526456761</c:v>
                </c:pt>
                <c:pt idx="15">
                  <c:v>0.97075586896619237</c:v>
                </c:pt>
                <c:pt idx="16">
                  <c:v>1.1134085068181756</c:v>
                </c:pt>
                <c:pt idx="17">
                  <c:v>1.2216072147314962</c:v>
                </c:pt>
                <c:pt idx="18">
                  <c:v>1.3266962577131116</c:v>
                </c:pt>
                <c:pt idx="19">
                  <c:v>1.4116903993109817</c:v>
                </c:pt>
                <c:pt idx="20">
                  <c:v>1.4829335806756305</c:v>
                </c:pt>
                <c:pt idx="21">
                  <c:v>1.5441524133683204</c:v>
                </c:pt>
                <c:pt idx="22">
                  <c:v>1.5979385858247985</c:v>
                </c:pt>
                <c:pt idx="23">
                  <c:v>1.6459240709206777</c:v>
                </c:pt>
                <c:pt idx="24">
                  <c:v>1.6892306968462159</c:v>
                </c:pt>
                <c:pt idx="25">
                  <c:v>1.7286215820148179</c:v>
                </c:pt>
                <c:pt idx="26">
                  <c:v>1.7649558166686317</c:v>
                </c:pt>
                <c:pt idx="27">
                  <c:v>1.7985083889802644</c:v>
                </c:pt>
                <c:pt idx="28">
                  <c:v>1.8298503181296704</c:v>
                </c:pt>
                <c:pt idx="29">
                  <c:v>1.8615391898641813</c:v>
                </c:pt>
                <c:pt idx="30">
                  <c:v>1.8979156088543963</c:v>
                </c:pt>
                <c:pt idx="31">
                  <c:v>1.9314878736039425</c:v>
                </c:pt>
                <c:pt idx="32">
                  <c:v>1.9626874807170815</c:v>
                </c:pt>
                <c:pt idx="33">
                  <c:v>1.9919261433670563</c:v>
                </c:pt>
                <c:pt idx="34">
                  <c:v>2.0195470464926664</c:v>
                </c:pt>
                <c:pt idx="35">
                  <c:v>2.0455858234577726</c:v>
                </c:pt>
                <c:pt idx="36">
                  <c:v>2.0704087989297228</c:v>
                </c:pt>
                <c:pt idx="37">
                  <c:v>2.093949872208078</c:v>
                </c:pt>
                <c:pt idx="38">
                  <c:v>2.116775718386612</c:v>
                </c:pt>
                <c:pt idx="39">
                  <c:v>2.1386518884358399</c:v>
                </c:pt>
                <c:pt idx="40">
                  <c:v>2.1596465860755085</c:v>
                </c:pt>
                <c:pt idx="41">
                  <c:v>2.1808504331981058</c:v>
                </c:pt>
                <c:pt idx="42">
                  <c:v>2.2011755503074162</c:v>
                </c:pt>
                <c:pt idx="43">
                  <c:v>2.2221332929851161</c:v>
                </c:pt>
                <c:pt idx="44">
                  <c:v>2.2422884302600079</c:v>
                </c:pt>
                <c:pt idx="45">
                  <c:v>2.2624620062851224</c:v>
                </c:pt>
                <c:pt idx="46">
                  <c:v>2.2818257429910775</c:v>
                </c:pt>
                <c:pt idx="47">
                  <c:v>2.3003700182784677</c:v>
                </c:pt>
                <c:pt idx="48">
                  <c:v>2.3182781323270616</c:v>
                </c:pt>
                <c:pt idx="49">
                  <c:v>2.3355844595303568</c:v>
                </c:pt>
                <c:pt idx="50">
                  <c:v>2.3540924891014146</c:v>
                </c:pt>
                <c:pt idx="51">
                  <c:v>2.3718902098599384</c:v>
                </c:pt>
                <c:pt idx="52">
                  <c:v>2.3890285064457539</c:v>
                </c:pt>
                <c:pt idx="53">
                  <c:v>2.405631981792669</c:v>
                </c:pt>
                <c:pt idx="54">
                  <c:v>2.421656236463841</c:v>
                </c:pt>
                <c:pt idx="55">
                  <c:v>2.437204339831764</c:v>
                </c:pt>
                <c:pt idx="56">
                  <c:v>2.4542872337776052</c:v>
                </c:pt>
                <c:pt idx="57">
                  <c:v>2.4707440962164346</c:v>
                </c:pt>
                <c:pt idx="58">
                  <c:v>2.4885470503627203</c:v>
                </c:pt>
                <c:pt idx="59">
                  <c:v>2.5057219202434475</c:v>
                </c:pt>
                <c:pt idx="60">
                  <c:v>2.5223554092456988</c:v>
                </c:pt>
                <c:pt idx="61">
                  <c:v>2.5384340987545344</c:v>
                </c:pt>
                <c:pt idx="62">
                  <c:v>2.5540255440438306</c:v>
                </c:pt>
                <c:pt idx="63">
                  <c:v>2.5868142935973006</c:v>
                </c:pt>
                <c:pt idx="64">
                  <c:v>2.6175394127536284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743C-4C35-9502-47D71C8A9041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5FDE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5FDEA"/>
              </a:solidFill>
              <a:ln w="9525">
                <a:solidFill>
                  <a:srgbClr val="35FDEA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-1.2628073572952627</c:v>
                </c:pt>
                <c:pt idx="1">
                  <c:v>-0.95979337242528884</c:v>
                </c:pt>
                <c:pt idx="2">
                  <c:v>-0.78146449478347213</c:v>
                </c:pt>
                <c:pt idx="3">
                  <c:v>-0.6552148773673393</c:v>
                </c:pt>
                <c:pt idx="4">
                  <c:v>-0.37551163748655109</c:v>
                </c:pt>
                <c:pt idx="5">
                  <c:v>-0.20565139610391731</c:v>
                </c:pt>
                <c:pt idx="6">
                  <c:v>-7.5927570089637159E-2</c:v>
                </c:pt>
                <c:pt idx="7">
                  <c:v>2.6492407052839655E-2</c:v>
                </c:pt>
                <c:pt idx="8">
                  <c:v>0.14912669974261428</c:v>
                </c:pt>
                <c:pt idx="9">
                  <c:v>0.24504357393060996</c:v>
                </c:pt>
                <c:pt idx="10">
                  <c:v>0.32358207984899479</c:v>
                </c:pt>
                <c:pt idx="11">
                  <c:v>0.39292546917227988</c:v>
                </c:pt>
                <c:pt idx="12">
                  <c:v>0.45357822727841823</c:v>
                </c:pt>
                <c:pt idx="13">
                  <c:v>0.50807161659937516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43C-4C35-9502-47D71C8A9041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CFFFF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CCFFFF"/>
              </a:solidFill>
              <a:ln w="9525">
                <a:solidFill>
                  <a:srgbClr val="CCFFFF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-1.2471835688117285</c:v>
                </c:pt>
                <c:pt idx="1">
                  <c:v>-0.94423953531226523</c:v>
                </c:pt>
                <c:pt idx="2">
                  <c:v>-0.7510463845042924</c:v>
                </c:pt>
                <c:pt idx="3">
                  <c:v>-0.61332271603916233</c:v>
                </c:pt>
                <c:pt idx="4">
                  <c:v>-0.41555569283482385</c:v>
                </c:pt>
                <c:pt idx="5">
                  <c:v>-0.27884915625031587</c:v>
                </c:pt>
                <c:pt idx="6">
                  <c:v>-0.1678105389314869</c:v>
                </c:pt>
                <c:pt idx="7">
                  <c:v>-6.8745593583586506E-2</c:v>
                </c:pt>
                <c:pt idx="8">
                  <c:v>4.6924174230034969E-2</c:v>
                </c:pt>
                <c:pt idx="9">
                  <c:v>0.14016222961363667</c:v>
                </c:pt>
                <c:pt idx="10">
                  <c:v>0.21769446020537836</c:v>
                </c:pt>
                <c:pt idx="11">
                  <c:v>0.2862767864668429</c:v>
                </c:pt>
                <c:pt idx="12">
                  <c:v>0.34586362850376406</c:v>
                </c:pt>
                <c:pt idx="13">
                  <c:v>0.39847820021975566</c:v>
                </c:pt>
                <c:pt idx="14">
                  <c:v>0.55192550960235653</c:v>
                </c:pt>
                <c:pt idx="15">
                  <c:v>0.66688285923281887</c:v>
                </c:pt>
                <c:pt idx="16">
                  <c:v>0.75774514623257405</c:v>
                </c:pt>
                <c:pt idx="17">
                  <c:v>0.83301954707653147</c:v>
                </c:pt>
                <c:pt idx="18">
                  <c:v>0.89731912780964207</c:v>
                </c:pt>
                <c:pt idx="19">
                  <c:v>0.95355191497818681</c:v>
                </c:pt>
                <c:pt idx="20">
                  <c:v>1.0033484972578679</c:v>
                </c:pt>
                <c:pt idx="21">
                  <c:v>1.0481931201383252</c:v>
                </c:pt>
                <c:pt idx="22">
                  <c:v>1.0888799561080518</c:v>
                </c:pt>
                <c:pt idx="23">
                  <c:v>1.1263132726255731</c:v>
                </c:pt>
                <c:pt idx="24">
                  <c:v>1.1614578469717509</c:v>
                </c:pt>
                <c:pt idx="25">
                  <c:v>1.1941062186198614</c:v>
                </c:pt>
                <c:pt idx="26">
                  <c:v>1.2246418168368336</c:v>
                </c:pt>
                <c:pt idx="27">
                  <c:v>1.2542120153822804</c:v>
                </c:pt>
                <c:pt idx="28">
                  <c:v>1.2823025612186831</c:v>
                </c:pt>
                <c:pt idx="29">
                  <c:v>1.3091530330495185</c:v>
                </c:pt>
                <c:pt idx="30">
                  <c:v>1.3491997944299987</c:v>
                </c:pt>
                <c:pt idx="31">
                  <c:v>1.3873364261933372</c:v>
                </c:pt>
                <c:pt idx="32">
                  <c:v>1.430284731089956</c:v>
                </c:pt>
                <c:pt idx="33">
                  <c:v>1.4712550292326654</c:v>
                </c:pt>
                <c:pt idx="34">
                  <c:v>1.5090532499701683</c:v>
                </c:pt>
                <c:pt idx="35">
                  <c:v>1.5440059978494338</c:v>
                </c:pt>
                <c:pt idx="36">
                  <c:v>1.5782654872064696</c:v>
                </c:pt>
                <c:pt idx="37">
                  <c:v>1.6210484681812656</c:v>
                </c:pt>
                <c:pt idx="38">
                  <c:v>1.6600710739846782</c:v>
                </c:pt>
                <c:pt idx="39">
                  <c:v>1.7010660547719914</c:v>
                </c:pt>
                <c:pt idx="40">
                  <c:v>1.738658495072807</c:v>
                </c:pt>
                <c:pt idx="41">
                  <c:v>1.7964681747804265</c:v>
                </c:pt>
                <c:pt idx="42">
                  <c:v>1.8605063005098124</c:v>
                </c:pt>
                <c:pt idx="43">
                  <c:v>2.0659955122268054</c:v>
                </c:pt>
                <c:pt idx="44">
                  <c:v>2.2087508422062174</c:v>
                </c:pt>
                <c:pt idx="45">
                  <c:v>2.5001498543617497</c:v>
                </c:pt>
                <c:pt idx="46">
                  <c:v>2.6737820531233401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43C-4C35-9502-47D71C8A9041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-1.2564902352715703</c:v>
                </c:pt>
                <c:pt idx="1">
                  <c:v>-0.95350483566529165</c:v>
                </c:pt>
                <c:pt idx="2">
                  <c:v>-0.77520804350731853</c:v>
                </c:pt>
                <c:pt idx="3">
                  <c:v>-0.64397414280687726</c:v>
                </c:pt>
                <c:pt idx="4">
                  <c:v>-0.4426131179404928</c:v>
                </c:pt>
                <c:pt idx="5">
                  <c:v>-0.30521936398793847</c:v>
                </c:pt>
                <c:pt idx="6">
                  <c:v>-0.19969542244380148</c:v>
                </c:pt>
                <c:pt idx="7">
                  <c:v>-0.1136220932414279</c:v>
                </c:pt>
                <c:pt idx="8">
                  <c:v>8.1315622406624034E-3</c:v>
                </c:pt>
                <c:pt idx="9">
                  <c:v>0.10387210840305562</c:v>
                </c:pt>
                <c:pt idx="10">
                  <c:v>0.18309894010012959</c:v>
                </c:pt>
                <c:pt idx="11">
                  <c:v>0.250420002308894</c:v>
                </c:pt>
                <c:pt idx="12">
                  <c:v>0.30882043310995982</c:v>
                </c:pt>
                <c:pt idx="13">
                  <c:v>0.36331106563662507</c:v>
                </c:pt>
                <c:pt idx="14">
                  <c:v>0.52977672775918916</c:v>
                </c:pt>
                <c:pt idx="15">
                  <c:v>0.64993816722434572</c:v>
                </c:pt>
                <c:pt idx="16">
                  <c:v>0.74423820378745054</c:v>
                </c:pt>
                <c:pt idx="17">
                  <c:v>0.82225309857973272</c:v>
                </c:pt>
                <c:pt idx="18">
                  <c:v>0.90178514530359921</c:v>
                </c:pt>
                <c:pt idx="19">
                  <c:v>0.96937863225765353</c:v>
                </c:pt>
                <c:pt idx="20">
                  <c:v>1.0280952198517956</c:v>
                </c:pt>
                <c:pt idx="21">
                  <c:v>1.0799622734011203</c:v>
                </c:pt>
                <c:pt idx="22">
                  <c:v>1.1263002847678063</c:v>
                </c:pt>
                <c:pt idx="23">
                  <c:v>1.1684297117965816</c:v>
                </c:pt>
                <c:pt idx="24">
                  <c:v>1.2069013989399444</c:v>
                </c:pt>
                <c:pt idx="25">
                  <c:v>1.2423053345269253</c:v>
                </c:pt>
                <c:pt idx="26">
                  <c:v>1.2751569624849</c:v>
                </c:pt>
                <c:pt idx="27">
                  <c:v>1.3057210073997563</c:v>
                </c:pt>
                <c:pt idx="28">
                  <c:v>1.3342888487947249</c:v>
                </c:pt>
                <c:pt idx="29">
                  <c:v>1.3617297242503659</c:v>
                </c:pt>
                <c:pt idx="30">
                  <c:v>1.3958486304586739</c:v>
                </c:pt>
                <c:pt idx="31">
                  <c:v>1.4278040857794203</c:v>
                </c:pt>
                <c:pt idx="32">
                  <c:v>1.4577835262166188</c:v>
                </c:pt>
                <c:pt idx="33">
                  <c:v>1.4901537977399775</c:v>
                </c:pt>
                <c:pt idx="34">
                  <c:v>1.5202856642431348</c:v>
                </c:pt>
                <c:pt idx="35">
                  <c:v>1.5485171691467539</c:v>
                </c:pt>
                <c:pt idx="36">
                  <c:v>1.5752109450836147</c:v>
                </c:pt>
                <c:pt idx="37">
                  <c:v>1.6005176820283258</c:v>
                </c:pt>
                <c:pt idx="38">
                  <c:v>1.6247532714510351</c:v>
                </c:pt>
                <c:pt idx="39">
                  <c:v>1.6477202976254166</c:v>
                </c:pt>
                <c:pt idx="40">
                  <c:v>1.670726280710469</c:v>
                </c:pt>
                <c:pt idx="41">
                  <c:v>1.7256029449586245</c:v>
                </c:pt>
                <c:pt idx="42">
                  <c:v>1.7749510432078681</c:v>
                </c:pt>
                <c:pt idx="43">
                  <c:v>1.820913748746712</c:v>
                </c:pt>
                <c:pt idx="44">
                  <c:v>1.8625851231060024</c:v>
                </c:pt>
                <c:pt idx="45">
                  <c:v>1.9061496457850424</c:v>
                </c:pt>
                <c:pt idx="46">
                  <c:v>1.9457717960419774</c:v>
                </c:pt>
                <c:pt idx="47">
                  <c:v>1.9851730991642134</c:v>
                </c:pt>
                <c:pt idx="48">
                  <c:v>2.0213600879798692</c:v>
                </c:pt>
                <c:pt idx="49">
                  <c:v>2.0549235368666303</c:v>
                </c:pt>
                <c:pt idx="50">
                  <c:v>2.0860792285264766</c:v>
                </c:pt>
                <c:pt idx="51">
                  <c:v>2.1152975738111208</c:v>
                </c:pt>
                <c:pt idx="52">
                  <c:v>2.1454935024125787</c:v>
                </c:pt>
                <c:pt idx="53">
                  <c:v>2.1737560153357274</c:v>
                </c:pt>
                <c:pt idx="54">
                  <c:v>2.2004808623420731</c:v>
                </c:pt>
                <c:pt idx="55">
                  <c:v>2.2256596780239084</c:v>
                </c:pt>
                <c:pt idx="56">
                  <c:v>2.2496791182084257</c:v>
                </c:pt>
                <c:pt idx="57">
                  <c:v>2.2724413083038111</c:v>
                </c:pt>
                <c:pt idx="58">
                  <c:v>2.2972499971910048</c:v>
                </c:pt>
                <c:pt idx="59">
                  <c:v>2.3207372723851023</c:v>
                </c:pt>
                <c:pt idx="60">
                  <c:v>2.3457666725777093</c:v>
                </c:pt>
                <c:pt idx="61">
                  <c:v>2.3694377734382939</c:v>
                </c:pt>
                <c:pt idx="62">
                  <c:v>2.391917689384345</c:v>
                </c:pt>
                <c:pt idx="63">
                  <c:v>2.413324580199764</c:v>
                </c:pt>
                <c:pt idx="64">
                  <c:v>2.4337266422706914</c:v>
                </c:pt>
                <c:pt idx="65">
                  <c:v>2.4767405011307795</c:v>
                </c:pt>
                <c:pt idx="66">
                  <c:v>2.5160057009197305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43C-4C35-9502-47D71C8A9041}"/>
            </c:ext>
          </c:extLst>
        </c:ser>
        <c:ser>
          <c:idx val="12"/>
          <c:order val="12"/>
          <c:tx>
            <c:strRef>
              <c:f>'Sorting 2'!$AB$2</c:f>
              <c:strCache>
                <c:ptCount val="1"/>
                <c:pt idx="0">
                  <c:v>VB</c:v>
                </c:pt>
              </c:strCache>
              <c:extLst xmlns:c15="http://schemas.microsoft.com/office/drawing/2012/chart"/>
            </c:strRef>
          </c:tx>
          <c:spPr>
            <a:ln w="25400" cap="rnd" cmpd="sng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2'!$AB$3:$AB$69</c:f>
              <c:numCache>
                <c:formatCode>General</c:formatCode>
                <c:ptCount val="67"/>
                <c:pt idx="0">
                  <c:v>-1.853871964321762</c:v>
                </c:pt>
                <c:pt idx="1">
                  <c:v>-1.5287082889410615</c:v>
                </c:pt>
                <c:pt idx="2">
                  <c:v>-1.3448615651886178</c:v>
                </c:pt>
                <c:pt idx="3">
                  <c:v>-1.2160964207272651</c:v>
                </c:pt>
                <c:pt idx="4">
                  <c:v>-0.79805693659834975</c:v>
                </c:pt>
                <c:pt idx="5">
                  <c:v>-0.57609908147158329</c:v>
                </c:pt>
                <c:pt idx="6">
                  <c:v>-0.42805836492553762</c:v>
                </c:pt>
                <c:pt idx="7">
                  <c:v>-0.31596296251348022</c:v>
                </c:pt>
                <c:pt idx="8">
                  <c:v>-0.16551571466519474</c:v>
                </c:pt>
                <c:pt idx="9">
                  <c:v>-5.3253064966414985E-2</c:v>
                </c:pt>
                <c:pt idx="10">
                  <c:v>3.7784941753637502E-2</c:v>
                </c:pt>
                <c:pt idx="11">
                  <c:v>0.11404356254807743</c:v>
                </c:pt>
                <c:pt idx="12">
                  <c:v>0.1811286997472952</c:v>
                </c:pt>
                <c:pt idx="13">
                  <c:v>0.24350931262677519</c:v>
                </c:pt>
                <c:pt idx="14">
                  <c:v>0.33059638216484721</c:v>
                </c:pt>
                <c:pt idx="15">
                  <c:v>0.40337793172285979</c:v>
                </c:pt>
                <c:pt idx="16">
                  <c:v>0.4668676203541095</c:v>
                </c:pt>
                <c:pt idx="17">
                  <c:v>0.52326509546888855</c:v>
                </c:pt>
                <c:pt idx="18">
                  <c:v>0.57425125453992898</c:v>
                </c:pt>
                <c:pt idx="19">
                  <c:v>0.61988602935838721</c:v>
                </c:pt>
                <c:pt idx="20">
                  <c:v>0.66131092286161475</c:v>
                </c:pt>
                <c:pt idx="21">
                  <c:v>0.69967299213020784</c:v>
                </c:pt>
                <c:pt idx="22">
                  <c:v>0.7349277796470467</c:v>
                </c:pt>
                <c:pt idx="23">
                  <c:v>0.76810507917918758</c:v>
                </c:pt>
                <c:pt idx="24">
                  <c:v>0.79936122965081435</c:v>
                </c:pt>
                <c:pt idx="25">
                  <c:v>0.82871788450856987</c:v>
                </c:pt>
                <c:pt idx="26">
                  <c:v>0.85678324929424743</c:v>
                </c:pt>
                <c:pt idx="27">
                  <c:v>0.88323544739812643</c:v>
                </c:pt>
                <c:pt idx="28">
                  <c:v>0.90832950288986436</c:v>
                </c:pt>
                <c:pt idx="29">
                  <c:v>0.93213878229812031</c:v>
                </c:pt>
                <c:pt idx="30">
                  <c:v>0.96747309140414017</c:v>
                </c:pt>
                <c:pt idx="31">
                  <c:v>1.000351636136924</c:v>
                </c:pt>
                <c:pt idx="32">
                  <c:v>1.0323044080601236</c:v>
                </c:pt>
                <c:pt idx="33">
                  <c:v>1.0627135686805871</c:v>
                </c:pt>
                <c:pt idx="34">
                  <c:v>1.091241245918968</c:v>
                </c:pt>
                <c:pt idx="35">
                  <c:v>1.1191964832343131</c:v>
                </c:pt>
                <c:pt idx="36">
                  <c:v>1.1456531543155519</c:v>
                </c:pt>
                <c:pt idx="37">
                  <c:v>1.1710034903685986</c:v>
                </c:pt>
                <c:pt idx="38">
                  <c:v>1.1949997033720086</c:v>
                </c:pt>
                <c:pt idx="39">
                  <c:v>1.2198280609760699</c:v>
                </c:pt>
                <c:pt idx="40">
                  <c:v>1.245594090396378</c:v>
                </c:pt>
                <c:pt idx="41">
                  <c:v>1.2926060248540643</c:v>
                </c:pt>
                <c:pt idx="42">
                  <c:v>1.3423950430212366</c:v>
                </c:pt>
                <c:pt idx="43">
                  <c:v>1.4570882440899415</c:v>
                </c:pt>
                <c:pt idx="44">
                  <c:v>1.5479616701270538</c:v>
                </c:pt>
                <c:pt idx="45">
                  <c:v>1.633515922382377</c:v>
                </c:pt>
                <c:pt idx="46">
                  <c:v>1.7050139554682213</c:v>
                </c:pt>
                <c:pt idx="47">
                  <c:v>1.771206663304618</c:v>
                </c:pt>
                <c:pt idx="48">
                  <c:v>1.8289555542822626</c:v>
                </c:pt>
                <c:pt idx="49">
                  <c:v>1.8801599445884523</c:v>
                </c:pt>
                <c:pt idx="50">
                  <c:v>1.9259604700383806</c:v>
                </c:pt>
                <c:pt idx="51">
                  <c:v>1.967597580298728</c:v>
                </c:pt>
                <c:pt idx="52">
                  <c:v>2.0094517456892165</c:v>
                </c:pt>
                <c:pt idx="53">
                  <c:v>2.0476649729063858</c:v>
                </c:pt>
                <c:pt idx="54">
                  <c:v>2.0830347488405652</c:v>
                </c:pt>
                <c:pt idx="55">
                  <c:v>2.1157442737409129</c:v>
                </c:pt>
                <c:pt idx="56">
                  <c:v>2.1464418551369264</c:v>
                </c:pt>
                <c:pt idx="57">
                  <c:v>2.1751144464221452</c:v>
                </c:pt>
                <c:pt idx="58">
                  <c:v>2.2059385778984475</c:v>
                </c:pt>
                <c:pt idx="59">
                  <c:v>2.2347429770017775</c:v>
                </c:pt>
                <c:pt idx="60">
                  <c:v>2.2650658193088997</c:v>
                </c:pt>
                <c:pt idx="61">
                  <c:v>2.2934160370490488</c:v>
                </c:pt>
                <c:pt idx="62">
                  <c:v>2.3200669006301085</c:v>
                </c:pt>
                <c:pt idx="63">
                  <c:v>2.3452156695862443</c:v>
                </c:pt>
                <c:pt idx="64">
                  <c:v>2.3689886285545718</c:v>
                </c:pt>
                <c:pt idx="65">
                  <c:v>2.4100247041840777</c:v>
                </c:pt>
                <c:pt idx="66">
                  <c:v>2.4476537746316533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743C-4C35-9502-47D71C8A9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/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2F56A7-C436-4A1F-B1B9-3ACD06E06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27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3A2CDB-3317-4719-9AA2-5A75D94DC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13</xdr:col>
      <xdr:colOff>0</xdr:colOff>
      <xdr:row>55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53320E-BB0B-42B7-A665-E3722EA9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26</xdr:col>
      <xdr:colOff>0</xdr:colOff>
      <xdr:row>55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075B5A-D9A9-47FA-9986-E86A67D4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13</xdr:col>
      <xdr:colOff>0</xdr:colOff>
      <xdr:row>83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F35C73-C33E-419B-BFC2-8B8B37B7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26</xdr:col>
      <xdr:colOff>0</xdr:colOff>
      <xdr:row>83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FA2D355-19DD-4F4D-A381-5A7CA1E83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605117</xdr:colOff>
      <xdr:row>27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91825-372D-4721-BF8D-87A6B6041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CAE8A5-25FF-4C8E-953D-92443DD21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37</xdr:col>
      <xdr:colOff>605117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9F0D7D-131D-413B-A882-6FC05FCD1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605117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2B90BE-BDF3-4A63-91C9-FDD138C9B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49E3F4-3EA2-42CA-B230-17BD941DA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11</xdr:col>
      <xdr:colOff>605117</xdr:colOff>
      <xdr:row>55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450EBA-323C-4971-90BE-8F9A34C3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25</xdr:col>
      <xdr:colOff>0</xdr:colOff>
      <xdr:row>55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8510FC-3839-4BF9-8943-2FBE6923C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605117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3E36-80A9-423B-9F87-6A74AC8DF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24</xdr:col>
      <xdr:colOff>605117</xdr:colOff>
      <xdr:row>27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558C16-3319-41D4-8718-1CADAD789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11</xdr:col>
      <xdr:colOff>605117</xdr:colOff>
      <xdr:row>55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800703-85BF-468A-9545-35C4E9A6E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24</xdr:col>
      <xdr:colOff>605117</xdr:colOff>
      <xdr:row>55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BADC6C3-EBD4-4724-A7FC-95D82CE3A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11</xdr:col>
      <xdr:colOff>605117</xdr:colOff>
      <xdr:row>83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13BFC0-77C8-4AC4-B4A9-D17F22E39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in Lee" refreshedDate="45960.068222569447" createdVersion="8" refreshedVersion="8" minRefreshableVersion="3" recordCount="67" xr:uid="{F415005F-6C25-4F52-B7AB-AF7181D1BC04}">
  <cacheSource type="worksheet">
    <worksheetSource ref="A2:M69" sheet="Meta"/>
  </cacheSource>
  <cacheFields count="13">
    <cacheField name="File" numFmtId="0">
      <sharedItems containsSemiMixedTypes="0" containsString="0" containsNumber="1" containsInteger="1" minValue="17" maxValue="132" count="67">
        <n v="17"/>
        <n v="19"/>
        <n v="20"/>
        <n v="22"/>
        <n v="23"/>
        <n v="25"/>
        <n v="26"/>
        <n v="27"/>
        <n v="28"/>
        <n v="29"/>
        <n v="30"/>
        <n v="31"/>
        <n v="32"/>
        <n v="33"/>
        <n v="34"/>
        <n v="36"/>
        <n v="38"/>
        <n v="40"/>
        <n v="41"/>
        <n v="43"/>
        <n v="45"/>
        <n v="46"/>
        <n v="48"/>
        <n v="49"/>
        <n v="67"/>
        <n v="69"/>
        <n v="70"/>
        <n v="72"/>
        <n v="73"/>
        <n v="75"/>
        <n v="76"/>
        <n v="77"/>
        <n v="78"/>
        <n v="79"/>
        <n v="80"/>
        <n v="81"/>
        <n v="82"/>
        <n v="83"/>
        <n v="84"/>
        <n v="86"/>
        <n v="88"/>
        <n v="90"/>
        <n v="92"/>
        <n v="93"/>
        <n v="94"/>
        <n v="96"/>
        <n v="98"/>
        <n v="99"/>
        <n v="101"/>
        <n v="103"/>
        <n v="105"/>
        <n v="106"/>
        <n v="108"/>
        <n v="109"/>
        <n v="112"/>
        <n v="114"/>
        <n v="115"/>
        <n v="118"/>
        <n v="119"/>
        <n v="121"/>
        <n v="123"/>
        <n v="125"/>
        <n v="126"/>
        <n v="128"/>
        <n v="129"/>
        <n v="131"/>
        <n v="132"/>
      </sharedItems>
    </cacheField>
    <cacheField name="RC1" numFmtId="165">
      <sharedItems containsMixedTypes="1" containsNumber="1" minValue="1.5599999999999999E-2" maxValue="391.2953" count="87">
        <n v="0.22839999999999999"/>
        <n v="0.2208"/>
        <n v="0.4274"/>
        <n v="0.42799999999999999"/>
        <n v="0.41470000000000001"/>
        <n v="16.6554"/>
        <n v="1.66E-2"/>
        <n v="16.904699999999998"/>
        <n v="16.2376"/>
        <n v="16.169799999999999"/>
        <n v="16.358699999999999"/>
        <n v="1.61E-2"/>
        <n v="16.254300000000001"/>
        <n v="16.183199999999999"/>
        <n v="16.210899999999999"/>
        <n v="46.563800000000001"/>
        <n v="46.436399999999999"/>
        <n v="43.8675"/>
        <n v="44.006700000000002"/>
        <n v="46.583500000000001"/>
        <s v="TIME OUT"/>
        <n v="0.20930000000000001"/>
        <n v="0.39989999999999998"/>
        <n v="0.40010000000000001"/>
        <n v="0.39860000000000001"/>
        <n v="16.161799999999999"/>
        <n v="1.72E-2"/>
        <n v="16.0929"/>
        <n v="16.047999999999998"/>
        <n v="16.0458"/>
        <n v="16.108699999999999"/>
        <n v="16.247499999999999"/>
        <n v="16.0913"/>
        <n v="16.042899999999999"/>
        <n v="149.89930000000001"/>
        <n v="151.25280000000001"/>
        <n v="139.72909999999999"/>
        <n v="139.6566"/>
        <n v="139.94110000000001"/>
        <n v="245.60929999999999"/>
        <n v="246.70349999999999"/>
        <n v="246.68190000000001"/>
        <n v="151.83189999999999"/>
        <s v="ERROR: invalid subscript selector"/>
        <n v="219.36670000000001"/>
        <n v="0.22969999999999999" u="1"/>
        <n v="0.2218" u="1"/>
        <n v="0.43430000000000002" u="1"/>
        <n v="0.43130000000000002" u="1"/>
        <n v="0.41880000000000001" u="1"/>
        <n v="20.284300000000002" u="1"/>
        <n v="1.7100000000000001E-2" u="1"/>
        <n v="20.5609" u="1"/>
        <n v="19.915700000000001" u="1"/>
        <n v="19.840599999999998" u="1"/>
        <n v="19.968699999999998" u="1"/>
        <n v="1.5599999999999999E-2" u="1"/>
        <n v="19.851500000000001" u="1"/>
        <n v="19.842199999999998" u="1"/>
        <n v="19.9328" u="1"/>
        <n v="59.964100000000002" u="1"/>
        <n v="60.164000000000001" u="1"/>
        <n v="56.7532" u="1"/>
        <n v="56.75" u="1"/>
        <n v="59.696899999999999" u="1"/>
        <n v="0.21249999999999999" u="1"/>
        <n v="0.2109" u="1"/>
        <n v="0.4078" u="1"/>
        <n v="0.4047" u="1"/>
        <n v="19.8735" u="1"/>
        <n v="19.760999999999999" u="1"/>
        <n v="19.6157" u="1"/>
        <n v="19.698399999999999" u="1"/>
        <n v="19.732800000000001" u="1"/>
        <n v="19.848500000000001" u="1"/>
        <n v="19.6891" u="1"/>
        <n v="19.653099999999998" u="1"/>
        <n v="201.12970000000001" u="1"/>
        <n v="208.05629999999999" u="1"/>
        <n v="195.1797" u="1"/>
        <n v="190.31720000000001" u="1"/>
        <n v="190.4641" u="1"/>
        <n v="387.66559999999998" u="1"/>
        <n v="391.2953" u="1"/>
        <n v="391.1157" u="1"/>
        <n v="207.6609" u="1"/>
        <n v="323.47500000000002" u="1"/>
      </sharedItems>
    </cacheField>
    <cacheField name="RC2" numFmtId="165">
      <sharedItems containsMixedTypes="1" containsNumber="1" minValue="1.5599999999999999E-2" maxValue="229.31569999999999" count="61">
        <n v="0.25069999999999998"/>
        <n v="0.25"/>
        <n v="0.43130000000000002"/>
        <n v="0.43440000000000001"/>
        <n v="0.41410000000000002"/>
        <n v="19.1234"/>
        <n v="1.5599999999999999E-2"/>
        <n v="18.984400000000001"/>
        <n v="18.948399999999999"/>
        <n v="19.459399999999999"/>
        <n v="18.762499999999999"/>
        <n v="1.7100000000000001E-2"/>
        <n v="18.778199999999998"/>
        <n v="18.853100000000001"/>
        <n v="18.848400000000002"/>
        <n v="52.676600000000001"/>
        <n v="52.171900000000001"/>
        <n v="51.151600000000002"/>
        <n v="52.378100000000003"/>
        <n v="51.610900000000001"/>
        <n v="82.393799999999999"/>
        <n v="23.1812"/>
        <n v="81.595299999999995"/>
        <n v="22.464099999999998"/>
        <n v="0.21410000000000001"/>
        <n v="0.21560000000000001"/>
        <n v="0.40629999999999999"/>
        <n v="0.40160000000000001"/>
        <n v="0.40460000000000002"/>
        <n v="18.643699999999999"/>
        <n v="18.664000000000001"/>
        <n v="18.834299999999999"/>
        <n v="18.654699999999998"/>
        <n v="18.638999999999999"/>
        <n v="18.7484"/>
        <n v="18.8703"/>
        <n v="18.604700000000001"/>
        <n v="81.003100000000003"/>
        <n v="80.671899999999994"/>
        <n v="80.082800000000006"/>
        <n v="81.174999999999997"/>
        <n v="80.6203"/>
        <n v="147.45779999999999"/>
        <n v="149.33279999999999"/>
        <n v="147.56870000000001"/>
        <n v="148.6328"/>
        <n v="145.9829"/>
        <n v="81.114099999999993"/>
        <n v="219.52969999999999"/>
        <n v="91.573400000000007"/>
        <n v="224.70939999999999"/>
        <n v="224.75620000000001"/>
        <n v="89.335899999999995"/>
        <n v="225.1266"/>
        <n v="229.31569999999999"/>
        <s v="TIME OUT"/>
        <n v="221.3562"/>
        <n v="129.63749999999999"/>
        <n v="45.85"/>
        <n v="132.69059999999999"/>
        <n v="45.831299999999999"/>
      </sharedItems>
    </cacheField>
    <cacheField name="RC3" numFmtId="165">
      <sharedItems containsSemiMixedTypes="0" containsString="0" containsNumber="1" minValue="1.5599999999999999E-2" maxValue="23.265599999999999" count="64">
        <n v="0.25009999999999999"/>
        <n v="0.25319999999999998"/>
        <n v="0.45619999999999999"/>
        <n v="0.57189999999999996"/>
        <n v="0.43440000000000001"/>
        <n v="5.2766000000000002"/>
        <n v="1.5599999999999999E-2"/>
        <n v="5.0484999999999998"/>
        <n v="3.9468999999999999"/>
        <n v="3.8984000000000001"/>
        <n v="5.1265999999999998"/>
        <n v="5.0843999999999996"/>
        <n v="5.0233999999999996"/>
        <n v="5.0734000000000004"/>
        <n v="6.9813000000000001"/>
        <n v="6.9733999999999998"/>
        <n v="8.6187000000000005"/>
        <n v="8.4421999999999997"/>
        <n v="6.8061999999999996"/>
        <n v="18.278199999999998"/>
        <n v="7.5688000000000004"/>
        <n v="18.259399999999999"/>
        <n v="7.5968"/>
        <n v="0.21870000000000001"/>
        <n v="0.2172"/>
        <n v="0.40620000000000001"/>
        <n v="0.4078"/>
        <n v="0.40629999999999999"/>
        <n v="4.9936999999999996"/>
        <n v="1.72E-2"/>
        <n v="5.0250000000000004"/>
        <n v="3.9171999999999998"/>
        <n v="3.9108999999999998"/>
        <n v="4.9859999999999998"/>
        <n v="5.0719000000000003"/>
        <n v="5.0141"/>
        <n v="5"/>
        <n v="6.8563000000000001"/>
        <n v="6.7718999999999996"/>
        <n v="6.6718999999999999"/>
        <n v="6.8562000000000003"/>
        <n v="6.6952999999999996"/>
        <n v="9.0124999999999993"/>
        <n v="9.1531000000000002"/>
        <n v="9.2015999999999991"/>
        <n v="9.1219000000000001"/>
        <n v="9.2453000000000003"/>
        <n v="10.1829"/>
        <n v="7.0171999999999999"/>
        <n v="10.0625"/>
        <n v="10.198399999999999"/>
        <n v="7.0781999999999998"/>
        <n v="10.3344"/>
        <n v="10.390599999999999"/>
        <n v="13.446899999999999"/>
        <n v="10.1172"/>
        <n v="13.5313"/>
        <n v="13.6625"/>
        <n v="13.4984"/>
        <n v="13.607799999999999"/>
        <n v="23.176600000000001"/>
        <n v="11.5985"/>
        <n v="23.265599999999999"/>
        <n v="11.4953"/>
      </sharedItems>
    </cacheField>
    <cacheField name="RC4" numFmtId="165">
      <sharedItems containsMixedTypes="1" containsNumber="1" minValue="1.5599999999999999E-2" maxValue="351.2672" count="80">
        <n v="0.1099"/>
        <n v="0.10780000000000001"/>
        <n v="0.2344"/>
        <n v="0.2094"/>
        <n v="0.20630000000000001"/>
        <n v="0.5141"/>
        <n v="1.5599999999999999E-2"/>
        <n v="0.48280000000000001"/>
        <n v="0.62339999999999995"/>
        <n v="0.48749999999999999"/>
        <n v="0.50470000000000004"/>
        <n v="0.4703"/>
        <n v="0.52810000000000001"/>
        <n v="0.51090000000000002"/>
        <n v="1.0046999999999999"/>
        <n v="0.95630000000000004"/>
        <n v="0.8609"/>
        <n v="0.87660000000000005"/>
        <n v="0.9516"/>
        <n v="3.5531999999999999"/>
        <n v="2.0186999999999999"/>
        <n v="3.5297000000000001"/>
        <n v="1.9328000000000001"/>
        <n v="0.1062"/>
        <n v="9.8400000000000001E-2"/>
        <n v="0.2172"/>
        <n v="0.20150000000000001"/>
        <n v="0.2"/>
        <n v="0.4546"/>
        <n v="0.50929999999999997"/>
        <n v="0.4859"/>
        <n v="0.5"/>
        <n v="0.4718"/>
        <n v="0.52029999999999998"/>
        <n v="0.49840000000000001"/>
        <n v="1.4234"/>
        <n v="1.3514999999999999"/>
        <n v="1.2546999999999999"/>
        <s v="ERROR"/>
        <n v="1.2797000000000001"/>
        <s v="TIME OUT"/>
        <n v="220.12190000000001"/>
        <n v="347.6078"/>
        <n v="347.08280000000002"/>
        <n v="0.1132" u="1"/>
        <n v="0.10150000000000001" u="1"/>
        <n v="0.23430000000000001" u="1"/>
        <n v="0.21249999999999999" u="1"/>
        <n v="0.49690000000000001" u="1"/>
        <n v="0.46870000000000001" u="1"/>
        <n v="0.55779999999999996" u="1"/>
        <n v="0.50790000000000002" u="1"/>
        <n v="1.72E-2" u="1"/>
        <n v="0.47499999999999998" u="1"/>
        <n v="0.52969999999999995" u="1"/>
        <n v="0.52500000000000002" u="1"/>
        <n v="1.0203" u="1"/>
        <n v="0.94679999999999997" u="1"/>
        <n v="0.87809999999999999" u="1"/>
        <n v="0.8891" u="1"/>
        <n v="0.95779999999999998" u="1"/>
        <n v="3.5954000000000002" u="1"/>
        <n v="2.0171999999999999" u="1"/>
        <n v="3.5703" u="1"/>
        <n v="1.9218999999999999" u="1"/>
        <n v="0.21410000000000001" u="1"/>
        <n v="0.49680000000000002" u="1"/>
        <n v="1.5699999999999999E-2" u="1"/>
        <n v="0.46560000000000001" u="1"/>
        <n v="0.49220000000000003" u="1"/>
        <n v="0.53120000000000001" u="1"/>
        <n v="0.50780000000000003" u="1"/>
        <n v="1.4313" u="1"/>
        <n v="1.3593999999999999" u="1"/>
        <n v="1.2672000000000001" u="1"/>
        <n v="198.32660000000001" u="1"/>
        <n v="1.2781" u="1"/>
        <n v="220.15780000000001" u="1"/>
        <n v="351.2672" u="1"/>
        <n v="349.63749999999999" u="1"/>
      </sharedItems>
    </cacheField>
    <cacheField name="RC5" numFmtId="165">
      <sharedItems containsMixedTypes="1" containsNumber="1" minValue="1.5599999999999999E-2" maxValue="239.2594" count="117">
        <n v="0.1769"/>
        <n v="0.16569999999999999"/>
        <n v="0.35470000000000002"/>
        <n v="0.33589999999999998"/>
        <n v="0.35149999999999998"/>
        <n v="0.41560000000000002"/>
        <n v="1.5599999999999999E-2"/>
        <n v="0.38900000000000001"/>
        <n v="0.43120000000000003"/>
        <n v="0.375"/>
        <n v="0.41570000000000001"/>
        <n v="0.4375"/>
        <n v="0.42349999999999999"/>
        <n v="0.45"/>
        <n v="0.7641"/>
        <n v="0.72970000000000002"/>
        <n v="0.78129999999999999"/>
        <n v="0.78439999999999999"/>
        <n v="0.72499999999999998"/>
        <n v="2.0125000000000002"/>
        <n v="0.92179999999999995"/>
        <n v="2.3828"/>
        <n v="1.014"/>
        <n v="0.2079"/>
        <n v="0.1938"/>
        <n v="0.3735"/>
        <n v="0.35620000000000002"/>
        <n v="0.3906"/>
        <n v="0.4516"/>
        <n v="1.8700000000000001E-2"/>
        <n v="0.39850000000000002"/>
        <n v="0.45629999999999998"/>
        <n v="0.41710000000000003"/>
        <n v="0.40629999999999999"/>
        <n v="0.4546"/>
        <n v="0.4234"/>
        <n v="0.44059999999999999"/>
        <n v="0.84060000000000001"/>
        <n v="0.82650000000000001"/>
        <n v="0.82030000000000003"/>
        <n v="89.751599999999996"/>
        <n v="0.84219999999999995"/>
        <n v="160.2047"/>
        <n v="162.71719999999999"/>
        <n v="165.28899999999999"/>
        <n v="172.94380000000001"/>
        <n v="163.13749999999999"/>
        <n v="91.165599999999998"/>
        <n v="236.76560000000001"/>
        <n v="98.334299999999999"/>
        <n v="237.3"/>
        <n v="235.5609"/>
        <n v="98.498500000000007"/>
        <n v="238.19069999999999"/>
        <n v="238.64529999999999"/>
        <s v="TIME OUT"/>
        <n v="238.6078"/>
        <n v="144.62809999999999"/>
        <n v="52.426600000000001"/>
        <n v="146.17339999999999"/>
        <n v="51.774999999999999"/>
        <n v="0.16800000000000001" u="1"/>
        <n v="0.15790000000000001" u="1"/>
        <n v="0.33900000000000002" u="1"/>
        <n v="0.32029999999999997" u="1"/>
        <n v="0.33439999999999998" u="1"/>
        <n v="0.4047" u="1"/>
        <n v="1.72E-2" u="1"/>
        <n v="0.3594" u="1"/>
        <n v="0.42649999999999999" u="1"/>
        <n v="0.37809999999999999" u="1"/>
        <n v="0.41880000000000001" u="1"/>
        <n v="0.44069999999999998" u="1"/>
        <n v="0.43590000000000001" u="1"/>
        <n v="0.45619999999999999" u="1"/>
        <n v="0.77969999999999995" u="1"/>
        <n v="0.75" u="1"/>
        <n v="0.81089999999999995" u="1"/>
        <n v="0.83589999999999998" u="1"/>
        <n v="0.74219999999999997" u="1"/>
        <n v="2.0282" u="1"/>
        <n v="0.92500000000000004" u="1"/>
        <n v="1.9937" u="1"/>
        <n v="0.92659999999999998" u="1"/>
        <n v="0.16869999999999999" u="1"/>
        <n v="0.161" u="1"/>
        <n v="0.33750000000000002" u="1"/>
        <n v="0.31559999999999999" u="1"/>
        <n v="0.4" u="1"/>
        <n v="0.436" u="1"/>
        <n v="0.38750000000000001" u="1"/>
        <n v="0.42820000000000003" u="1"/>
        <n v="0.45150000000000001" u="1"/>
        <n v="0.45939999999999998" u="1"/>
        <n v="0.52969999999999995" u="1"/>
        <n v="1.0485" u="1"/>
        <n v="0.93289999999999995" u="1"/>
        <n v="0.96250000000000002" u="1"/>
        <n v="89.75" u="1"/>
        <n v="0.84530000000000005" u="1"/>
        <n v="161.35" u="1"/>
        <n v="163.3391" u="1"/>
        <n v="162.67500000000001" u="1"/>
        <n v="172.8844" u="1"/>
        <n v="162.33590000000001" u="1"/>
        <n v="88.695300000000003" u="1"/>
        <n v="238.25309999999999" u="1"/>
        <n v="98.603099999999998" u="1"/>
        <n v="239.2594" u="1"/>
        <n v="236.011" u="1"/>
        <n v="99.231200000000001" u="1"/>
        <n v="238.71559999999999" u="1"/>
        <n v="239.13900000000001" u="1"/>
        <n v="145.38120000000001" u="1"/>
        <n v="53.045299999999997" u="1"/>
        <n v="146.3047" u="1"/>
        <n v="51.718699999999998" u="1"/>
      </sharedItems>
    </cacheField>
    <cacheField name="RC6" numFmtId="165">
      <sharedItems containsSemiMixedTypes="0" containsString="0" containsNumber="1" minValue="1.4E-2" maxValue="28.548500000000001" count="125">
        <n v="0.16950000000000001"/>
        <n v="0.16569999999999999"/>
        <n v="0.35149999999999998"/>
        <n v="0.31869999999999998"/>
        <n v="0.35780000000000001"/>
        <n v="0.77500000000000002"/>
        <n v="1.72E-2"/>
        <n v="0.76559999999999995"/>
        <n v="0.67349999999999999"/>
        <n v="0.58120000000000005"/>
        <n v="0.77180000000000004"/>
        <n v="1.4E-2"/>
        <n v="0.83279999999999998"/>
        <n v="0.8125"/>
        <n v="0.85"/>
        <n v="1.1780999999999999"/>
        <n v="1.1561999999999999"/>
        <n v="1.3641000000000001"/>
        <n v="1.3953"/>
        <n v="1.1313"/>
        <n v="3.0125000000000002"/>
        <n v="1.4672000000000001"/>
        <n v="3.2046999999999999"/>
        <n v="1.325"/>
        <n v="0.16880000000000001"/>
        <n v="0.15629999999999999"/>
        <n v="0.33439999999999998"/>
        <n v="0.31409999999999999"/>
        <n v="0.33279999999999998"/>
        <n v="0.76249999999999996"/>
        <n v="1.5599999999999999E-2"/>
        <n v="0.74529999999999996"/>
        <n v="0.66869999999999996"/>
        <n v="0.58599999999999997"/>
        <n v="0.75780000000000003"/>
        <n v="0.83289999999999997"/>
        <n v="0.80779999999999996"/>
        <n v="0.85940000000000005"/>
        <n v="1.3514999999999999"/>
        <n v="1.3812"/>
        <n v="1.3531"/>
        <n v="8.3000000000000007"/>
        <n v="1.4016"/>
        <n v="11.324999999999999"/>
        <n v="11.112500000000001"/>
        <n v="11.6203"/>
        <n v="12.953200000000001"/>
        <n v="11.2844"/>
        <n v="8.3234999999999992"/>
        <n v="12.267200000000001"/>
        <n v="8.7608999999999995"/>
        <n v="12.4125"/>
        <n v="12.2218"/>
        <n v="8.6593999999999998"/>
        <n v="12.323399999999999"/>
        <n v="12.259399999999999"/>
        <n v="16.587499999999999"/>
        <n v="12.2437"/>
        <n v="16.5656"/>
        <n v="16.423500000000001"/>
        <n v="16.473400000000002"/>
        <n v="16.476600000000001"/>
        <n v="28.548500000000001"/>
        <n v="14.3453"/>
        <n v="28.263999999999999"/>
        <n v="14.3985"/>
        <n v="0.21429999999999999" u="1"/>
        <n v="0.17349999999999999" u="1"/>
        <n v="0.36559999999999998" u="1"/>
        <n v="0.32190000000000002" u="1"/>
        <n v="0.7641" u="1"/>
        <n v="0.75629999999999997" u="1"/>
        <n v="0.60309999999999997" u="1"/>
        <n v="0.81869999999999998" u="1"/>
        <n v="0.84219999999999995" u="1"/>
        <n v="0.86250000000000004" u="1"/>
        <n v="1.1781999999999999" u="1"/>
        <n v="1.1953" u="1"/>
        <n v="1.3484" u="1"/>
        <n v="1.4172" u="1"/>
        <n v="1.1234999999999999" u="1"/>
        <n v="3.0640000000000001" u="1"/>
        <n v="1.3515999999999999" u="1"/>
        <n v="3.2906" u="1"/>
        <n v="1.3391" u="1"/>
        <n v="0.16719999999999999" u="1"/>
        <n v="0.161" u="1"/>
        <n v="0.33910000000000001" u="1"/>
        <n v="0.33589999999999998" u="1"/>
        <n v="0.76570000000000005" u="1"/>
        <n v="0.75149999999999995" u="1"/>
        <n v="0.6734" u="1"/>
        <n v="0.58440000000000003" u="1"/>
        <n v="0.78590000000000004" u="1"/>
        <n v="0.83440000000000003" u="1"/>
        <n v="0.80930000000000002" u="1"/>
        <n v="0.87029999999999996" u="1"/>
        <n v="1.3766" u="1"/>
        <n v="1.4188000000000001" u="1"/>
        <n v="1.3969" u="1"/>
        <n v="8.3233999999999995" u="1"/>
        <n v="1.4157" u="1"/>
        <n v="11.178100000000001" u="1"/>
        <n v="11.1656" u="1"/>
        <n v="11.2719" u="1"/>
        <n v="13.585900000000001" u="1"/>
        <n v="11.204700000000001" u="1"/>
        <n v="8.3452999999999999" u="1"/>
        <n v="12.4437" u="1"/>
        <n v="8.7109000000000005" u="1"/>
        <n v="12.5953" u="1"/>
        <n v="12.546900000000001" u="1"/>
        <n v="8.7375000000000007" u="1"/>
        <n v="12.454700000000001" u="1"/>
        <n v="12.482900000000001" u="1"/>
        <n v="16.659400000000002" u="1"/>
        <n v="12.5344" u="1"/>
        <n v="16.964099999999998" u="1"/>
        <n v="16.221900000000002" u="1"/>
        <n v="16.667200000000001" u="1"/>
        <n v="16.542100000000001" u="1"/>
        <n v="28.482800000000001" u="1"/>
        <n v="14.107799999999999" u="1"/>
        <n v="28.487500000000001" u="1"/>
        <n v="14.134399999999999" u="1"/>
      </sharedItems>
    </cacheField>
    <cacheField name="QE1" numFmtId="165">
      <sharedItems containsMixedTypes="1" containsNumber="1" minValue="4.8500000000000001E-2" maxValue="0.37990000000000002" count="16">
        <n v="0.21640000000000001"/>
        <n v="0.2109"/>
        <n v="0.37990000000000002"/>
        <n v="0.36480000000000001"/>
        <n v="0.36249999999999999"/>
        <s v="TIME OUT"/>
        <n v="4.8599999999999997E-2"/>
        <n v="4.9099999999999998E-2"/>
        <s v="ERROR: reducible RootOf detected. Substitutions are %1"/>
        <n v="0.2014"/>
        <n v="0.1986"/>
        <n v="0.34839999999999999"/>
        <n v="0.34370000000000001"/>
        <n v="4.8500000000000001E-2"/>
        <n v="0.05"/>
        <s v="ERROR: attempt to refine root to target precision %1 failed with last working precision %2"/>
      </sharedItems>
    </cacheField>
    <cacheField name="QE2" numFmtId="165">
      <sharedItems containsMixedTypes="1" containsNumber="1" minValue="4.8500000000000001E-2" maxValue="156.52440000000001" count="21">
        <n v="0.1401"/>
        <n v="0.12470000000000001"/>
        <n v="0.24709999999999999"/>
        <n v="0.23350000000000001"/>
        <n v="0.23419999999999999"/>
        <s v="ERROR: reducible RootOf detected. Substitutions are %1"/>
        <n v="5.1299999999999998E-2"/>
        <n v="5.0900000000000001E-2"/>
        <s v="TIME OUT"/>
        <n v="101.4207"/>
        <n v="101.00069999999999"/>
        <n v="0.1234"/>
        <n v="0.12180000000000001"/>
        <n v="0.22650000000000001"/>
        <n v="0.22670000000000001"/>
        <n v="4.8500000000000001E-2"/>
        <n v="0.05"/>
        <n v="156.52440000000001"/>
        <n v="45.384900000000002"/>
        <n v="155.61779999999999"/>
        <n v="43.664400000000001"/>
      </sharedItems>
    </cacheField>
    <cacheField name="QE3" numFmtId="165">
      <sharedItems containsMixedTypes="1" containsNumber="1" minValue="4.8399999999999999E-2" maxValue="28.3124" count="66">
        <n v="0.13869999999999999"/>
        <n v="0.1447"/>
        <n v="0.26960000000000001"/>
        <n v="0.24690000000000001"/>
        <n v="0.23749999999999999"/>
        <n v="4.7055999999999996"/>
        <n v="5.04E-2"/>
        <n v="4.6288999999999998"/>
        <n v="3.6352000000000002"/>
        <n v="3.6734"/>
        <n v="4.6417999999999999"/>
        <n v="4.9000000000000002E-2"/>
        <n v="5.1158000000000001"/>
        <n v="4.6025999999999998"/>
        <n v="4.5865999999999998"/>
        <n v="6.8158000000000003"/>
        <n v="6.76"/>
        <n v="7.9222999999999999"/>
        <n v="7.8570000000000002"/>
        <n v="6.6997"/>
        <s v="TIME OUT"/>
        <n v="7.2263999999999999"/>
        <n v="7.2660999999999998"/>
        <n v="0.1231"/>
        <n v="0.1227"/>
        <n v="0.23139999999999999"/>
        <n v="0.23069999999999999"/>
        <n v="0.23039999999999999"/>
        <n v="4.6749999999999998"/>
        <n v="4.9599999999999998E-2"/>
        <n v="4.5999999999999996"/>
        <n v="3.5829"/>
        <n v="3.5928"/>
        <n v="4.6401000000000003"/>
        <n v="4.8399999999999999E-2"/>
        <n v="4.6154000000000002"/>
        <n v="4.6714000000000002"/>
        <n v="4.5602"/>
        <n v="6.4634999999999998"/>
        <n v="6.3517000000000001"/>
        <n v="6.3533999999999997"/>
        <n v="6.3613"/>
        <n v="6.4455999999999998"/>
        <n v="8.3475000000000001"/>
        <n v="8.4602000000000004"/>
        <n v="8.3442000000000007"/>
        <n v="8.3064"/>
        <n v="8.4065999999999992"/>
        <n v="6.3909000000000002"/>
        <n v="9.5449000000000002"/>
        <n v="6.5505000000000004"/>
        <n v="9.4285999999999994"/>
        <n v="9.4770000000000003"/>
        <n v="6.5331999999999999"/>
        <n v="9.6237999999999992"/>
        <n v="9.5645000000000007"/>
        <n v="12.510199999999999"/>
        <n v="9.4536999999999995"/>
        <n v="12.557"/>
        <n v="12.6286"/>
        <n v="12.424300000000001"/>
        <n v="12.3704"/>
        <n v="28.084299999999999"/>
        <n v="10.9787"/>
        <n v="28.3124"/>
        <n v="10.992699999999999"/>
      </sharedItems>
    </cacheField>
    <cacheField name="QE4" numFmtId="165">
      <sharedItems containsMixedTypes="1" containsNumber="1" minValue="5.4600000000000003E-2" maxValue="0.37990000000000002" count="31">
        <n v="0.21679999999999999"/>
        <n v="0.2233"/>
        <n v="0.37040000000000001"/>
        <n v="0.37990000000000002"/>
        <n v="0.36470000000000002"/>
        <s v="TIME OUT"/>
        <n v="5.5800000000000002E-2"/>
        <n v="5.5100000000000003E-2"/>
        <s v="ERROR: reducible RootOf detected. Substitutions are %1"/>
        <n v="0.2"/>
        <n v="0.2016"/>
        <n v="0.34839999999999999"/>
        <n v="0.34849999999999998"/>
        <n v="0.3468"/>
        <n v="5.4600000000000003E-2"/>
        <n v="5.57E-2"/>
        <s v="ERROR: attempt to refine root to target precision %1 failed with last working precision %2"/>
        <n v="0.2082" u="1"/>
        <n v="0.23" u="1"/>
        <n v="0.37890000000000001" u="1"/>
        <n v="0.36749999999999999" u="1"/>
        <n v="0.36549999999999999" u="1"/>
        <n v="5.7000000000000002E-2" u="1"/>
        <n v="5.6000000000000001E-2" u="1"/>
        <n v="0.2046" u="1"/>
        <n v="0.20469999999999999" u="1"/>
        <n v="0.35620000000000002" u="1"/>
        <n v="0.3548" u="1"/>
        <n v="0.3533" u="1"/>
        <n v="5.6300000000000003E-2" u="1"/>
        <n v="5.62E-2" u="1"/>
      </sharedItems>
    </cacheField>
    <cacheField name="QE5" numFmtId="165">
      <sharedItems containsMixedTypes="1" containsNumber="1" minValue="5.6599999999999998E-2" maxValue="155.48929999999999" count="113">
        <n v="0.14050000000000001"/>
        <n v="0.1421"/>
        <n v="0.26679999999999998"/>
        <n v="0.26050000000000001"/>
        <n v="0.26989999999999997"/>
        <n v="1.1274"/>
        <n v="6.3700000000000007E-2"/>
        <n v="1.1046"/>
        <n v="1.1323000000000001"/>
        <n v="1.0916999999999999"/>
        <n v="1.0962000000000001"/>
        <n v="5.6599999999999998E-2"/>
        <n v="1.0807"/>
        <n v="1.08"/>
        <n v="1.0864"/>
        <n v="2.7061000000000002"/>
        <n v="2.8723999999999998"/>
        <n v="2.0510000000000002"/>
        <n v="1.9683999999999999"/>
        <n v="2.6644999999999999"/>
        <n v="7.8000999999999996"/>
        <n v="2.536"/>
        <n v="9.9434000000000005"/>
        <n v="2.6913999999999998"/>
        <n v="0.1741"/>
        <n v="0.15329999999999999"/>
        <n v="0.2843"/>
        <n v="0.28239999999999998"/>
        <n v="0.28560000000000002"/>
        <n v="1.1998"/>
        <n v="6.6199999999999995E-2"/>
        <n v="1.1819"/>
        <n v="1.2217"/>
        <n v="1.1389"/>
        <n v="1.0833999999999999"/>
        <n v="5.7099999999999998E-2"/>
        <n v="1.0608"/>
        <n v="1.0973999999999999"/>
        <n v="1.0912999999999999"/>
        <n v="4.5427"/>
        <n v="4.5255999999999998"/>
        <n v="3.9285999999999999"/>
        <s v="ERROR: reducible RootOf detected. Substitutions are %1"/>
        <n v="3.9203000000000001"/>
        <n v="155.48929999999999"/>
        <n v="45.303800000000003"/>
        <n v="154.6217"/>
        <n v="43.883299999999998"/>
        <n v="0.1396" u="1"/>
        <n v="0.1404" u="1"/>
        <n v="0.26129999999999998" u="1"/>
        <n v="0.2591" u="1"/>
        <n v="0.27189999999999998" u="1"/>
        <n v="1.0779000000000001" u="1"/>
        <n v="5.79E-2" u="1"/>
        <n v="1.0938000000000001" u="1"/>
        <n v="1.0825" u="1"/>
        <n v="1.1047" u="1"/>
        <n v="1.1288" u="1"/>
        <n v="1.1185" u="1"/>
        <n v="1.1081000000000001" u="1"/>
        <n v="1.1216999999999999" u="1"/>
        <n v="2.8134999999999999" u="1"/>
        <n v="3.0148999999999999" u="1"/>
        <n v="2.1783000000000001" u="1"/>
        <n v="1.9776" u="1"/>
        <n v="2.7244000000000002" u="1"/>
        <n v="7.9078999999999997" u="1"/>
        <n v="2.262" u="1"/>
        <n v="7.6881000000000004" u="1"/>
        <n v="2.2431000000000001" u="1"/>
        <n v="0.14130000000000001" u="1"/>
        <n v="0.13869999999999999" u="1"/>
        <n v="0.26100000000000001" u="1"/>
        <n v="0.25600000000000001" u="1"/>
        <n v="0.2631" u="1"/>
        <n v="1.0720000000000001" u="1"/>
        <n v="1.0737000000000001" u="1"/>
        <n v="1.123" u="1"/>
        <n v="1.1101000000000001" u="1"/>
        <n v="1.1464000000000001" u="1"/>
        <n v="6.1899999999999997E-2" u="1"/>
        <n v="1.1178999999999999" u="1"/>
        <n v="1.2224999999999999" u="1"/>
        <n v="1.3996" u="1"/>
        <n v="5.4622000000000002" u="1"/>
        <n v="5.0495000000000001" u="1"/>
        <n v="4.3493000000000004" u="1"/>
        <n v="4.1276000000000002" u="1"/>
        <n v="3.9958999999999998" u="1"/>
        <n v="7.1066000000000003" u="1"/>
        <n v="6.9626999999999999" u="1"/>
        <n v="6.1452999999999998" u="1"/>
        <n v="6.2320000000000002" u="1"/>
        <n v="6.1292" u="1"/>
        <n v="4.7512999999999996" u="1"/>
        <n v="8.0893999999999995" u="1"/>
        <n v="4.9705000000000004" u="1"/>
        <n v="8.1672999999999991" u="1"/>
        <n v="8.1035000000000004" u="1"/>
        <n v="5.0689000000000002" u="1"/>
        <n v="6.6643999999999997" u="1"/>
        <n v="6.7770999999999999" u="1"/>
        <n v="9.6332000000000004" u="1"/>
        <n v="8.3459000000000003" u="1"/>
        <n v="9.5348000000000006" u="1"/>
        <n v="9.3424999999999994" u="1"/>
        <n v="8.2026000000000003" u="1"/>
        <n v="8.1614000000000004" u="1"/>
        <n v="13.2476" u="1"/>
        <n v="5.0782999999999996" u="1"/>
        <n v="12.0351" u="1"/>
        <n v="4.9423000000000004" u="1"/>
      </sharedItems>
    </cacheField>
    <cacheField name="QE6" numFmtId="165">
      <sharedItems containsSemiMixedTypes="0" containsString="0" containsNumber="1" minValue="5.5399999999999998E-2" maxValue="28.362500000000001" count="132">
        <n v="0.1384"/>
        <n v="0.13619999999999999"/>
        <n v="0.25619999999999998"/>
        <n v="0.2722"/>
        <n v="0.25419999999999998"/>
        <n v="1.4083000000000001"/>
        <n v="5.6500000000000002E-2"/>
        <n v="1.3728"/>
        <n v="1.0831"/>
        <n v="1.0783"/>
        <n v="1.3625"/>
        <n v="5.9200000000000003E-2"/>
        <n v="1.3676999999999999"/>
        <n v="1.3535999999999999"/>
        <n v="1.3532999999999999"/>
        <n v="1.9138999999999999"/>
        <n v="1.8797999999999999"/>
        <n v="2.2416"/>
        <n v="2.2562000000000002"/>
        <n v="1.8996999999999999"/>
        <n v="7.6894999999999998"/>
        <n v="2.4173"/>
        <n v="7.6959999999999997"/>
        <n v="2.2254999999999998"/>
        <n v="0.1343"/>
        <n v="0.13389999999999999"/>
        <n v="0.25559999999999999"/>
        <n v="0.25130000000000002"/>
        <n v="0.24909999999999999"/>
        <n v="1.3347"/>
        <n v="5.5399999999999998E-2"/>
        <n v="1.3431999999999999"/>
        <n v="1.0920000000000001"/>
        <n v="1.0794999999999999"/>
        <n v="1.3491"/>
        <n v="5.5899999999999998E-2"/>
        <n v="1.3746"/>
        <n v="1.3738999999999999"/>
        <n v="1.3651"/>
        <n v="2.2210000000000001"/>
        <n v="2.2888000000000002"/>
        <n v="2.2204000000000002"/>
        <n v="6.3103999999999996"/>
        <n v="2.2875000000000001"/>
        <n v="8.3977000000000004"/>
        <n v="8.3819999999999997"/>
        <n v="8.4398"/>
        <n v="8.4847999999999999"/>
        <n v="8.4400999999999993"/>
        <n v="6.3973000000000004"/>
        <n v="9.5617999999999999"/>
        <n v="6.6676000000000002"/>
        <n v="9.4707000000000008"/>
        <n v="9.5609999999999999"/>
        <n v="6.649"/>
        <n v="9.4693000000000005"/>
        <n v="9.3895999999999997"/>
        <n v="12.4376"/>
        <n v="9.4"/>
        <n v="12.4582"/>
        <n v="12.457599999999999"/>
        <n v="12.4191"/>
        <n v="12.415900000000001"/>
        <n v="28.264099999999999"/>
        <n v="11.0084"/>
        <n v="28.362500000000001"/>
        <n v="11.017799999999999"/>
        <n v="0.1444" u="1"/>
        <n v="0.1464" u="1"/>
        <n v="0.26079999999999998" u="1"/>
        <n v="0.25590000000000002" u="1"/>
        <n v="0.2591" u="1"/>
        <n v="1.4681" u="1"/>
        <n v="6.2700000000000006E-2" u="1"/>
        <n v="1.4005000000000001" u="1"/>
        <n v="1.0791999999999999" u="1"/>
        <n v="1.0859000000000001" u="1"/>
        <n v="1.3753" u="1"/>
        <n v="5.62E-2" u="1"/>
        <n v="1.3931" u="1"/>
        <n v="1.4011" u="1"/>
        <n v="1.3677999999999999" u="1"/>
        <n v="1.9636" u="1"/>
        <n v="1.9329000000000001" u="1"/>
        <n v="2.2841999999999998" u="1"/>
        <n v="2.2717000000000001" u="1"/>
        <n v="1.9167000000000001" u="1"/>
        <n v="7.6624999999999996" u="1"/>
        <n v="2.4108000000000001" u="1"/>
        <n v="7.8574999999999999" u="1"/>
        <n v="2.2763" u="1"/>
        <n v="0.14080000000000001" u="1"/>
        <n v="0.1396" u="1"/>
        <n v="0.26100000000000001" u="1"/>
        <n v="1.3713" u="1"/>
        <n v="5.79E-2" u="1"/>
        <n v="1.4091" u="1"/>
        <n v="1.0975999999999999" u="1"/>
        <n v="1.1012" u="1"/>
        <n v="1.3836999999999999" u="1"/>
        <n v="5.74E-2" u="1"/>
        <n v="1.4108000000000001" u="1"/>
        <n v="1.3852" u="1"/>
        <n v="1.4125000000000001" u="1"/>
        <n v="2.3184" u="1"/>
        <n v="2.3277999999999999" u="1"/>
        <n v="2.2871000000000001" u="1"/>
        <n v="2.4033000000000002" u="1"/>
        <n v="2.3077000000000001" u="1"/>
        <n v="3.2155" u="1"/>
        <n v="3.2282000000000002" u="1"/>
        <n v="3.2469999999999999" u="1"/>
        <n v="3.2231000000000001" u="1"/>
        <n v="3.2332999999999998" u="1"/>
        <n v="2.3477000000000001" u="1"/>
        <n v="3.835" u="1"/>
        <n v="2.4687999999999999" u="1"/>
        <n v="3.8106" u="1"/>
        <n v="3.8203999999999998" u="1"/>
        <n v="2.4523999999999999" u="1"/>
        <n v="3.8105000000000002" u="1"/>
        <n v="3.8494999999999999" u="1"/>
        <n v="5.1772999999999998" u="1"/>
        <n v="3.8723999999999998" u="1"/>
        <n v="5.1288" u="1"/>
        <n v="5.1281999999999996" u="1"/>
        <n v="5.1253000000000002" u="1"/>
        <n v="5.1269999999999998" u="1"/>
        <n v="11.4755" u="1"/>
        <n v="4.8018999999999998" u="1"/>
        <n v="11.466200000000001" u="1"/>
        <n v="4.864300000000000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6"/>
    <x v="6"/>
    <x v="6"/>
    <x v="6"/>
  </r>
  <r>
    <x v="7"/>
    <x v="7"/>
    <x v="7"/>
    <x v="7"/>
    <x v="7"/>
    <x v="7"/>
    <x v="7"/>
    <x v="5"/>
    <x v="5"/>
    <x v="7"/>
    <x v="5"/>
    <x v="7"/>
    <x v="7"/>
  </r>
  <r>
    <x v="8"/>
    <x v="8"/>
    <x v="8"/>
    <x v="8"/>
    <x v="8"/>
    <x v="8"/>
    <x v="8"/>
    <x v="5"/>
    <x v="5"/>
    <x v="8"/>
    <x v="5"/>
    <x v="8"/>
    <x v="8"/>
  </r>
  <r>
    <x v="9"/>
    <x v="9"/>
    <x v="9"/>
    <x v="9"/>
    <x v="9"/>
    <x v="9"/>
    <x v="9"/>
    <x v="5"/>
    <x v="5"/>
    <x v="9"/>
    <x v="5"/>
    <x v="9"/>
    <x v="9"/>
  </r>
  <r>
    <x v="10"/>
    <x v="10"/>
    <x v="10"/>
    <x v="10"/>
    <x v="10"/>
    <x v="10"/>
    <x v="10"/>
    <x v="5"/>
    <x v="5"/>
    <x v="10"/>
    <x v="5"/>
    <x v="10"/>
    <x v="10"/>
  </r>
  <r>
    <x v="11"/>
    <x v="11"/>
    <x v="11"/>
    <x v="6"/>
    <x v="6"/>
    <x v="6"/>
    <x v="11"/>
    <x v="7"/>
    <x v="7"/>
    <x v="11"/>
    <x v="7"/>
    <x v="11"/>
    <x v="11"/>
  </r>
  <r>
    <x v="12"/>
    <x v="12"/>
    <x v="12"/>
    <x v="11"/>
    <x v="11"/>
    <x v="11"/>
    <x v="12"/>
    <x v="5"/>
    <x v="5"/>
    <x v="12"/>
    <x v="5"/>
    <x v="12"/>
    <x v="12"/>
  </r>
  <r>
    <x v="13"/>
    <x v="13"/>
    <x v="13"/>
    <x v="12"/>
    <x v="12"/>
    <x v="12"/>
    <x v="13"/>
    <x v="5"/>
    <x v="5"/>
    <x v="13"/>
    <x v="5"/>
    <x v="13"/>
    <x v="13"/>
  </r>
  <r>
    <x v="14"/>
    <x v="14"/>
    <x v="14"/>
    <x v="13"/>
    <x v="13"/>
    <x v="13"/>
    <x v="14"/>
    <x v="5"/>
    <x v="5"/>
    <x v="14"/>
    <x v="5"/>
    <x v="14"/>
    <x v="14"/>
  </r>
  <r>
    <x v="15"/>
    <x v="15"/>
    <x v="15"/>
    <x v="14"/>
    <x v="14"/>
    <x v="14"/>
    <x v="15"/>
    <x v="5"/>
    <x v="8"/>
    <x v="15"/>
    <x v="5"/>
    <x v="15"/>
    <x v="15"/>
  </r>
  <r>
    <x v="16"/>
    <x v="16"/>
    <x v="16"/>
    <x v="15"/>
    <x v="15"/>
    <x v="15"/>
    <x v="16"/>
    <x v="5"/>
    <x v="8"/>
    <x v="16"/>
    <x v="5"/>
    <x v="16"/>
    <x v="16"/>
  </r>
  <r>
    <x v="17"/>
    <x v="17"/>
    <x v="17"/>
    <x v="16"/>
    <x v="16"/>
    <x v="16"/>
    <x v="17"/>
    <x v="5"/>
    <x v="5"/>
    <x v="17"/>
    <x v="5"/>
    <x v="17"/>
    <x v="17"/>
  </r>
  <r>
    <x v="18"/>
    <x v="18"/>
    <x v="18"/>
    <x v="17"/>
    <x v="17"/>
    <x v="17"/>
    <x v="18"/>
    <x v="5"/>
    <x v="5"/>
    <x v="18"/>
    <x v="5"/>
    <x v="18"/>
    <x v="18"/>
  </r>
  <r>
    <x v="19"/>
    <x v="19"/>
    <x v="19"/>
    <x v="18"/>
    <x v="18"/>
    <x v="18"/>
    <x v="19"/>
    <x v="5"/>
    <x v="8"/>
    <x v="19"/>
    <x v="5"/>
    <x v="19"/>
    <x v="19"/>
  </r>
  <r>
    <x v="20"/>
    <x v="20"/>
    <x v="20"/>
    <x v="19"/>
    <x v="19"/>
    <x v="19"/>
    <x v="20"/>
    <x v="8"/>
    <x v="9"/>
    <x v="20"/>
    <x v="8"/>
    <x v="20"/>
    <x v="20"/>
  </r>
  <r>
    <x v="21"/>
    <x v="20"/>
    <x v="21"/>
    <x v="20"/>
    <x v="20"/>
    <x v="20"/>
    <x v="21"/>
    <x v="8"/>
    <x v="5"/>
    <x v="21"/>
    <x v="8"/>
    <x v="21"/>
    <x v="21"/>
  </r>
  <r>
    <x v="22"/>
    <x v="20"/>
    <x v="22"/>
    <x v="21"/>
    <x v="21"/>
    <x v="21"/>
    <x v="22"/>
    <x v="8"/>
    <x v="10"/>
    <x v="20"/>
    <x v="8"/>
    <x v="22"/>
    <x v="22"/>
  </r>
  <r>
    <x v="23"/>
    <x v="20"/>
    <x v="23"/>
    <x v="22"/>
    <x v="22"/>
    <x v="22"/>
    <x v="23"/>
    <x v="8"/>
    <x v="5"/>
    <x v="22"/>
    <x v="8"/>
    <x v="23"/>
    <x v="23"/>
  </r>
  <r>
    <x v="24"/>
    <x v="21"/>
    <x v="24"/>
    <x v="23"/>
    <x v="23"/>
    <x v="23"/>
    <x v="24"/>
    <x v="9"/>
    <x v="11"/>
    <x v="23"/>
    <x v="9"/>
    <x v="24"/>
    <x v="24"/>
  </r>
  <r>
    <x v="25"/>
    <x v="21"/>
    <x v="25"/>
    <x v="24"/>
    <x v="24"/>
    <x v="24"/>
    <x v="25"/>
    <x v="10"/>
    <x v="12"/>
    <x v="24"/>
    <x v="10"/>
    <x v="25"/>
    <x v="25"/>
  </r>
  <r>
    <x v="26"/>
    <x v="22"/>
    <x v="26"/>
    <x v="25"/>
    <x v="25"/>
    <x v="25"/>
    <x v="26"/>
    <x v="11"/>
    <x v="13"/>
    <x v="25"/>
    <x v="11"/>
    <x v="26"/>
    <x v="26"/>
  </r>
  <r>
    <x v="27"/>
    <x v="23"/>
    <x v="27"/>
    <x v="26"/>
    <x v="26"/>
    <x v="26"/>
    <x v="27"/>
    <x v="12"/>
    <x v="14"/>
    <x v="26"/>
    <x v="12"/>
    <x v="27"/>
    <x v="27"/>
  </r>
  <r>
    <x v="28"/>
    <x v="24"/>
    <x v="28"/>
    <x v="27"/>
    <x v="27"/>
    <x v="27"/>
    <x v="28"/>
    <x v="11"/>
    <x v="14"/>
    <x v="27"/>
    <x v="13"/>
    <x v="28"/>
    <x v="28"/>
  </r>
  <r>
    <x v="29"/>
    <x v="25"/>
    <x v="29"/>
    <x v="28"/>
    <x v="9"/>
    <x v="28"/>
    <x v="29"/>
    <x v="5"/>
    <x v="5"/>
    <x v="28"/>
    <x v="5"/>
    <x v="29"/>
    <x v="29"/>
  </r>
  <r>
    <x v="30"/>
    <x v="26"/>
    <x v="6"/>
    <x v="29"/>
    <x v="6"/>
    <x v="29"/>
    <x v="30"/>
    <x v="13"/>
    <x v="15"/>
    <x v="29"/>
    <x v="14"/>
    <x v="30"/>
    <x v="30"/>
  </r>
  <r>
    <x v="31"/>
    <x v="27"/>
    <x v="30"/>
    <x v="30"/>
    <x v="28"/>
    <x v="30"/>
    <x v="31"/>
    <x v="5"/>
    <x v="5"/>
    <x v="30"/>
    <x v="5"/>
    <x v="31"/>
    <x v="31"/>
  </r>
  <r>
    <x v="32"/>
    <x v="28"/>
    <x v="31"/>
    <x v="31"/>
    <x v="29"/>
    <x v="31"/>
    <x v="32"/>
    <x v="5"/>
    <x v="5"/>
    <x v="31"/>
    <x v="5"/>
    <x v="32"/>
    <x v="32"/>
  </r>
  <r>
    <x v="33"/>
    <x v="29"/>
    <x v="32"/>
    <x v="32"/>
    <x v="30"/>
    <x v="32"/>
    <x v="33"/>
    <x v="5"/>
    <x v="5"/>
    <x v="32"/>
    <x v="5"/>
    <x v="33"/>
    <x v="33"/>
  </r>
  <r>
    <x v="34"/>
    <x v="30"/>
    <x v="33"/>
    <x v="33"/>
    <x v="31"/>
    <x v="33"/>
    <x v="34"/>
    <x v="5"/>
    <x v="5"/>
    <x v="33"/>
    <x v="5"/>
    <x v="34"/>
    <x v="34"/>
  </r>
  <r>
    <x v="35"/>
    <x v="26"/>
    <x v="6"/>
    <x v="29"/>
    <x v="6"/>
    <x v="6"/>
    <x v="30"/>
    <x v="14"/>
    <x v="16"/>
    <x v="34"/>
    <x v="15"/>
    <x v="35"/>
    <x v="35"/>
  </r>
  <r>
    <x v="36"/>
    <x v="31"/>
    <x v="34"/>
    <x v="34"/>
    <x v="32"/>
    <x v="34"/>
    <x v="35"/>
    <x v="5"/>
    <x v="5"/>
    <x v="35"/>
    <x v="5"/>
    <x v="36"/>
    <x v="36"/>
  </r>
  <r>
    <x v="37"/>
    <x v="32"/>
    <x v="35"/>
    <x v="35"/>
    <x v="33"/>
    <x v="35"/>
    <x v="36"/>
    <x v="5"/>
    <x v="5"/>
    <x v="36"/>
    <x v="5"/>
    <x v="37"/>
    <x v="37"/>
  </r>
  <r>
    <x v="38"/>
    <x v="33"/>
    <x v="36"/>
    <x v="36"/>
    <x v="34"/>
    <x v="36"/>
    <x v="37"/>
    <x v="5"/>
    <x v="5"/>
    <x v="37"/>
    <x v="5"/>
    <x v="38"/>
    <x v="38"/>
  </r>
  <r>
    <x v="39"/>
    <x v="34"/>
    <x v="37"/>
    <x v="37"/>
    <x v="35"/>
    <x v="37"/>
    <x v="38"/>
    <x v="8"/>
    <x v="5"/>
    <x v="38"/>
    <x v="8"/>
    <x v="39"/>
    <x v="39"/>
  </r>
  <r>
    <x v="40"/>
    <x v="35"/>
    <x v="38"/>
    <x v="38"/>
    <x v="36"/>
    <x v="38"/>
    <x v="39"/>
    <x v="8"/>
    <x v="5"/>
    <x v="39"/>
    <x v="8"/>
    <x v="40"/>
    <x v="40"/>
  </r>
  <r>
    <x v="41"/>
    <x v="36"/>
    <x v="39"/>
    <x v="39"/>
    <x v="37"/>
    <x v="39"/>
    <x v="40"/>
    <x v="8"/>
    <x v="5"/>
    <x v="40"/>
    <x v="8"/>
    <x v="41"/>
    <x v="41"/>
  </r>
  <r>
    <x v="42"/>
    <x v="37"/>
    <x v="40"/>
    <x v="40"/>
    <x v="38"/>
    <x v="40"/>
    <x v="41"/>
    <x v="8"/>
    <x v="5"/>
    <x v="41"/>
    <x v="8"/>
    <x v="42"/>
    <x v="42"/>
  </r>
  <r>
    <x v="43"/>
    <x v="38"/>
    <x v="41"/>
    <x v="41"/>
    <x v="39"/>
    <x v="41"/>
    <x v="42"/>
    <x v="8"/>
    <x v="5"/>
    <x v="42"/>
    <x v="8"/>
    <x v="43"/>
    <x v="43"/>
  </r>
  <r>
    <x v="44"/>
    <x v="20"/>
    <x v="42"/>
    <x v="42"/>
    <x v="40"/>
    <x v="42"/>
    <x v="43"/>
    <x v="8"/>
    <x v="5"/>
    <x v="43"/>
    <x v="8"/>
    <x v="42"/>
    <x v="44"/>
  </r>
  <r>
    <x v="45"/>
    <x v="20"/>
    <x v="43"/>
    <x v="43"/>
    <x v="40"/>
    <x v="43"/>
    <x v="44"/>
    <x v="8"/>
    <x v="5"/>
    <x v="44"/>
    <x v="8"/>
    <x v="42"/>
    <x v="45"/>
  </r>
  <r>
    <x v="46"/>
    <x v="39"/>
    <x v="44"/>
    <x v="44"/>
    <x v="40"/>
    <x v="44"/>
    <x v="45"/>
    <x v="8"/>
    <x v="5"/>
    <x v="45"/>
    <x v="8"/>
    <x v="42"/>
    <x v="46"/>
  </r>
  <r>
    <x v="47"/>
    <x v="40"/>
    <x v="45"/>
    <x v="45"/>
    <x v="40"/>
    <x v="45"/>
    <x v="46"/>
    <x v="8"/>
    <x v="5"/>
    <x v="46"/>
    <x v="8"/>
    <x v="42"/>
    <x v="47"/>
  </r>
  <r>
    <x v="48"/>
    <x v="41"/>
    <x v="46"/>
    <x v="46"/>
    <x v="40"/>
    <x v="46"/>
    <x v="47"/>
    <x v="8"/>
    <x v="5"/>
    <x v="47"/>
    <x v="8"/>
    <x v="42"/>
    <x v="48"/>
  </r>
  <r>
    <x v="49"/>
    <x v="42"/>
    <x v="47"/>
    <x v="38"/>
    <x v="41"/>
    <x v="47"/>
    <x v="48"/>
    <x v="8"/>
    <x v="5"/>
    <x v="48"/>
    <x v="8"/>
    <x v="42"/>
    <x v="49"/>
  </r>
  <r>
    <x v="50"/>
    <x v="20"/>
    <x v="48"/>
    <x v="47"/>
    <x v="40"/>
    <x v="48"/>
    <x v="49"/>
    <x v="8"/>
    <x v="5"/>
    <x v="49"/>
    <x v="8"/>
    <x v="42"/>
    <x v="50"/>
  </r>
  <r>
    <x v="51"/>
    <x v="43"/>
    <x v="49"/>
    <x v="48"/>
    <x v="42"/>
    <x v="49"/>
    <x v="50"/>
    <x v="8"/>
    <x v="5"/>
    <x v="50"/>
    <x v="8"/>
    <x v="42"/>
    <x v="51"/>
  </r>
  <r>
    <x v="52"/>
    <x v="20"/>
    <x v="50"/>
    <x v="49"/>
    <x v="40"/>
    <x v="50"/>
    <x v="51"/>
    <x v="8"/>
    <x v="5"/>
    <x v="51"/>
    <x v="8"/>
    <x v="42"/>
    <x v="52"/>
  </r>
  <r>
    <x v="53"/>
    <x v="20"/>
    <x v="51"/>
    <x v="50"/>
    <x v="40"/>
    <x v="51"/>
    <x v="52"/>
    <x v="8"/>
    <x v="5"/>
    <x v="52"/>
    <x v="8"/>
    <x v="42"/>
    <x v="53"/>
  </r>
  <r>
    <x v="54"/>
    <x v="44"/>
    <x v="52"/>
    <x v="51"/>
    <x v="43"/>
    <x v="52"/>
    <x v="53"/>
    <x v="8"/>
    <x v="5"/>
    <x v="53"/>
    <x v="8"/>
    <x v="42"/>
    <x v="54"/>
  </r>
  <r>
    <x v="55"/>
    <x v="20"/>
    <x v="53"/>
    <x v="52"/>
    <x v="40"/>
    <x v="53"/>
    <x v="54"/>
    <x v="8"/>
    <x v="5"/>
    <x v="54"/>
    <x v="8"/>
    <x v="42"/>
    <x v="55"/>
  </r>
  <r>
    <x v="56"/>
    <x v="20"/>
    <x v="54"/>
    <x v="53"/>
    <x v="40"/>
    <x v="54"/>
    <x v="55"/>
    <x v="8"/>
    <x v="5"/>
    <x v="55"/>
    <x v="8"/>
    <x v="42"/>
    <x v="56"/>
  </r>
  <r>
    <x v="57"/>
    <x v="20"/>
    <x v="55"/>
    <x v="54"/>
    <x v="40"/>
    <x v="55"/>
    <x v="56"/>
    <x v="8"/>
    <x v="5"/>
    <x v="56"/>
    <x v="8"/>
    <x v="42"/>
    <x v="57"/>
  </r>
  <r>
    <x v="58"/>
    <x v="20"/>
    <x v="56"/>
    <x v="55"/>
    <x v="40"/>
    <x v="56"/>
    <x v="57"/>
    <x v="8"/>
    <x v="5"/>
    <x v="57"/>
    <x v="8"/>
    <x v="42"/>
    <x v="58"/>
  </r>
  <r>
    <x v="59"/>
    <x v="20"/>
    <x v="55"/>
    <x v="56"/>
    <x v="40"/>
    <x v="55"/>
    <x v="58"/>
    <x v="8"/>
    <x v="5"/>
    <x v="58"/>
    <x v="8"/>
    <x v="42"/>
    <x v="59"/>
  </r>
  <r>
    <x v="60"/>
    <x v="20"/>
    <x v="55"/>
    <x v="57"/>
    <x v="40"/>
    <x v="55"/>
    <x v="59"/>
    <x v="8"/>
    <x v="5"/>
    <x v="59"/>
    <x v="8"/>
    <x v="42"/>
    <x v="60"/>
  </r>
  <r>
    <x v="61"/>
    <x v="20"/>
    <x v="55"/>
    <x v="58"/>
    <x v="40"/>
    <x v="55"/>
    <x v="60"/>
    <x v="8"/>
    <x v="5"/>
    <x v="60"/>
    <x v="8"/>
    <x v="42"/>
    <x v="61"/>
  </r>
  <r>
    <x v="62"/>
    <x v="20"/>
    <x v="55"/>
    <x v="59"/>
    <x v="40"/>
    <x v="55"/>
    <x v="61"/>
    <x v="8"/>
    <x v="5"/>
    <x v="61"/>
    <x v="8"/>
    <x v="42"/>
    <x v="62"/>
  </r>
  <r>
    <x v="63"/>
    <x v="20"/>
    <x v="57"/>
    <x v="60"/>
    <x v="40"/>
    <x v="57"/>
    <x v="62"/>
    <x v="15"/>
    <x v="17"/>
    <x v="62"/>
    <x v="16"/>
    <x v="44"/>
    <x v="63"/>
  </r>
  <r>
    <x v="64"/>
    <x v="20"/>
    <x v="58"/>
    <x v="61"/>
    <x v="40"/>
    <x v="58"/>
    <x v="63"/>
    <x v="15"/>
    <x v="18"/>
    <x v="63"/>
    <x v="16"/>
    <x v="45"/>
    <x v="64"/>
  </r>
  <r>
    <x v="65"/>
    <x v="20"/>
    <x v="59"/>
    <x v="62"/>
    <x v="40"/>
    <x v="59"/>
    <x v="64"/>
    <x v="15"/>
    <x v="19"/>
    <x v="64"/>
    <x v="16"/>
    <x v="46"/>
    <x v="65"/>
  </r>
  <r>
    <x v="66"/>
    <x v="20"/>
    <x v="60"/>
    <x v="63"/>
    <x v="40"/>
    <x v="60"/>
    <x v="65"/>
    <x v="15"/>
    <x v="20"/>
    <x v="65"/>
    <x v="16"/>
    <x v="47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21254-667F-48F7-B5CF-ED2A6E18278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I3:J66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multipleItemSelectionAllowed="1" showAll="0">
      <items count="118"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x="6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x="2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h="1" x="55"/>
        <item m="1" x="112"/>
        <item m="1" x="113"/>
        <item m="1" x="114"/>
        <item m="1" x="115"/>
        <item m="1" x="116"/>
        <item x="0"/>
        <item x="1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3">
    <i>
      <x v="6"/>
    </i>
    <i>
      <x v="35"/>
    </i>
    <i>
      <x v="11"/>
    </i>
    <i>
      <x v="30"/>
    </i>
    <i>
      <x v="1"/>
    </i>
    <i>
      <x/>
    </i>
    <i>
      <x v="25"/>
    </i>
    <i>
      <x v="24"/>
    </i>
    <i>
      <x v="3"/>
    </i>
    <i>
      <x v="4"/>
    </i>
    <i>
      <x v="2"/>
    </i>
    <i>
      <x v="27"/>
    </i>
    <i>
      <x v="26"/>
    </i>
    <i>
      <x v="9"/>
    </i>
    <i>
      <x v="7"/>
    </i>
    <i>
      <x v="28"/>
    </i>
    <i>
      <x v="31"/>
    </i>
    <i>
      <x v="34"/>
    </i>
    <i>
      <x v="5"/>
    </i>
    <i>
      <x v="10"/>
    </i>
    <i>
      <x v="33"/>
    </i>
    <i>
      <x v="37"/>
    </i>
    <i>
      <x v="13"/>
    </i>
    <i>
      <x v="8"/>
    </i>
    <i>
      <x v="12"/>
    </i>
    <i>
      <x v="38"/>
    </i>
    <i>
      <x v="14"/>
    </i>
    <i>
      <x v="29"/>
    </i>
    <i>
      <x v="36"/>
    </i>
    <i>
      <x v="32"/>
    </i>
    <i>
      <x v="19"/>
    </i>
    <i>
      <x v="16"/>
    </i>
    <i>
      <x v="15"/>
    </i>
    <i>
      <x v="17"/>
    </i>
    <i>
      <x v="18"/>
    </i>
    <i>
      <x v="41"/>
    </i>
    <i>
      <x v="40"/>
    </i>
    <i>
      <x v="39"/>
    </i>
    <i>
      <x v="43"/>
    </i>
    <i>
      <x v="21"/>
    </i>
    <i>
      <x v="23"/>
    </i>
    <i>
      <x v="20"/>
    </i>
    <i>
      <x v="22"/>
    </i>
    <i>
      <x v="66"/>
    </i>
    <i>
      <x v="64"/>
    </i>
    <i>
      <x v="42"/>
    </i>
    <i>
      <x v="49"/>
    </i>
    <i>
      <x v="51"/>
    </i>
    <i>
      <x v="54"/>
    </i>
    <i>
      <x v="63"/>
    </i>
    <i>
      <x v="65"/>
    </i>
    <i>
      <x v="44"/>
    </i>
    <i>
      <x v="45"/>
    </i>
    <i>
      <x v="48"/>
    </i>
    <i>
      <x v="46"/>
    </i>
    <i>
      <x v="47"/>
    </i>
    <i>
      <x v="53"/>
    </i>
    <i>
      <x v="50"/>
    </i>
    <i>
      <x v="52"/>
    </i>
    <i>
      <x v="55"/>
    </i>
    <i>
      <x v="58"/>
    </i>
    <i>
      <x v="56"/>
    </i>
    <i t="grand">
      <x/>
    </i>
  </rowItems>
  <colItems count="1">
    <i/>
  </colItems>
  <pageFields count="1">
    <pageField fld="5" hier="-1"/>
  </pageFields>
  <dataFields count="1">
    <dataField name="Sum of RC5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53953-F25C-4BB0-86F4-91DC2D2CD011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V3:W51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14"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3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x="11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h="1" x="42"/>
        <item x="43"/>
        <item x="44"/>
        <item x="45"/>
        <item x="46"/>
        <item x="47"/>
        <item t="default"/>
      </items>
    </pivotField>
    <pivotField showAll="0"/>
  </pivotFields>
  <rowFields count="1">
    <field x="0"/>
  </rowFields>
  <rowItems count="48">
    <i>
      <x v="11"/>
    </i>
    <i>
      <x v="35"/>
    </i>
    <i>
      <x v="6"/>
    </i>
    <i>
      <x v="30"/>
    </i>
    <i>
      <x/>
    </i>
    <i>
      <x v="1"/>
    </i>
    <i>
      <x v="25"/>
    </i>
    <i>
      <x v="24"/>
    </i>
    <i>
      <x v="3"/>
    </i>
    <i>
      <x v="2"/>
    </i>
    <i>
      <x v="4"/>
    </i>
    <i>
      <x v="27"/>
    </i>
    <i>
      <x v="26"/>
    </i>
    <i>
      <x v="28"/>
    </i>
    <i>
      <x v="36"/>
    </i>
    <i>
      <x v="13"/>
    </i>
    <i>
      <x v="12"/>
    </i>
    <i>
      <x v="34"/>
    </i>
    <i>
      <x v="14"/>
    </i>
    <i>
      <x v="38"/>
    </i>
    <i>
      <x v="9"/>
    </i>
    <i>
      <x v="10"/>
    </i>
    <i>
      <x v="37"/>
    </i>
    <i>
      <x v="7"/>
    </i>
    <i>
      <x v="5"/>
    </i>
    <i>
      <x v="8"/>
    </i>
    <i>
      <x v="33"/>
    </i>
    <i>
      <x v="31"/>
    </i>
    <i>
      <x v="29"/>
    </i>
    <i>
      <x v="32"/>
    </i>
    <i>
      <x v="18"/>
    </i>
    <i>
      <x v="17"/>
    </i>
    <i>
      <x v="21"/>
    </i>
    <i>
      <x v="19"/>
    </i>
    <i>
      <x v="23"/>
    </i>
    <i>
      <x v="15"/>
    </i>
    <i>
      <x v="16"/>
    </i>
    <i>
      <x v="43"/>
    </i>
    <i>
      <x v="41"/>
    </i>
    <i>
      <x v="40"/>
    </i>
    <i>
      <x v="39"/>
    </i>
    <i>
      <x v="20"/>
    </i>
    <i>
      <x v="22"/>
    </i>
    <i>
      <x v="66"/>
    </i>
    <i>
      <x v="64"/>
    </i>
    <i>
      <x v="65"/>
    </i>
    <i>
      <x v="63"/>
    </i>
    <i t="grand">
      <x/>
    </i>
  </rowItems>
  <colItems count="1">
    <i/>
  </colItems>
  <pageFields count="1">
    <pageField fld="11" hier="-1"/>
  </pageFields>
  <dataFields count="1">
    <dataField name="Sum of QE5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6995-935C-4D82-95D5-DD521774518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G3:H50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dataField="1" multipleItemSelectionAllowed="1" showAll="0">
      <items count="81">
        <item m="1" x="44"/>
        <item m="1" x="45"/>
        <item m="1" x="46"/>
        <item m="1" x="47"/>
        <item x="25"/>
        <item m="1" x="48"/>
        <item x="6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x="1"/>
        <item x="24"/>
        <item m="1" x="65"/>
        <item x="26"/>
        <item x="27"/>
        <item m="1" x="66"/>
        <item m="1" x="67"/>
        <item m="1" x="68"/>
        <item m="1" x="69"/>
        <item x="11"/>
        <item m="1" x="70"/>
        <item m="1" x="71"/>
        <item m="1" x="72"/>
        <item m="1" x="73"/>
        <item m="1" x="74"/>
        <item m="1" x="75"/>
        <item m="1" x="76"/>
        <item h="1" x="40"/>
        <item m="1" x="77"/>
        <item m="1" x="78"/>
        <item m="1" x="79"/>
        <item x="0"/>
        <item x="2"/>
        <item x="3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8"/>
        <item x="29"/>
        <item x="30"/>
        <item x="31"/>
        <item x="32"/>
        <item x="33"/>
        <item x="34"/>
        <item x="35"/>
        <item x="36"/>
        <item x="37"/>
        <item h="1" x="38"/>
        <item x="39"/>
        <item x="41"/>
        <item x="42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7">
    <i>
      <x v="11"/>
    </i>
    <i>
      <x v="35"/>
    </i>
    <i>
      <x v="6"/>
    </i>
    <i>
      <x v="30"/>
    </i>
    <i>
      <x v="25"/>
    </i>
    <i>
      <x v="24"/>
    </i>
    <i>
      <x v="1"/>
    </i>
    <i>
      <x/>
    </i>
    <i>
      <x v="28"/>
    </i>
    <i>
      <x v="27"/>
    </i>
    <i>
      <x v="4"/>
    </i>
    <i>
      <x v="3"/>
    </i>
    <i>
      <x v="26"/>
    </i>
    <i>
      <x v="2"/>
    </i>
    <i>
      <x v="31"/>
    </i>
    <i>
      <x v="12"/>
    </i>
    <i>
      <x v="36"/>
    </i>
    <i>
      <x v="7"/>
    </i>
    <i>
      <x v="33"/>
    </i>
    <i>
      <x v="29"/>
    </i>
    <i>
      <x v="9"/>
    </i>
    <i>
      <x v="38"/>
    </i>
    <i>
      <x v="34"/>
    </i>
    <i>
      <x v="10"/>
    </i>
    <i>
      <x v="32"/>
    </i>
    <i>
      <x v="14"/>
    </i>
    <i>
      <x v="5"/>
    </i>
    <i>
      <x v="37"/>
    </i>
    <i>
      <x v="13"/>
    </i>
    <i>
      <x v="8"/>
    </i>
    <i>
      <x v="17"/>
    </i>
    <i>
      <x v="18"/>
    </i>
    <i>
      <x v="19"/>
    </i>
    <i>
      <x v="16"/>
    </i>
    <i>
      <x v="15"/>
    </i>
    <i>
      <x v="41"/>
    </i>
    <i>
      <x v="43"/>
    </i>
    <i>
      <x v="40"/>
    </i>
    <i>
      <x v="39"/>
    </i>
    <i>
      <x v="23"/>
    </i>
    <i>
      <x v="21"/>
    </i>
    <i>
      <x v="22"/>
    </i>
    <i>
      <x v="20"/>
    </i>
    <i>
      <x v="49"/>
    </i>
    <i>
      <x v="54"/>
    </i>
    <i>
      <x v="51"/>
    </i>
    <i t="grand">
      <x/>
    </i>
  </rowItems>
  <colItems count="1">
    <i/>
  </colItems>
  <pageFields count="1">
    <pageField fld="4" hier="-1"/>
  </pageFields>
  <dataFields count="1">
    <dataField name="Sum of RC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ECFA1-4C6C-42AB-923F-B707AA1A4C7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P3:Q24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22">
        <item x="15"/>
        <item x="16"/>
        <item x="7"/>
        <item x="6"/>
        <item x="12"/>
        <item x="11"/>
        <item x="1"/>
        <item x="0"/>
        <item x="13"/>
        <item x="14"/>
        <item x="3"/>
        <item x="4"/>
        <item x="2"/>
        <item x="20"/>
        <item x="18"/>
        <item x="10"/>
        <item x="9"/>
        <item x="19"/>
        <item x="17"/>
        <item h="1" x="5"/>
        <item h="1" x="8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1">
    <i>
      <x v="30"/>
    </i>
    <i>
      <x v="35"/>
    </i>
    <i>
      <x v="11"/>
    </i>
    <i>
      <x v="6"/>
    </i>
    <i>
      <x v="25"/>
    </i>
    <i>
      <x v="24"/>
    </i>
    <i>
      <x v="1"/>
    </i>
    <i>
      <x/>
    </i>
    <i>
      <x v="26"/>
    </i>
    <i>
      <x v="27"/>
    </i>
    <i>
      <x v="28"/>
    </i>
    <i>
      <x v="3"/>
    </i>
    <i>
      <x v="4"/>
    </i>
    <i>
      <x v="2"/>
    </i>
    <i>
      <x v="66"/>
    </i>
    <i>
      <x v="64"/>
    </i>
    <i>
      <x v="22"/>
    </i>
    <i>
      <x v="20"/>
    </i>
    <i>
      <x v="65"/>
    </i>
    <i>
      <x v="63"/>
    </i>
    <i t="grand">
      <x/>
    </i>
  </rowItems>
  <colItems count="1">
    <i/>
  </colItems>
  <pageFields count="1">
    <pageField fld="8" hier="-1"/>
  </pageFields>
  <dataFields count="1">
    <dataField name="Sum of QE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ECAA2-5CB5-4CCD-AFA9-B6720F1AFDE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N3:O18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7">
        <item x="13"/>
        <item x="6"/>
        <item x="7"/>
        <item x="14"/>
        <item x="10"/>
        <item x="9"/>
        <item x="1"/>
        <item x="0"/>
        <item x="12"/>
        <item x="11"/>
        <item x="4"/>
        <item x="3"/>
        <item x="2"/>
        <item h="1" x="15"/>
        <item h="1" x="8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5">
    <i>
      <x v="30"/>
    </i>
    <i>
      <x v="6"/>
    </i>
    <i>
      <x v="11"/>
    </i>
    <i>
      <x v="35"/>
    </i>
    <i>
      <x v="25"/>
    </i>
    <i>
      <x v="24"/>
    </i>
    <i>
      <x v="1"/>
    </i>
    <i>
      <x/>
    </i>
    <i>
      <x v="27"/>
    </i>
    <i>
      <x v="26"/>
    </i>
    <i>
      <x v="28"/>
    </i>
    <i>
      <x v="4"/>
    </i>
    <i>
      <x v="3"/>
    </i>
    <i>
      <x v="2"/>
    </i>
    <i t="grand">
      <x/>
    </i>
  </rowItems>
  <colItems count="1">
    <i/>
  </colItems>
  <pageFields count="1">
    <pageField fld="7" hier="-1"/>
  </pageFields>
  <dataFields count="1">
    <dataField name="Sum of QE1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35539-CF12-474D-B207-5B77AEC23CD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C3:D66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dataField="1" multipleItemSelectionAllowed="1" showAll="0">
      <items count="62">
        <item x="6"/>
        <item x="11"/>
        <item x="24"/>
        <item x="25"/>
        <item x="1"/>
        <item x="0"/>
        <item x="27"/>
        <item x="28"/>
        <item x="26"/>
        <item x="4"/>
        <item x="2"/>
        <item x="3"/>
        <item x="36"/>
        <item x="33"/>
        <item x="29"/>
        <item x="32"/>
        <item x="30"/>
        <item x="34"/>
        <item x="10"/>
        <item x="12"/>
        <item x="31"/>
        <item x="14"/>
        <item x="13"/>
        <item x="35"/>
        <item x="8"/>
        <item x="7"/>
        <item x="5"/>
        <item x="9"/>
        <item x="23"/>
        <item x="21"/>
        <item x="60"/>
        <item x="58"/>
        <item x="17"/>
        <item x="19"/>
        <item x="16"/>
        <item x="18"/>
        <item x="15"/>
        <item x="39"/>
        <item x="41"/>
        <item x="38"/>
        <item x="37"/>
        <item x="47"/>
        <item x="40"/>
        <item x="22"/>
        <item x="20"/>
        <item x="52"/>
        <item x="49"/>
        <item x="57"/>
        <item x="59"/>
        <item x="46"/>
        <item x="42"/>
        <item x="44"/>
        <item x="45"/>
        <item x="43"/>
        <item x="48"/>
        <item x="56"/>
        <item x="50"/>
        <item x="51"/>
        <item x="53"/>
        <item x="54"/>
        <item h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3">
    <i>
      <x v="30"/>
    </i>
    <i>
      <x v="6"/>
    </i>
    <i>
      <x v="35"/>
    </i>
    <i>
      <x v="11"/>
    </i>
    <i>
      <x v="24"/>
    </i>
    <i>
      <x v="25"/>
    </i>
    <i>
      <x v="1"/>
    </i>
    <i>
      <x/>
    </i>
    <i>
      <x v="27"/>
    </i>
    <i>
      <x v="28"/>
    </i>
    <i>
      <x v="26"/>
    </i>
    <i>
      <x v="4"/>
    </i>
    <i>
      <x v="2"/>
    </i>
    <i>
      <x v="3"/>
    </i>
    <i>
      <x v="38"/>
    </i>
    <i>
      <x v="34"/>
    </i>
    <i>
      <x v="29"/>
    </i>
    <i>
      <x v="33"/>
    </i>
    <i>
      <x v="31"/>
    </i>
    <i>
      <x v="36"/>
    </i>
    <i>
      <x v="10"/>
    </i>
    <i>
      <x v="12"/>
    </i>
    <i>
      <x v="32"/>
    </i>
    <i>
      <x v="14"/>
    </i>
    <i>
      <x v="13"/>
    </i>
    <i>
      <x v="37"/>
    </i>
    <i>
      <x v="8"/>
    </i>
    <i>
      <x v="7"/>
    </i>
    <i>
      <x v="5"/>
    </i>
    <i>
      <x v="9"/>
    </i>
    <i>
      <x v="23"/>
    </i>
    <i>
      <x v="21"/>
    </i>
    <i>
      <x v="66"/>
    </i>
    <i>
      <x v="64"/>
    </i>
    <i>
      <x v="17"/>
    </i>
    <i>
      <x v="19"/>
    </i>
    <i>
      <x v="16"/>
    </i>
    <i>
      <x v="18"/>
    </i>
    <i>
      <x v="15"/>
    </i>
    <i>
      <x v="41"/>
    </i>
    <i>
      <x v="43"/>
    </i>
    <i>
      <x v="40"/>
    </i>
    <i>
      <x v="39"/>
    </i>
    <i>
      <x v="49"/>
    </i>
    <i>
      <x v="42"/>
    </i>
    <i>
      <x v="22"/>
    </i>
    <i>
      <x v="20"/>
    </i>
    <i>
      <x v="54"/>
    </i>
    <i>
      <x v="51"/>
    </i>
    <i>
      <x v="63"/>
    </i>
    <i>
      <x v="65"/>
    </i>
    <i>
      <x v="48"/>
    </i>
    <i>
      <x v="44"/>
    </i>
    <i>
      <x v="46"/>
    </i>
    <i>
      <x v="47"/>
    </i>
    <i>
      <x v="45"/>
    </i>
    <i>
      <x v="50"/>
    </i>
    <i>
      <x v="58"/>
    </i>
    <i>
      <x v="52"/>
    </i>
    <i>
      <x v="53"/>
    </i>
    <i>
      <x v="55"/>
    </i>
    <i>
      <x v="56"/>
    </i>
    <i t="grand">
      <x/>
    </i>
  </rowItems>
  <colItems count="1">
    <i/>
  </colItems>
  <pageFields count="1">
    <pageField fld="2" hier="-1"/>
  </pageFields>
  <dataFields count="1">
    <dataField name="Sum of RC2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29427-F57A-440D-B6D2-31F6762AAC9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A3:B49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multipleItemSelectionAllowed="1" showAll="0">
      <items count="88">
        <item m="1" x="56"/>
        <item m="1" x="51"/>
        <item x="26"/>
        <item m="1" x="66"/>
        <item m="1" x="65"/>
        <item m="1" x="46"/>
        <item m="1" x="45"/>
        <item m="1" x="68"/>
        <item m="1" x="67"/>
        <item m="1" x="49"/>
        <item m="1" x="48"/>
        <item m="1" x="47"/>
        <item m="1" x="71"/>
        <item m="1" x="76"/>
        <item m="1" x="75"/>
        <item m="1" x="72"/>
        <item m="1" x="73"/>
        <item m="1" x="70"/>
        <item m="1" x="54"/>
        <item m="1" x="58"/>
        <item m="1" x="74"/>
        <item m="1" x="57"/>
        <item m="1" x="69"/>
        <item m="1" x="53"/>
        <item m="1" x="59"/>
        <item m="1" x="55"/>
        <item m="1" x="50"/>
        <item m="1" x="52"/>
        <item m="1" x="63"/>
        <item m="1" x="62"/>
        <item m="1" x="64"/>
        <item m="1" x="60"/>
        <item m="1" x="61"/>
        <item m="1" x="80"/>
        <item m="1" x="81"/>
        <item m="1" x="79"/>
        <item m="1" x="77"/>
        <item m="1" x="85"/>
        <item m="1" x="78"/>
        <item m="1" x="86"/>
        <item m="1" x="82"/>
        <item m="1" x="84"/>
        <item m="1" x="83"/>
        <item h="1" x="43"/>
        <item h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6">
    <i>
      <x v="11"/>
    </i>
    <i>
      <x v="6"/>
    </i>
    <i>
      <x v="30"/>
    </i>
    <i>
      <x v="35"/>
    </i>
    <i>
      <x v="24"/>
    </i>
    <i>
      <x v="25"/>
    </i>
    <i>
      <x v="1"/>
    </i>
    <i>
      <x/>
    </i>
    <i>
      <x v="28"/>
    </i>
    <i>
      <x v="26"/>
    </i>
    <i>
      <x v="27"/>
    </i>
    <i>
      <x v="4"/>
    </i>
    <i>
      <x v="2"/>
    </i>
    <i>
      <x v="3"/>
    </i>
    <i>
      <x v="38"/>
    </i>
    <i>
      <x v="33"/>
    </i>
    <i>
      <x v="32"/>
    </i>
    <i>
      <x v="37"/>
    </i>
    <i>
      <x v="31"/>
    </i>
    <i>
      <x v="34"/>
    </i>
    <i>
      <x v="29"/>
    </i>
    <i>
      <x v="9"/>
    </i>
    <i>
      <x v="13"/>
    </i>
    <i>
      <x v="14"/>
    </i>
    <i>
      <x v="8"/>
    </i>
    <i>
      <x v="36"/>
    </i>
    <i>
      <x v="12"/>
    </i>
    <i>
      <x v="10"/>
    </i>
    <i>
      <x v="5"/>
    </i>
    <i>
      <x v="7"/>
    </i>
    <i>
      <x v="17"/>
    </i>
    <i>
      <x v="18"/>
    </i>
    <i>
      <x v="16"/>
    </i>
    <i>
      <x v="15"/>
    </i>
    <i>
      <x v="19"/>
    </i>
    <i>
      <x v="42"/>
    </i>
    <i>
      <x v="41"/>
    </i>
    <i>
      <x v="43"/>
    </i>
    <i>
      <x v="39"/>
    </i>
    <i>
      <x v="40"/>
    </i>
    <i>
      <x v="49"/>
    </i>
    <i>
      <x v="54"/>
    </i>
    <i>
      <x v="46"/>
    </i>
    <i>
      <x v="48"/>
    </i>
    <i>
      <x v="47"/>
    </i>
    <i t="grand">
      <x/>
    </i>
  </rowItems>
  <colItems count="1">
    <i/>
  </colItems>
  <pageFields count="1">
    <pageField fld="1" hier="-1"/>
  </pageFields>
  <dataFields count="1">
    <dataField name="Sum of RC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01CA-EE53-4DB5-BF30-C24AEFFEBA0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K3:L71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126">
        <item m="1" x="66"/>
        <item m="1" x="67"/>
        <item m="1" x="68"/>
        <item m="1" x="69"/>
        <item x="28"/>
        <item m="1" x="70"/>
        <item x="6"/>
        <item m="1" x="71"/>
        <item x="34"/>
        <item m="1" x="72"/>
        <item m="1" x="73"/>
        <item m="1" x="74"/>
        <item x="36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x="27"/>
        <item m="1" x="88"/>
        <item m="1" x="89"/>
        <item x="3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9"/>
        <item x="31"/>
        <item x="32"/>
        <item x="33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11"/>
    </i>
    <i>
      <x v="35"/>
    </i>
    <i>
      <x v="30"/>
    </i>
    <i>
      <x v="6"/>
    </i>
    <i>
      <x v="25"/>
    </i>
    <i>
      <x v="1"/>
    </i>
    <i>
      <x v="24"/>
    </i>
    <i>
      <x/>
    </i>
    <i>
      <x v="27"/>
    </i>
    <i>
      <x v="3"/>
    </i>
    <i>
      <x v="28"/>
    </i>
    <i>
      <x v="26"/>
    </i>
    <i>
      <x v="2"/>
    </i>
    <i>
      <x v="4"/>
    </i>
    <i>
      <x v="9"/>
    </i>
    <i>
      <x v="33"/>
    </i>
    <i>
      <x v="32"/>
    </i>
    <i>
      <x v="8"/>
    </i>
    <i>
      <x v="31"/>
    </i>
    <i>
      <x v="34"/>
    </i>
    <i>
      <x v="29"/>
    </i>
    <i>
      <x v="7"/>
    </i>
    <i>
      <x v="10"/>
    </i>
    <i>
      <x v="5"/>
    </i>
    <i>
      <x v="37"/>
    </i>
    <i>
      <x v="13"/>
    </i>
    <i>
      <x v="12"/>
    </i>
    <i>
      <x v="36"/>
    </i>
    <i>
      <x v="14"/>
    </i>
    <i>
      <x v="38"/>
    </i>
    <i>
      <x v="19"/>
    </i>
    <i>
      <x v="16"/>
    </i>
    <i>
      <x v="15"/>
    </i>
    <i>
      <x v="23"/>
    </i>
    <i>
      <x v="39"/>
    </i>
    <i>
      <x v="41"/>
    </i>
    <i>
      <x v="17"/>
    </i>
    <i>
      <x v="40"/>
    </i>
    <i>
      <x v="18"/>
    </i>
    <i>
      <x v="43"/>
    </i>
    <i>
      <x v="21"/>
    </i>
    <i>
      <x v="20"/>
    </i>
    <i>
      <x v="22"/>
    </i>
    <i>
      <x v="42"/>
    </i>
    <i>
      <x v="49"/>
    </i>
    <i>
      <x v="54"/>
    </i>
    <i>
      <x v="51"/>
    </i>
    <i>
      <x v="45"/>
    </i>
    <i>
      <x v="48"/>
    </i>
    <i>
      <x v="44"/>
    </i>
    <i>
      <x v="46"/>
    </i>
    <i>
      <x v="53"/>
    </i>
    <i>
      <x v="58"/>
    </i>
    <i>
      <x v="56"/>
    </i>
    <i>
      <x v="50"/>
    </i>
    <i>
      <x v="55"/>
    </i>
    <i>
      <x v="52"/>
    </i>
    <i>
      <x v="47"/>
    </i>
    <i>
      <x v="64"/>
    </i>
    <i>
      <x v="66"/>
    </i>
    <i>
      <x v="60"/>
    </i>
    <i>
      <x v="61"/>
    </i>
    <i>
      <x v="62"/>
    </i>
    <i>
      <x v="59"/>
    </i>
    <i>
      <x v="57"/>
    </i>
    <i>
      <x v="65"/>
    </i>
    <i>
      <x v="63"/>
    </i>
    <i t="grand">
      <x/>
    </i>
  </rowItems>
  <colItems count="1">
    <i/>
  </colItems>
  <pageFields count="1">
    <pageField fld="6" hier="-1"/>
  </pageFields>
  <dataFields count="1">
    <dataField name="Sum of RC6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5D76-24CC-401D-8828-0DBA45F9C07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E3:F71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dataField="1" showAll="0">
      <items count="65">
        <item x="6"/>
        <item x="29"/>
        <item x="24"/>
        <item x="23"/>
        <item x="0"/>
        <item x="1"/>
        <item x="25"/>
        <item x="27"/>
        <item x="26"/>
        <item x="4"/>
        <item x="2"/>
        <item x="3"/>
        <item x="9"/>
        <item x="32"/>
        <item x="31"/>
        <item x="8"/>
        <item x="33"/>
        <item x="28"/>
        <item x="36"/>
        <item x="35"/>
        <item x="12"/>
        <item x="30"/>
        <item x="7"/>
        <item x="34"/>
        <item x="13"/>
        <item x="11"/>
        <item x="10"/>
        <item x="5"/>
        <item x="39"/>
        <item x="41"/>
        <item x="38"/>
        <item x="18"/>
        <item x="40"/>
        <item x="37"/>
        <item x="15"/>
        <item x="14"/>
        <item x="48"/>
        <item x="51"/>
        <item x="20"/>
        <item x="22"/>
        <item x="17"/>
        <item x="16"/>
        <item x="42"/>
        <item x="45"/>
        <item x="43"/>
        <item x="44"/>
        <item x="46"/>
        <item x="49"/>
        <item x="55"/>
        <item x="47"/>
        <item x="50"/>
        <item x="52"/>
        <item x="53"/>
        <item x="63"/>
        <item x="61"/>
        <item x="54"/>
        <item x="58"/>
        <item x="56"/>
        <item x="59"/>
        <item x="57"/>
        <item x="21"/>
        <item x="19"/>
        <item x="60"/>
        <item x="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11"/>
    </i>
    <i>
      <x v="6"/>
    </i>
    <i>
      <x v="35"/>
    </i>
    <i>
      <x v="30"/>
    </i>
    <i>
      <x v="25"/>
    </i>
    <i>
      <x v="24"/>
    </i>
    <i>
      <x/>
    </i>
    <i>
      <x v="1"/>
    </i>
    <i>
      <x v="26"/>
    </i>
    <i>
      <x v="28"/>
    </i>
    <i>
      <x v="27"/>
    </i>
    <i>
      <x v="4"/>
    </i>
    <i>
      <x v="2"/>
    </i>
    <i>
      <x v="3"/>
    </i>
    <i>
      <x v="9"/>
    </i>
    <i>
      <x v="33"/>
    </i>
    <i>
      <x v="32"/>
    </i>
    <i>
      <x v="8"/>
    </i>
    <i>
      <x v="34"/>
    </i>
    <i>
      <x v="29"/>
    </i>
    <i>
      <x v="38"/>
    </i>
    <i>
      <x v="37"/>
    </i>
    <i>
      <x v="13"/>
    </i>
    <i>
      <x v="31"/>
    </i>
    <i>
      <x v="7"/>
    </i>
    <i>
      <x v="36"/>
    </i>
    <i>
      <x v="14"/>
    </i>
    <i>
      <x v="12"/>
    </i>
    <i>
      <x v="10"/>
    </i>
    <i>
      <x v="5"/>
    </i>
    <i>
      <x v="41"/>
    </i>
    <i>
      <x v="43"/>
    </i>
    <i>
      <x v="49"/>
    </i>
    <i>
      <x v="40"/>
    </i>
    <i>
      <x v="19"/>
    </i>
    <i>
      <x v="42"/>
    </i>
    <i>
      <x v="39"/>
    </i>
    <i>
      <x v="16"/>
    </i>
    <i>
      <x v="15"/>
    </i>
    <i>
      <x v="51"/>
    </i>
    <i>
      <x v="54"/>
    </i>
    <i>
      <x v="21"/>
    </i>
    <i>
      <x v="23"/>
    </i>
    <i>
      <x v="18"/>
    </i>
    <i>
      <x v="17"/>
    </i>
    <i>
      <x v="44"/>
    </i>
    <i>
      <x v="47"/>
    </i>
    <i>
      <x v="45"/>
    </i>
    <i>
      <x v="46"/>
    </i>
    <i>
      <x v="48"/>
    </i>
    <i>
      <x v="52"/>
    </i>
    <i>
      <x v="58"/>
    </i>
    <i>
      <x v="50"/>
    </i>
    <i>
      <x v="53"/>
    </i>
    <i>
      <x v="55"/>
    </i>
    <i>
      <x v="56"/>
    </i>
    <i>
      <x v="66"/>
    </i>
    <i>
      <x v="64"/>
    </i>
    <i>
      <x v="57"/>
    </i>
    <i>
      <x v="61"/>
    </i>
    <i>
      <x v="59"/>
    </i>
    <i>
      <x v="62"/>
    </i>
    <i>
      <x v="60"/>
    </i>
    <i>
      <x v="22"/>
    </i>
    <i>
      <x v="20"/>
    </i>
    <i>
      <x v="63"/>
    </i>
    <i>
      <x v="65"/>
    </i>
    <i t="grand">
      <x/>
    </i>
  </rowItems>
  <colItems count="1">
    <i/>
  </colItems>
  <pageFields count="1">
    <pageField fld="3" hier="-1"/>
  </pageFields>
  <dataFields count="1">
    <dataField name="Sum of RC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B4D7F-E73F-43D5-95AC-C5396226EB22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T3:U18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2">
        <item m="1" x="17"/>
        <item m="1" x="18"/>
        <item m="1" x="19"/>
        <item m="1" x="20"/>
        <item m="1" x="21"/>
        <item h="1" x="5"/>
        <item m="1" x="22"/>
        <item m="1" x="23"/>
        <item h="1" x="8"/>
        <item m="1" x="24"/>
        <item m="1" x="25"/>
        <item m="1" x="26"/>
        <item m="1" x="27"/>
        <item m="1" x="28"/>
        <item m="1" x="29"/>
        <item m="1" x="30"/>
        <item h="1" x="16"/>
        <item x="0"/>
        <item x="1"/>
        <item x="2"/>
        <item x="3"/>
        <item x="4"/>
        <item x="6"/>
        <item x="7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</pivotFields>
  <rowFields count="1">
    <field x="0"/>
  </rowFields>
  <rowItems count="15">
    <i>
      <x v="30"/>
    </i>
    <i>
      <x v="11"/>
    </i>
    <i>
      <x v="35"/>
    </i>
    <i>
      <x v="6"/>
    </i>
    <i>
      <x v="24"/>
    </i>
    <i>
      <x v="25"/>
    </i>
    <i>
      <x/>
    </i>
    <i>
      <x v="1"/>
    </i>
    <i>
      <x v="28"/>
    </i>
    <i>
      <x v="26"/>
    </i>
    <i>
      <x v="27"/>
    </i>
    <i>
      <x v="4"/>
    </i>
    <i>
      <x v="2"/>
    </i>
    <i>
      <x v="3"/>
    </i>
    <i t="grand">
      <x/>
    </i>
  </rowItems>
  <colItems count="1">
    <i/>
  </colItems>
  <pageFields count="1">
    <pageField fld="10" hier="-1"/>
  </pageFields>
  <dataFields count="1">
    <dataField name="Sum of QE4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F6D2-B7E3-45F8-BDA5-D2D5CF46D8C9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X3:Y71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33"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x="2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</pivotFields>
  <rowFields count="1">
    <field x="0"/>
  </rowFields>
  <rowItems count="68">
    <i>
      <x v="30"/>
    </i>
    <i>
      <x v="35"/>
    </i>
    <i>
      <x v="6"/>
    </i>
    <i>
      <x v="11"/>
    </i>
    <i>
      <x v="25"/>
    </i>
    <i>
      <x v="24"/>
    </i>
    <i>
      <x v="1"/>
    </i>
    <i>
      <x/>
    </i>
    <i>
      <x v="28"/>
    </i>
    <i>
      <x v="27"/>
    </i>
    <i>
      <x v="4"/>
    </i>
    <i>
      <x v="26"/>
    </i>
    <i>
      <x v="2"/>
    </i>
    <i>
      <x v="3"/>
    </i>
    <i>
      <x v="9"/>
    </i>
    <i>
      <x v="33"/>
    </i>
    <i>
      <x v="8"/>
    </i>
    <i>
      <x v="32"/>
    </i>
    <i>
      <x v="29"/>
    </i>
    <i>
      <x v="31"/>
    </i>
    <i>
      <x v="34"/>
    </i>
    <i>
      <x v="14"/>
    </i>
    <i>
      <x v="13"/>
    </i>
    <i>
      <x v="10"/>
    </i>
    <i>
      <x v="38"/>
    </i>
    <i>
      <x v="12"/>
    </i>
    <i>
      <x v="7"/>
    </i>
    <i>
      <x v="37"/>
    </i>
    <i>
      <x v="36"/>
    </i>
    <i>
      <x v="5"/>
    </i>
    <i>
      <x v="16"/>
    </i>
    <i>
      <x v="19"/>
    </i>
    <i>
      <x v="15"/>
    </i>
    <i>
      <x v="41"/>
    </i>
    <i>
      <x v="39"/>
    </i>
    <i>
      <x v="23"/>
    </i>
    <i>
      <x v="17"/>
    </i>
    <i>
      <x v="18"/>
    </i>
    <i>
      <x v="43"/>
    </i>
    <i>
      <x v="40"/>
    </i>
    <i>
      <x v="21"/>
    </i>
    <i>
      <x v="42"/>
    </i>
    <i>
      <x v="49"/>
    </i>
    <i>
      <x v="54"/>
    </i>
    <i>
      <x v="51"/>
    </i>
    <i>
      <x v="20"/>
    </i>
    <i>
      <x v="22"/>
    </i>
    <i>
      <x v="45"/>
    </i>
    <i>
      <x v="44"/>
    </i>
    <i>
      <x v="46"/>
    </i>
    <i>
      <x v="48"/>
    </i>
    <i>
      <x v="47"/>
    </i>
    <i>
      <x v="56"/>
    </i>
    <i>
      <x v="58"/>
    </i>
    <i>
      <x v="55"/>
    </i>
    <i>
      <x v="52"/>
    </i>
    <i>
      <x v="53"/>
    </i>
    <i>
      <x v="50"/>
    </i>
    <i>
      <x v="64"/>
    </i>
    <i>
      <x v="66"/>
    </i>
    <i>
      <x v="62"/>
    </i>
    <i>
      <x v="61"/>
    </i>
    <i>
      <x v="57"/>
    </i>
    <i>
      <x v="60"/>
    </i>
    <i>
      <x v="59"/>
    </i>
    <i>
      <x v="63"/>
    </i>
    <i>
      <x v="65"/>
    </i>
    <i t="grand">
      <x/>
    </i>
  </rowItems>
  <colItems count="1">
    <i/>
  </colItems>
  <pageFields count="1">
    <pageField fld="12" hier="-1"/>
  </pageFields>
  <dataFields count="1">
    <dataField name="Sum of QE6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3FD3-1106-40D7-AA74-8EE23493688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R3:S69" firstHeaderRow="1" firstDataRow="1" firstDataCol="1" rowPageCount="1" colPageCount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67">
        <item x="34"/>
        <item x="11"/>
        <item x="29"/>
        <item x="6"/>
        <item x="24"/>
        <item x="23"/>
        <item x="0"/>
        <item x="1"/>
        <item x="27"/>
        <item x="26"/>
        <item x="25"/>
        <item x="4"/>
        <item x="3"/>
        <item x="2"/>
        <item x="31"/>
        <item x="32"/>
        <item x="8"/>
        <item x="9"/>
        <item x="37"/>
        <item x="14"/>
        <item x="30"/>
        <item x="13"/>
        <item x="35"/>
        <item x="7"/>
        <item x="33"/>
        <item x="10"/>
        <item x="36"/>
        <item x="28"/>
        <item x="5"/>
        <item x="12"/>
        <item x="39"/>
        <item x="40"/>
        <item x="41"/>
        <item x="48"/>
        <item x="42"/>
        <item x="38"/>
        <item x="53"/>
        <item x="50"/>
        <item x="19"/>
        <item x="16"/>
        <item x="15"/>
        <item x="21"/>
        <item x="22"/>
        <item x="18"/>
        <item x="17"/>
        <item x="46"/>
        <item x="45"/>
        <item x="43"/>
        <item x="47"/>
        <item x="44"/>
        <item x="51"/>
        <item x="57"/>
        <item x="52"/>
        <item x="49"/>
        <item x="55"/>
        <item x="54"/>
        <item x="63"/>
        <item x="65"/>
        <item x="61"/>
        <item x="60"/>
        <item x="56"/>
        <item x="58"/>
        <item x="59"/>
        <item x="62"/>
        <item x="64"/>
        <item h="1" x="20"/>
        <item t="default"/>
      </items>
    </pivotField>
    <pivotField showAll="0"/>
    <pivotField showAll="0"/>
    <pivotField showAll="0"/>
  </pivotFields>
  <rowFields count="1">
    <field x="0"/>
  </rowFields>
  <rowItems count="66">
    <i>
      <x v="35"/>
    </i>
    <i>
      <x v="11"/>
    </i>
    <i>
      <x v="30"/>
    </i>
    <i>
      <x v="6"/>
    </i>
    <i>
      <x v="25"/>
    </i>
    <i>
      <x v="24"/>
    </i>
    <i>
      <x/>
    </i>
    <i>
      <x v="1"/>
    </i>
    <i>
      <x v="28"/>
    </i>
    <i>
      <x v="27"/>
    </i>
    <i>
      <x v="26"/>
    </i>
    <i>
      <x v="4"/>
    </i>
    <i>
      <x v="3"/>
    </i>
    <i>
      <x v="2"/>
    </i>
    <i>
      <x v="32"/>
    </i>
    <i>
      <x v="33"/>
    </i>
    <i>
      <x v="8"/>
    </i>
    <i>
      <x v="9"/>
    </i>
    <i>
      <x v="38"/>
    </i>
    <i>
      <x v="14"/>
    </i>
    <i>
      <x v="31"/>
    </i>
    <i>
      <x v="13"/>
    </i>
    <i>
      <x v="36"/>
    </i>
    <i>
      <x v="7"/>
    </i>
    <i>
      <x v="34"/>
    </i>
    <i>
      <x v="10"/>
    </i>
    <i>
      <x v="37"/>
    </i>
    <i>
      <x v="29"/>
    </i>
    <i>
      <x v="5"/>
    </i>
    <i>
      <x v="12"/>
    </i>
    <i>
      <x v="40"/>
    </i>
    <i>
      <x v="41"/>
    </i>
    <i>
      <x v="42"/>
    </i>
    <i>
      <x v="49"/>
    </i>
    <i>
      <x v="43"/>
    </i>
    <i>
      <x v="39"/>
    </i>
    <i>
      <x v="54"/>
    </i>
    <i>
      <x v="51"/>
    </i>
    <i>
      <x v="19"/>
    </i>
    <i>
      <x v="16"/>
    </i>
    <i>
      <x v="15"/>
    </i>
    <i>
      <x v="21"/>
    </i>
    <i>
      <x v="23"/>
    </i>
    <i>
      <x v="18"/>
    </i>
    <i>
      <x v="17"/>
    </i>
    <i>
      <x v="47"/>
    </i>
    <i>
      <x v="46"/>
    </i>
    <i>
      <x v="44"/>
    </i>
    <i>
      <x v="48"/>
    </i>
    <i>
      <x v="45"/>
    </i>
    <i>
      <x v="52"/>
    </i>
    <i>
      <x v="58"/>
    </i>
    <i>
      <x v="53"/>
    </i>
    <i>
      <x v="50"/>
    </i>
    <i>
      <x v="56"/>
    </i>
    <i>
      <x v="55"/>
    </i>
    <i>
      <x v="64"/>
    </i>
    <i>
      <x v="66"/>
    </i>
    <i>
      <x v="62"/>
    </i>
    <i>
      <x v="61"/>
    </i>
    <i>
      <x v="57"/>
    </i>
    <i>
      <x v="59"/>
    </i>
    <i>
      <x v="60"/>
    </i>
    <i>
      <x v="63"/>
    </i>
    <i>
      <x v="65"/>
    </i>
    <i t="grand">
      <x/>
    </i>
  </rowItems>
  <colItems count="1">
    <i/>
  </colItems>
  <pageFields count="1">
    <pageField fld="9" hier="-1"/>
  </pageFields>
  <dataFields count="1">
    <dataField name="Sum of QE3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C749-54A7-4F66-88D7-457AEC497395}">
  <dimension ref="A1:AQ7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3" sqref="W3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96</v>
      </c>
      <c r="C2">
        <v>25141480</v>
      </c>
      <c r="D2">
        <v>0.22969999999999999</v>
      </c>
      <c r="E2">
        <v>0.22839999999999999</v>
      </c>
      <c r="F2">
        <v>189</v>
      </c>
      <c r="G2" t="s">
        <v>96</v>
      </c>
      <c r="H2">
        <v>17426908</v>
      </c>
      <c r="I2">
        <v>0.2203</v>
      </c>
      <c r="J2">
        <v>0.21640000000000001</v>
      </c>
      <c r="K2">
        <v>189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7714572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QE</v>
      </c>
      <c r="O2" s="5" t="str">
        <f>IF(M2="--","--",TEXT(MIN(C2,H2)/MAX(C2,H2),"0.000%"))</f>
        <v>69.315%</v>
      </c>
      <c r="P2" s="5">
        <f>IF(OR(ISNUMBER(SEARCH("ERROR", D2)), ISNUMBER(SEARCH("ERROR", I2)), ISNUMBER(SEARCH("TIME OUT", D2)), ISNUMBER(SEARCH("TIME OUT", I2))),"--",D2-I2)</f>
        <v>9.3999999999999917E-3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QE</v>
      </c>
      <c r="R2" s="5" t="str">
        <f>IF(P2="--","--",TEXT(MIN(D2,I2)/MAX(D2,I2),"0.000%"))</f>
        <v>95.908%</v>
      </c>
      <c r="S2" s="5">
        <f>IF(OR(ISNUMBER(SEARCH("ERROR", E2)), ISNUMBER(SEARCH("ERROR", J2)), ISNUMBER(SEARCH("TIME OUT", E2)), ISNUMBER(SEARCH("TIME OUT", J2))),"--",E2-J2)</f>
        <v>1.1999999999999983E-2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QE</v>
      </c>
      <c r="U2" s="5" t="str">
        <f>IF(S2="--","--",TEXT(MIN(E2,J2)/MAX(E2,J2),"0.000%"))</f>
        <v>94.746%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str">
        <f>IF(V2="--","--",TEXT(MIN(F2,K2)/MAX(F2,K2),"0.000%"))</f>
        <v>100.000%</v>
      </c>
      <c r="Y2" s="5"/>
      <c r="Z2">
        <f>AVERAGE(C:C)</f>
        <v>5123305485.8222218</v>
      </c>
      <c r="AA2">
        <f>AVERAGE(D:D)</f>
        <v>73.359999999999985</v>
      </c>
      <c r="AB2">
        <f>AVERAGE(E:E)</f>
        <v>51.585493333333339</v>
      </c>
      <c r="AC2">
        <f>AVERAGE(F:F)</f>
        <v>40459.088888888888</v>
      </c>
      <c r="AD2">
        <f>AVERAGE(H:H)</f>
        <v>19340266.642857142</v>
      </c>
      <c r="AE2">
        <f>AVERAGE(I:I)</f>
        <v>0.23079285714285711</v>
      </c>
      <c r="AF2">
        <f>AVERAGE(J:J)</f>
        <v>0.2265142857142857</v>
      </c>
      <c r="AG2">
        <f>AVERAGE(K:K)</f>
        <v>210.42857142857142</v>
      </c>
      <c r="AH2">
        <f>AVERAGE(M:M)</f>
        <v>8652888.3571428563</v>
      </c>
      <c r="AI2">
        <f>AVERAGE(P:P)</f>
        <v>1.5171428571428567E-2</v>
      </c>
      <c r="AJ2">
        <f>AVERAGE(S:S)</f>
        <v>1.66E-2</v>
      </c>
      <c r="AK2">
        <f>AVERAGE(V:V)</f>
        <v>-13.714285714285714</v>
      </c>
    </row>
    <row r="3" spans="1:43">
      <c r="A3">
        <v>19</v>
      </c>
      <c r="B3" t="s">
        <v>96</v>
      </c>
      <c r="C3">
        <v>25141407</v>
      </c>
      <c r="D3">
        <v>0.2218</v>
      </c>
      <c r="E3">
        <v>0.2208</v>
      </c>
      <c r="F3">
        <v>189</v>
      </c>
      <c r="G3" t="s">
        <v>96</v>
      </c>
      <c r="H3">
        <v>17427183</v>
      </c>
      <c r="I3">
        <v>0.21560000000000001</v>
      </c>
      <c r="J3">
        <v>0.2109</v>
      </c>
      <c r="K3">
        <v>189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7714224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QE</v>
      </c>
      <c r="O3" s="5" t="str">
        <f t="shared" ref="O3:O66" si="3">IF(M3="--","--",TEXT(MIN(C3,H3)/MAX(C3,H3),"0.000%"))</f>
        <v>69.317%</v>
      </c>
      <c r="P3" s="5">
        <f t="shared" ref="P3:P66" si="4">IF(OR(ISNUMBER(SEARCH("ERROR", D3)), ISNUMBER(SEARCH("ERROR", I3)), ISNUMBER(SEARCH("TIME OUT", D3)), ISNUMBER(SEARCH("TIME OUT", I3))),"--",D3-I3)</f>
        <v>6.1999999999999833E-3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QE</v>
      </c>
      <c r="R3" s="5" t="str">
        <f t="shared" ref="R3:R66" si="6">IF(P3="--","--",TEXT(MIN(D3,I3)/MAX(D3,I3),"0.000%"))</f>
        <v>97.205%</v>
      </c>
      <c r="S3" s="5">
        <f t="shared" ref="S3:S66" si="7">IF(OR(ISNUMBER(SEARCH("ERROR", E3)), ISNUMBER(SEARCH("ERROR", J3)), ISNUMBER(SEARCH("TIME OUT", E3)), ISNUMBER(SEARCH("TIME OUT", J3))),"--",E3-J3)</f>
        <v>9.8999999999999921E-3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QE</v>
      </c>
      <c r="U3" s="5" t="str">
        <f t="shared" ref="U3:U66" si="9">IF(S3="--","--",TEXT(MIN(E3,J3)/MAX(E3,J3),"0.000%"))</f>
        <v>95.516%</v>
      </c>
      <c r="V3" s="5">
        <f t="shared" ref="V3:V66" si="10">IF(OR(ISNUMBER(SEARCH("ERROR", F3)), ISNUMBER(SEARCH("ERROR", K3)), ISNUMBER(SEARCH("TIME OUT", F3)), ISNUMBER(SEARCH("TIME OUT", K3))),"--",F3-K3)</f>
        <v>0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TIE</v>
      </c>
      <c r="X3" s="5" t="str">
        <f t="shared" ref="X3:X66" si="12">IF(V3="--","--",TEXT(MIN(F3,K3)/MAX(F3,K3),"0.000%"))</f>
        <v>100.000%</v>
      </c>
      <c r="Y3" s="5"/>
    </row>
    <row r="4" spans="1:43">
      <c r="A4">
        <v>20</v>
      </c>
      <c r="B4" t="s">
        <v>96</v>
      </c>
      <c r="C4">
        <v>47006724</v>
      </c>
      <c r="D4">
        <v>0.43430000000000002</v>
      </c>
      <c r="E4">
        <v>0.4274</v>
      </c>
      <c r="F4">
        <v>327</v>
      </c>
      <c r="G4" t="s">
        <v>96</v>
      </c>
      <c r="H4">
        <v>30564586</v>
      </c>
      <c r="I4">
        <v>0.38590000000000002</v>
      </c>
      <c r="J4">
        <v>0.37990000000000002</v>
      </c>
      <c r="K4">
        <v>327</v>
      </c>
      <c r="L4" s="5" t="b">
        <f t="shared" si="0"/>
        <v>1</v>
      </c>
      <c r="M4" s="5">
        <f t="shared" si="1"/>
        <v>16442138</v>
      </c>
      <c r="N4" s="5" t="str">
        <f t="shared" si="2"/>
        <v>QE</v>
      </c>
      <c r="O4" s="5" t="str">
        <f t="shared" si="3"/>
        <v>65.022%</v>
      </c>
      <c r="P4" s="5">
        <f t="shared" si="4"/>
        <v>4.8399999999999999E-2</v>
      </c>
      <c r="Q4" s="5" t="str">
        <f t="shared" si="5"/>
        <v>QE</v>
      </c>
      <c r="R4" s="5" t="str">
        <f t="shared" si="6"/>
        <v>88.856%</v>
      </c>
      <c r="S4" s="5">
        <f t="shared" si="7"/>
        <v>4.7499999999999987E-2</v>
      </c>
      <c r="T4" s="5" t="str">
        <f t="shared" si="8"/>
        <v>QE</v>
      </c>
      <c r="U4" s="5" t="str">
        <f t="shared" si="9"/>
        <v>88.886%</v>
      </c>
      <c r="V4" s="5">
        <f t="shared" si="10"/>
        <v>0</v>
      </c>
      <c r="W4" s="5" t="str">
        <f t="shared" si="11"/>
        <v>TIE</v>
      </c>
      <c r="X4" s="5" t="str">
        <f t="shared" si="12"/>
        <v>100.000%</v>
      </c>
      <c r="Y4" s="5"/>
    </row>
    <row r="5" spans="1:43">
      <c r="A5">
        <v>22</v>
      </c>
      <c r="B5" t="s">
        <v>96</v>
      </c>
      <c r="C5">
        <v>46986784</v>
      </c>
      <c r="D5">
        <v>0.43130000000000002</v>
      </c>
      <c r="E5">
        <v>0.42799999999999999</v>
      </c>
      <c r="F5">
        <v>327</v>
      </c>
      <c r="G5" t="s">
        <v>96</v>
      </c>
      <c r="H5">
        <v>30558938</v>
      </c>
      <c r="I5">
        <v>0.36870000000000003</v>
      </c>
      <c r="J5">
        <v>0.36480000000000001</v>
      </c>
      <c r="K5">
        <v>327</v>
      </c>
      <c r="L5" s="5" t="b">
        <f t="shared" si="0"/>
        <v>1</v>
      </c>
      <c r="M5" s="5">
        <f t="shared" si="1"/>
        <v>16427846</v>
      </c>
      <c r="N5" s="5" t="str">
        <f t="shared" si="2"/>
        <v>QE</v>
      </c>
      <c r="O5" s="5" t="str">
        <f t="shared" si="3"/>
        <v>65.037%</v>
      </c>
      <c r="P5" s="5">
        <f t="shared" si="4"/>
        <v>6.2599999999999989E-2</v>
      </c>
      <c r="Q5" s="5" t="str">
        <f t="shared" si="5"/>
        <v>QE</v>
      </c>
      <c r="R5" s="5" t="str">
        <f t="shared" si="6"/>
        <v>85.486%</v>
      </c>
      <c r="S5" s="5">
        <f t="shared" si="7"/>
        <v>6.3199999999999978E-2</v>
      </c>
      <c r="T5" s="5" t="str">
        <f t="shared" si="8"/>
        <v>QE</v>
      </c>
      <c r="U5" s="5" t="str">
        <f t="shared" si="9"/>
        <v>85.234%</v>
      </c>
      <c r="V5" s="5">
        <f t="shared" si="10"/>
        <v>0</v>
      </c>
      <c r="W5" s="5" t="str">
        <f t="shared" si="11"/>
        <v>TIE</v>
      </c>
      <c r="X5" s="5" t="str">
        <f t="shared" si="12"/>
        <v>100.000%</v>
      </c>
      <c r="Y5" s="5"/>
    </row>
    <row r="6" spans="1:43">
      <c r="A6">
        <v>23</v>
      </c>
      <c r="B6" t="s">
        <v>96</v>
      </c>
      <c r="C6">
        <v>47018416</v>
      </c>
      <c r="D6">
        <v>0.41880000000000001</v>
      </c>
      <c r="E6">
        <v>0.41470000000000001</v>
      </c>
      <c r="F6">
        <v>327</v>
      </c>
      <c r="G6" t="s">
        <v>96</v>
      </c>
      <c r="H6">
        <v>30562685</v>
      </c>
      <c r="I6">
        <v>0.37040000000000001</v>
      </c>
      <c r="J6">
        <v>0.36249999999999999</v>
      </c>
      <c r="K6">
        <v>327</v>
      </c>
      <c r="L6" s="5" t="b">
        <f t="shared" si="0"/>
        <v>1</v>
      </c>
      <c r="M6" s="5">
        <f t="shared" si="1"/>
        <v>16455731</v>
      </c>
      <c r="N6" s="5" t="str">
        <f t="shared" si="2"/>
        <v>QE</v>
      </c>
      <c r="O6" s="5" t="str">
        <f t="shared" si="3"/>
        <v>65.002%</v>
      </c>
      <c r="P6" s="5">
        <f t="shared" si="4"/>
        <v>4.8399999999999999E-2</v>
      </c>
      <c r="Q6" s="5" t="str">
        <f t="shared" si="5"/>
        <v>QE</v>
      </c>
      <c r="R6" s="5" t="str">
        <f t="shared" si="6"/>
        <v>88.443%</v>
      </c>
      <c r="S6" s="5">
        <f t="shared" si="7"/>
        <v>5.2200000000000024E-2</v>
      </c>
      <c r="T6" s="5" t="str">
        <f t="shared" si="8"/>
        <v>QE</v>
      </c>
      <c r="U6" s="5" t="str">
        <f t="shared" si="9"/>
        <v>87.413%</v>
      </c>
      <c r="V6" s="5">
        <f t="shared" si="10"/>
        <v>0</v>
      </c>
      <c r="W6" s="5" t="str">
        <f t="shared" si="11"/>
        <v>TIE</v>
      </c>
      <c r="X6" s="5" t="str">
        <f t="shared" si="12"/>
        <v>100.000%</v>
      </c>
      <c r="Y6" s="5"/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96</v>
      </c>
      <c r="C7">
        <v>1747240238</v>
      </c>
      <c r="D7">
        <v>20.284300000000002</v>
      </c>
      <c r="E7">
        <v>16.6554</v>
      </c>
      <c r="F7">
        <v>13005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s="5" t="str">
        <f t="shared" si="0"/>
        <v>--</v>
      </c>
      <c r="M7" s="5" t="str">
        <f t="shared" si="1"/>
        <v>--</v>
      </c>
      <c r="N7" s="5" t="str">
        <f t="shared" si="2"/>
        <v>RC</v>
      </c>
      <c r="O7" s="5" t="str">
        <f t="shared" si="3"/>
        <v>--</v>
      </c>
      <c r="P7" s="5" t="str">
        <f t="shared" si="4"/>
        <v>--</v>
      </c>
      <c r="Q7" s="5" t="str">
        <f t="shared" si="5"/>
        <v>RC</v>
      </c>
      <c r="R7" s="5" t="str">
        <f t="shared" si="6"/>
        <v>--</v>
      </c>
      <c r="S7" s="5" t="str">
        <f t="shared" si="7"/>
        <v>--</v>
      </c>
      <c r="T7" s="5" t="str">
        <f t="shared" si="8"/>
        <v>RC</v>
      </c>
      <c r="U7" s="5" t="str">
        <f t="shared" si="9"/>
        <v>--</v>
      </c>
      <c r="V7" s="5" t="str">
        <f t="shared" si="10"/>
        <v>--</v>
      </c>
      <c r="W7" s="5" t="str">
        <f t="shared" si="11"/>
        <v>RC</v>
      </c>
      <c r="X7" s="5" t="str">
        <f t="shared" si="12"/>
        <v>--</v>
      </c>
      <c r="Y7" s="5"/>
      <c r="Z7" s="5" t="s">
        <v>30</v>
      </c>
      <c r="AA7">
        <f>COUNTIF(N:N,$Z7)</f>
        <v>35</v>
      </c>
      <c r="AB7" s="6">
        <f>AA7/AA$11</f>
        <v>0.52238805970149249</v>
      </c>
      <c r="AC7">
        <f>COUNTIF(Q:Q,$Z7)</f>
        <v>35</v>
      </c>
      <c r="AD7" s="6">
        <f>AC7/AC$11</f>
        <v>0.52238805970149249</v>
      </c>
      <c r="AE7">
        <f>COUNTIF(T:T,$Z7)</f>
        <v>35</v>
      </c>
      <c r="AF7" s="6">
        <f>AE7/AE$11</f>
        <v>0.52238805970149249</v>
      </c>
      <c r="AG7">
        <f>COUNTIF(W:W,$Z7)</f>
        <v>35</v>
      </c>
      <c r="AH7" s="6">
        <f>AG7/AG$11</f>
        <v>0.52238805970149249</v>
      </c>
      <c r="AJ7">
        <f>COUNTA(B2:B68)-COUNTIF(B2:B68,"*TIME OUT*")-COUNTIF(B2:B68,"*ERROR*")</f>
        <v>45</v>
      </c>
      <c r="AK7" s="6">
        <f>AJ7/67</f>
        <v>0.67164179104477617</v>
      </c>
      <c r="AL7">
        <f>COUNTIF(B2:B68,"*TIME OUT*")</f>
        <v>21</v>
      </c>
      <c r="AM7" s="6">
        <f>AL7/67</f>
        <v>0.31343283582089554</v>
      </c>
      <c r="AN7">
        <f>COUNTIF(B2:B68,"*ERROR*")</f>
        <v>1</v>
      </c>
      <c r="AO7" s="6">
        <f>AN7/67</f>
        <v>1.4925373134328358E-2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2329616</v>
      </c>
      <c r="D8">
        <v>1.7100000000000001E-2</v>
      </c>
      <c r="E8">
        <v>1.66E-2</v>
      </c>
      <c r="F8">
        <v>9</v>
      </c>
      <c r="G8" t="s">
        <v>96</v>
      </c>
      <c r="H8">
        <v>4424962</v>
      </c>
      <c r="I8">
        <v>0.05</v>
      </c>
      <c r="J8">
        <v>4.8599999999999997E-2</v>
      </c>
      <c r="K8">
        <v>57</v>
      </c>
      <c r="L8" s="5" t="b">
        <f t="shared" si="0"/>
        <v>1</v>
      </c>
      <c r="M8" s="5">
        <f t="shared" si="1"/>
        <v>-2095346</v>
      </c>
      <c r="N8" s="5" t="str">
        <f t="shared" si="2"/>
        <v>RC</v>
      </c>
      <c r="O8" s="5" t="str">
        <f t="shared" si="3"/>
        <v>52.647%</v>
      </c>
      <c r="P8" s="5">
        <f t="shared" si="4"/>
        <v>-3.2899999999999999E-2</v>
      </c>
      <c r="Q8" s="5" t="str">
        <f t="shared" si="5"/>
        <v>RC</v>
      </c>
      <c r="R8" s="5" t="str">
        <f t="shared" si="6"/>
        <v>34.200%</v>
      </c>
      <c r="S8" s="5">
        <f t="shared" si="7"/>
        <v>-3.2000000000000001E-2</v>
      </c>
      <c r="T8" s="5" t="str">
        <f t="shared" si="8"/>
        <v>RC</v>
      </c>
      <c r="U8" s="5" t="str">
        <f t="shared" si="9"/>
        <v>34.156%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/>
      <c r="Z8" s="5" t="s">
        <v>31</v>
      </c>
      <c r="AA8">
        <f>COUNTIF(N:N,$Z8)</f>
        <v>10</v>
      </c>
      <c r="AB8" s="6">
        <f>AA8/AA$11</f>
        <v>0.14925373134328357</v>
      </c>
      <c r="AC8">
        <f>COUNTIF(Q:Q,$Z8)</f>
        <v>10</v>
      </c>
      <c r="AD8" s="6">
        <f>AC8/AC$11</f>
        <v>0.14925373134328357</v>
      </c>
      <c r="AE8">
        <f>COUNTIF(T:T,$Z8)</f>
        <v>10</v>
      </c>
      <c r="AF8" s="6">
        <f>AE8/AE$11</f>
        <v>0.14925373134328357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14</v>
      </c>
      <c r="AK8" s="6">
        <f>AJ8/67</f>
        <v>0.20895522388059701</v>
      </c>
      <c r="AL8">
        <f>COUNTIF(G2:G68,"*TIME OUT*")</f>
        <v>21</v>
      </c>
      <c r="AM8" s="6">
        <f>AL8/67</f>
        <v>0.31343283582089554</v>
      </c>
      <c r="AN8">
        <f>COUNTIF(G2:G68,"*ERROR*")</f>
        <v>32</v>
      </c>
      <c r="AO8" s="6">
        <f>AN8/67</f>
        <v>0.47761194029850745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96</v>
      </c>
      <c r="C9">
        <v>1747272133</v>
      </c>
      <c r="D9">
        <v>20.5609</v>
      </c>
      <c r="E9">
        <v>16.904699999999998</v>
      </c>
      <c r="F9">
        <v>13005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s="5" t="str">
        <f t="shared" si="0"/>
        <v>--</v>
      </c>
      <c r="M9" s="5" t="str">
        <f t="shared" si="1"/>
        <v>--</v>
      </c>
      <c r="N9" s="5" t="str">
        <f t="shared" si="2"/>
        <v>RC</v>
      </c>
      <c r="O9" s="5" t="str">
        <f t="shared" si="3"/>
        <v>--</v>
      </c>
      <c r="P9" s="5" t="str">
        <f t="shared" si="4"/>
        <v>--</v>
      </c>
      <c r="Q9" s="5" t="str">
        <f t="shared" si="5"/>
        <v>RC</v>
      </c>
      <c r="R9" s="5" t="str">
        <f t="shared" si="6"/>
        <v>--</v>
      </c>
      <c r="S9" s="5" t="str">
        <f t="shared" si="7"/>
        <v>--</v>
      </c>
      <c r="T9" s="5" t="str">
        <f t="shared" si="8"/>
        <v>RC</v>
      </c>
      <c r="U9" s="5" t="str">
        <f t="shared" si="9"/>
        <v>--</v>
      </c>
      <c r="V9" s="5" t="str">
        <f t="shared" si="10"/>
        <v>--</v>
      </c>
      <c r="W9" s="5" t="str">
        <f t="shared" si="11"/>
        <v>RC</v>
      </c>
      <c r="X9" s="5" t="str">
        <f t="shared" si="12"/>
        <v>--</v>
      </c>
      <c r="Y9" s="5"/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10</v>
      </c>
      <c r="AH9" s="6">
        <f>AG9/AG$11</f>
        <v>0.14925373134328357</v>
      </c>
    </row>
    <row r="10" spans="1:43">
      <c r="A10">
        <v>28</v>
      </c>
      <c r="B10" t="s">
        <v>96</v>
      </c>
      <c r="C10">
        <v>1729110988</v>
      </c>
      <c r="D10">
        <v>19.915700000000001</v>
      </c>
      <c r="E10">
        <v>16.2376</v>
      </c>
      <c r="F10">
        <v>13005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s="5" t="str">
        <f t="shared" si="0"/>
        <v>--</v>
      </c>
      <c r="M10" s="5" t="str">
        <f t="shared" si="1"/>
        <v>--</v>
      </c>
      <c r="N10" s="5" t="str">
        <f t="shared" si="2"/>
        <v>RC</v>
      </c>
      <c r="O10" s="5" t="str">
        <f t="shared" si="3"/>
        <v>--</v>
      </c>
      <c r="P10" s="5" t="str">
        <f t="shared" si="4"/>
        <v>--</v>
      </c>
      <c r="Q10" s="5" t="str">
        <f t="shared" si="5"/>
        <v>RC</v>
      </c>
      <c r="R10" s="5" t="str">
        <f t="shared" si="6"/>
        <v>--</v>
      </c>
      <c r="S10" s="5" t="str">
        <f t="shared" si="7"/>
        <v>--</v>
      </c>
      <c r="T10" s="5" t="str">
        <f t="shared" si="8"/>
        <v>RC</v>
      </c>
      <c r="U10" s="5" t="str">
        <f t="shared" si="9"/>
        <v>--</v>
      </c>
      <c r="V10" s="5" t="str">
        <f t="shared" si="10"/>
        <v>--</v>
      </c>
      <c r="W10" s="5" t="str">
        <f t="shared" si="11"/>
        <v>RC</v>
      </c>
      <c r="X10" s="5" t="str">
        <f t="shared" si="12"/>
        <v>--</v>
      </c>
      <c r="Y10" s="5"/>
      <c r="Z10" s="7" t="s">
        <v>34</v>
      </c>
      <c r="AA10">
        <f>COUNTIF(N:N,$Z10)</f>
        <v>22</v>
      </c>
      <c r="AB10" s="6">
        <f>AA10/AA$11</f>
        <v>0.32835820895522388</v>
      </c>
      <c r="AC10">
        <f>COUNTIF(Q:Q,$Z10)</f>
        <v>22</v>
      </c>
      <c r="AD10" s="6">
        <f>AC10/AC$11</f>
        <v>0.32835820895522388</v>
      </c>
      <c r="AE10">
        <f>COUNTIF(T:T,$Z10)</f>
        <v>22</v>
      </c>
      <c r="AF10" s="6">
        <f>AE10/AE$11</f>
        <v>0.32835820895522388</v>
      </c>
      <c r="AG10">
        <f>COUNTIF(W:W,$Z10)</f>
        <v>22</v>
      </c>
      <c r="AH10" s="6">
        <f>AG10/AG$11</f>
        <v>0.32835820895522388</v>
      </c>
    </row>
    <row r="11" spans="1:43">
      <c r="A11">
        <v>29</v>
      </c>
      <c r="B11" t="s">
        <v>96</v>
      </c>
      <c r="C11">
        <v>1746753072</v>
      </c>
      <c r="D11">
        <v>19.840599999999998</v>
      </c>
      <c r="E11">
        <v>16.169799999999999</v>
      </c>
      <c r="F11">
        <v>13005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s="5" t="str">
        <f t="shared" si="0"/>
        <v>--</v>
      </c>
      <c r="M11" s="5" t="str">
        <f t="shared" si="1"/>
        <v>--</v>
      </c>
      <c r="N11" s="5" t="str">
        <f t="shared" si="2"/>
        <v>RC</v>
      </c>
      <c r="O11" s="5" t="str">
        <f t="shared" si="3"/>
        <v>--</v>
      </c>
      <c r="P11" s="5" t="str">
        <f t="shared" si="4"/>
        <v>--</v>
      </c>
      <c r="Q11" s="5" t="str">
        <f t="shared" si="5"/>
        <v>RC</v>
      </c>
      <c r="R11" s="5" t="str">
        <f t="shared" si="6"/>
        <v>--</v>
      </c>
      <c r="S11" s="5" t="str">
        <f t="shared" si="7"/>
        <v>--</v>
      </c>
      <c r="T11" s="5" t="str">
        <f t="shared" si="8"/>
        <v>RC</v>
      </c>
      <c r="U11" s="5" t="str">
        <f t="shared" si="9"/>
        <v>--</v>
      </c>
      <c r="V11" s="5" t="str">
        <f t="shared" si="10"/>
        <v>--</v>
      </c>
      <c r="W11" s="5" t="str">
        <f t="shared" si="11"/>
        <v>RC</v>
      </c>
      <c r="X11" s="5" t="str">
        <f t="shared" si="12"/>
        <v>--</v>
      </c>
      <c r="Y11" s="5"/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96</v>
      </c>
      <c r="C12">
        <v>1745207882</v>
      </c>
      <c r="D12">
        <v>19.968699999999998</v>
      </c>
      <c r="E12">
        <v>16.358699999999999</v>
      </c>
      <c r="F12">
        <v>13005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s="5" t="str">
        <f t="shared" si="0"/>
        <v>--</v>
      </c>
      <c r="M12" s="5" t="str">
        <f t="shared" si="1"/>
        <v>--</v>
      </c>
      <c r="N12" s="5" t="str">
        <f t="shared" si="2"/>
        <v>RC</v>
      </c>
      <c r="O12" s="5" t="str">
        <f t="shared" si="3"/>
        <v>--</v>
      </c>
      <c r="P12" s="5" t="str">
        <f t="shared" si="4"/>
        <v>--</v>
      </c>
      <c r="Q12" s="5" t="str">
        <f t="shared" si="5"/>
        <v>RC</v>
      </c>
      <c r="R12" s="5" t="str">
        <f t="shared" si="6"/>
        <v>--</v>
      </c>
      <c r="S12" s="5" t="str">
        <f t="shared" si="7"/>
        <v>--</v>
      </c>
      <c r="T12" s="5" t="str">
        <f t="shared" si="8"/>
        <v>RC</v>
      </c>
      <c r="U12" s="5" t="str">
        <f t="shared" si="9"/>
        <v>--</v>
      </c>
      <c r="V12" s="5" t="str">
        <f t="shared" si="10"/>
        <v>--</v>
      </c>
      <c r="W12" s="5" t="str">
        <f t="shared" si="11"/>
        <v>RC</v>
      </c>
      <c r="X12" s="5" t="str">
        <f t="shared" si="12"/>
        <v>--</v>
      </c>
      <c r="Y12" s="5"/>
    </row>
    <row r="13" spans="1:43">
      <c r="A13">
        <v>31</v>
      </c>
      <c r="B13" t="s">
        <v>96</v>
      </c>
      <c r="C13">
        <v>2329616</v>
      </c>
      <c r="D13">
        <v>1.5599999999999999E-2</v>
      </c>
      <c r="E13">
        <v>1.61E-2</v>
      </c>
      <c r="F13">
        <v>9</v>
      </c>
      <c r="G13" t="s">
        <v>96</v>
      </c>
      <c r="H13">
        <v>4424440</v>
      </c>
      <c r="I13">
        <v>0.05</v>
      </c>
      <c r="J13">
        <v>4.9099999999999998E-2</v>
      </c>
      <c r="K13">
        <v>57</v>
      </c>
      <c r="L13" s="5" t="b">
        <f t="shared" si="0"/>
        <v>1</v>
      </c>
      <c r="M13" s="5">
        <f t="shared" si="1"/>
        <v>-2094824</v>
      </c>
      <c r="N13" s="5" t="str">
        <f t="shared" si="2"/>
        <v>RC</v>
      </c>
      <c r="O13" s="5" t="str">
        <f t="shared" si="3"/>
        <v>52.653%</v>
      </c>
      <c r="P13" s="5">
        <f t="shared" si="4"/>
        <v>-3.44E-2</v>
      </c>
      <c r="Q13" s="5" t="str">
        <f t="shared" si="5"/>
        <v>RC</v>
      </c>
      <c r="R13" s="5" t="str">
        <f t="shared" si="6"/>
        <v>31.200%</v>
      </c>
      <c r="S13" s="5">
        <f t="shared" si="7"/>
        <v>-3.3000000000000002E-2</v>
      </c>
      <c r="T13" s="5" t="str">
        <f t="shared" si="8"/>
        <v>RC</v>
      </c>
      <c r="U13" s="5" t="str">
        <f t="shared" si="9"/>
        <v>32.790%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/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96</v>
      </c>
      <c r="C14">
        <v>1736508348</v>
      </c>
      <c r="D14">
        <v>19.851500000000001</v>
      </c>
      <c r="E14">
        <v>16.254300000000001</v>
      </c>
      <c r="F14">
        <v>13005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s="5" t="str">
        <f t="shared" si="0"/>
        <v>--</v>
      </c>
      <c r="M14" s="5" t="str">
        <f t="shared" si="1"/>
        <v>--</v>
      </c>
      <c r="N14" s="5" t="str">
        <f t="shared" si="2"/>
        <v>RC</v>
      </c>
      <c r="O14" s="5" t="str">
        <f t="shared" si="3"/>
        <v>--</v>
      </c>
      <c r="P14" s="5" t="str">
        <f t="shared" si="4"/>
        <v>--</v>
      </c>
      <c r="Q14" s="5" t="str">
        <f t="shared" si="5"/>
        <v>RC</v>
      </c>
      <c r="R14" s="5" t="str">
        <f t="shared" si="6"/>
        <v>--</v>
      </c>
      <c r="S14" s="5" t="str">
        <f t="shared" si="7"/>
        <v>--</v>
      </c>
      <c r="T14" s="5" t="str">
        <f t="shared" si="8"/>
        <v>RC</v>
      </c>
      <c r="U14" s="5" t="str">
        <f t="shared" si="9"/>
        <v>--</v>
      </c>
      <c r="V14" s="5" t="str">
        <f t="shared" si="10"/>
        <v>--</v>
      </c>
      <c r="W14" s="5" t="str">
        <f t="shared" si="11"/>
        <v>RC</v>
      </c>
      <c r="X14" s="5" t="str">
        <f t="shared" si="12"/>
        <v>--</v>
      </c>
      <c r="Y14" s="5"/>
      <c r="Z14" s="5" t="s">
        <v>30</v>
      </c>
      <c r="AA14">
        <f>COUNTIF(N:N,$Z7)-COUNTIFS(N:N,$Z7,O:O,"--")</f>
        <v>4</v>
      </c>
      <c r="AB14" s="6">
        <f>AA14/AA$11</f>
        <v>5.9701492537313432E-2</v>
      </c>
      <c r="AC14">
        <f>COUNTIF(Q:Q,$Z7)-COUNTIFS(Q:Q,$Z7,R:R,"--")</f>
        <v>4</v>
      </c>
      <c r="AD14" s="6">
        <f>AC14/AC$11</f>
        <v>5.9701492537313432E-2</v>
      </c>
      <c r="AE14">
        <f>COUNTIF(T:T,$Z7)-COUNTIFS(T:T,$Z7,U:U,"--")</f>
        <v>4</v>
      </c>
      <c r="AF14" s="6">
        <f>AE14/AE$11</f>
        <v>5.9701492537313432E-2</v>
      </c>
      <c r="AG14">
        <f>COUNTIF(W:W,$Z7)-COUNTIFS(W:W,$Z7,X:X,"--")</f>
        <v>4</v>
      </c>
      <c r="AH14" s="6">
        <f>AG14/AG$11</f>
        <v>5.9701492537313432E-2</v>
      </c>
    </row>
    <row r="15" spans="1:43">
      <c r="A15">
        <v>33</v>
      </c>
      <c r="B15" t="s">
        <v>96</v>
      </c>
      <c r="C15">
        <v>1745061377</v>
      </c>
      <c r="D15">
        <v>19.842199999999998</v>
      </c>
      <c r="E15">
        <v>16.183199999999999</v>
      </c>
      <c r="F15">
        <v>13005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s="5" t="str">
        <f t="shared" si="0"/>
        <v>--</v>
      </c>
      <c r="M15" s="5" t="str">
        <f t="shared" si="1"/>
        <v>--</v>
      </c>
      <c r="N15" s="5" t="str">
        <f t="shared" si="2"/>
        <v>RC</v>
      </c>
      <c r="O15" s="5" t="str">
        <f t="shared" si="3"/>
        <v>--</v>
      </c>
      <c r="P15" s="5" t="str">
        <f t="shared" si="4"/>
        <v>--</v>
      </c>
      <c r="Q15" s="5" t="str">
        <f t="shared" si="5"/>
        <v>RC</v>
      </c>
      <c r="R15" s="5" t="str">
        <f t="shared" si="6"/>
        <v>--</v>
      </c>
      <c r="S15" s="5" t="str">
        <f t="shared" si="7"/>
        <v>--</v>
      </c>
      <c r="T15" s="5" t="str">
        <f t="shared" si="8"/>
        <v>RC</v>
      </c>
      <c r="U15" s="5" t="str">
        <f t="shared" si="9"/>
        <v>--</v>
      </c>
      <c r="V15" s="5" t="str">
        <f t="shared" si="10"/>
        <v>--</v>
      </c>
      <c r="W15" s="5" t="str">
        <f t="shared" si="11"/>
        <v>RC</v>
      </c>
      <c r="X15" s="5" t="str">
        <f t="shared" si="12"/>
        <v>--</v>
      </c>
      <c r="Y15" s="5"/>
      <c r="Z15" s="5" t="s">
        <v>31</v>
      </c>
      <c r="AA15">
        <f>COUNTIF(N:N,$Z8)-COUNTIFS(N:N,$Z8,O:O,"--")</f>
        <v>10</v>
      </c>
      <c r="AB15" s="6">
        <f>AA15/AA$11</f>
        <v>0.14925373134328357</v>
      </c>
      <c r="AC15">
        <f>COUNTIF(Q:Q,$Z8)-COUNTIFS(Q:Q,$Z8,R:R,"--")</f>
        <v>10</v>
      </c>
      <c r="AD15" s="6">
        <f>AC15/AC$11</f>
        <v>0.14925373134328357</v>
      </c>
      <c r="AE15">
        <f>COUNTIF(T:T,$Z8)-COUNTIFS(T:T,$Z8,U:U,"--")</f>
        <v>10</v>
      </c>
      <c r="AF15" s="6">
        <f>AE15/AE$11</f>
        <v>0.14925373134328357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96</v>
      </c>
      <c r="C16">
        <v>1745288586</v>
      </c>
      <c r="D16">
        <v>19.9328</v>
      </c>
      <c r="E16">
        <v>16.210899999999999</v>
      </c>
      <c r="F16">
        <v>13005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s="5" t="str">
        <f t="shared" si="0"/>
        <v>--</v>
      </c>
      <c r="M16" s="5" t="str">
        <f t="shared" si="1"/>
        <v>--</v>
      </c>
      <c r="N16" s="5" t="str">
        <f t="shared" si="2"/>
        <v>RC</v>
      </c>
      <c r="O16" s="5" t="str">
        <f t="shared" si="3"/>
        <v>--</v>
      </c>
      <c r="P16" s="5" t="str">
        <f t="shared" si="4"/>
        <v>--</v>
      </c>
      <c r="Q16" s="5" t="str">
        <f t="shared" si="5"/>
        <v>RC</v>
      </c>
      <c r="R16" s="5" t="str">
        <f t="shared" si="6"/>
        <v>--</v>
      </c>
      <c r="S16" s="5" t="str">
        <f t="shared" si="7"/>
        <v>--</v>
      </c>
      <c r="T16" s="5" t="str">
        <f t="shared" si="8"/>
        <v>RC</v>
      </c>
      <c r="U16" s="5" t="str">
        <f t="shared" si="9"/>
        <v>--</v>
      </c>
      <c r="V16" s="5" t="str">
        <f t="shared" si="10"/>
        <v>--</v>
      </c>
      <c r="W16" s="5" t="str">
        <f t="shared" si="11"/>
        <v>RC</v>
      </c>
      <c r="X16" s="5" t="str">
        <f t="shared" si="12"/>
        <v>--</v>
      </c>
      <c r="Y16" s="5"/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10</v>
      </c>
      <c r="AH16" s="6">
        <f>AG16/AG$11</f>
        <v>0.14925373134328357</v>
      </c>
    </row>
    <row r="17" spans="1:34">
      <c r="A17">
        <v>36</v>
      </c>
      <c r="B17" t="s">
        <v>96</v>
      </c>
      <c r="C17">
        <v>4960122087</v>
      </c>
      <c r="D17">
        <v>59.964100000000002</v>
      </c>
      <c r="E17">
        <v>46.563800000000001</v>
      </c>
      <c r="F17">
        <v>33047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s="5" t="str">
        <f t="shared" si="0"/>
        <v>--</v>
      </c>
      <c r="M17" s="5" t="str">
        <f t="shared" si="1"/>
        <v>--</v>
      </c>
      <c r="N17" s="5" t="str">
        <f t="shared" si="2"/>
        <v>RC</v>
      </c>
      <c r="O17" s="5" t="str">
        <f t="shared" si="3"/>
        <v>--</v>
      </c>
      <c r="P17" s="5" t="str">
        <f t="shared" si="4"/>
        <v>--</v>
      </c>
      <c r="Q17" s="5" t="str">
        <f t="shared" si="5"/>
        <v>RC</v>
      </c>
      <c r="R17" s="5" t="str">
        <f t="shared" si="6"/>
        <v>--</v>
      </c>
      <c r="S17" s="5" t="str">
        <f t="shared" si="7"/>
        <v>--</v>
      </c>
      <c r="T17" s="5" t="str">
        <f t="shared" si="8"/>
        <v>RC</v>
      </c>
      <c r="U17" s="5" t="str">
        <f t="shared" si="9"/>
        <v>--</v>
      </c>
      <c r="V17" s="5" t="str">
        <f t="shared" si="10"/>
        <v>--</v>
      </c>
      <c r="W17" s="5" t="str">
        <f t="shared" si="11"/>
        <v>RC</v>
      </c>
      <c r="X17" s="5" t="str">
        <f t="shared" si="12"/>
        <v>--</v>
      </c>
      <c r="Y17" s="5"/>
      <c r="Z17" s="7" t="s">
        <v>34</v>
      </c>
      <c r="AA17">
        <f>COUNTIF(O:O,"--")</f>
        <v>53</v>
      </c>
      <c r="AB17" s="6">
        <f>AA17/AA$11</f>
        <v>0.79104477611940294</v>
      </c>
      <c r="AC17">
        <f>COUNTIF(R:R,"--")</f>
        <v>53</v>
      </c>
      <c r="AD17" s="6">
        <f>AC17/AC$11</f>
        <v>0.79104477611940294</v>
      </c>
      <c r="AE17">
        <f>COUNTIF(U:U,"--")</f>
        <v>53</v>
      </c>
      <c r="AF17" s="6">
        <f>AE17/AE$11</f>
        <v>0.79104477611940294</v>
      </c>
      <c r="AG17">
        <f>COUNTIF(X:X,"--")</f>
        <v>53</v>
      </c>
      <c r="AH17" s="6">
        <f>AG17/AG$11</f>
        <v>0.79104477611940294</v>
      </c>
    </row>
    <row r="18" spans="1:34">
      <c r="A18">
        <v>38</v>
      </c>
      <c r="B18" t="s">
        <v>96</v>
      </c>
      <c r="C18">
        <v>4956943306</v>
      </c>
      <c r="D18">
        <v>60.164000000000001</v>
      </c>
      <c r="E18">
        <v>46.436399999999999</v>
      </c>
      <c r="F18">
        <v>33047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s="5" t="str">
        <f t="shared" si="0"/>
        <v>--</v>
      </c>
      <c r="M18" s="5" t="str">
        <f t="shared" si="1"/>
        <v>--</v>
      </c>
      <c r="N18" s="5" t="str">
        <f t="shared" si="2"/>
        <v>RC</v>
      </c>
      <c r="O18" s="5" t="str">
        <f t="shared" si="3"/>
        <v>--</v>
      </c>
      <c r="P18" s="5" t="str">
        <f t="shared" si="4"/>
        <v>--</v>
      </c>
      <c r="Q18" s="5" t="str">
        <f t="shared" si="5"/>
        <v>RC</v>
      </c>
      <c r="R18" s="5" t="str">
        <f t="shared" si="6"/>
        <v>--</v>
      </c>
      <c r="S18" s="5" t="str">
        <f t="shared" si="7"/>
        <v>--</v>
      </c>
      <c r="T18" s="5" t="str">
        <f t="shared" si="8"/>
        <v>RC</v>
      </c>
      <c r="U18" s="5" t="str">
        <f t="shared" si="9"/>
        <v>--</v>
      </c>
      <c r="V18" s="5" t="str">
        <f t="shared" si="10"/>
        <v>--</v>
      </c>
      <c r="W18" s="5" t="str">
        <f t="shared" si="11"/>
        <v>RC</v>
      </c>
      <c r="X18" s="5" t="str">
        <f t="shared" si="12"/>
        <v>--</v>
      </c>
      <c r="Y18" s="5"/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96</v>
      </c>
      <c r="C19">
        <v>4678431006</v>
      </c>
      <c r="D19">
        <v>56.7532</v>
      </c>
      <c r="E19">
        <v>43.8675</v>
      </c>
      <c r="F19">
        <v>28799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s="5" t="str">
        <f t="shared" si="0"/>
        <v>--</v>
      </c>
      <c r="M19" s="5" t="str">
        <f t="shared" si="1"/>
        <v>--</v>
      </c>
      <c r="N19" s="5" t="str">
        <f t="shared" si="2"/>
        <v>RC</v>
      </c>
      <c r="O19" s="5" t="str">
        <f t="shared" si="3"/>
        <v>--</v>
      </c>
      <c r="P19" s="5" t="str">
        <f t="shared" si="4"/>
        <v>--</v>
      </c>
      <c r="Q19" s="5" t="str">
        <f t="shared" si="5"/>
        <v>RC</v>
      </c>
      <c r="R19" s="5" t="str">
        <f t="shared" si="6"/>
        <v>--</v>
      </c>
      <c r="S19" s="5" t="str">
        <f t="shared" si="7"/>
        <v>--</v>
      </c>
      <c r="T19" s="5" t="str">
        <f t="shared" si="8"/>
        <v>RC</v>
      </c>
      <c r="U19" s="5" t="str">
        <f t="shared" si="9"/>
        <v>--</v>
      </c>
      <c r="V19" s="5" t="str">
        <f t="shared" si="10"/>
        <v>--</v>
      </c>
      <c r="W19" s="5" t="str">
        <f t="shared" si="11"/>
        <v>RC</v>
      </c>
      <c r="X19" s="5" t="str">
        <f t="shared" si="12"/>
        <v>--</v>
      </c>
      <c r="Y19" s="5"/>
      <c r="AD19">
        <f>COUNTIF(W:W,$Z8)-COUNTIFS(W:W,$Z8,V:V,"--")</f>
        <v>0</v>
      </c>
    </row>
    <row r="20" spans="1:34">
      <c r="A20">
        <v>41</v>
      </c>
      <c r="B20" t="s">
        <v>96</v>
      </c>
      <c r="C20">
        <v>4687097897</v>
      </c>
      <c r="D20">
        <v>56.75</v>
      </c>
      <c r="E20">
        <v>44.006700000000002</v>
      </c>
      <c r="F20">
        <v>28799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s="5" t="str">
        <f t="shared" si="0"/>
        <v>--</v>
      </c>
      <c r="M20" s="5" t="str">
        <f t="shared" si="1"/>
        <v>--</v>
      </c>
      <c r="N20" s="5" t="str">
        <f t="shared" si="2"/>
        <v>RC</v>
      </c>
      <c r="O20" s="5" t="str">
        <f t="shared" si="3"/>
        <v>--</v>
      </c>
      <c r="P20" s="5" t="str">
        <f t="shared" si="4"/>
        <v>--</v>
      </c>
      <c r="Q20" s="5" t="str">
        <f t="shared" si="5"/>
        <v>RC</v>
      </c>
      <c r="R20" s="5" t="str">
        <f t="shared" si="6"/>
        <v>--</v>
      </c>
      <c r="S20" s="5" t="str">
        <f t="shared" si="7"/>
        <v>--</v>
      </c>
      <c r="T20" s="5" t="str">
        <f t="shared" si="8"/>
        <v>RC</v>
      </c>
      <c r="U20" s="5" t="str">
        <f t="shared" si="9"/>
        <v>--</v>
      </c>
      <c r="V20" s="5" t="str">
        <f t="shared" si="10"/>
        <v>--</v>
      </c>
      <c r="W20" s="5" t="str">
        <f t="shared" si="11"/>
        <v>RC</v>
      </c>
      <c r="X20" s="5" t="str">
        <f t="shared" si="12"/>
        <v>--</v>
      </c>
      <c r="Y20" s="5"/>
    </row>
    <row r="21" spans="1:34">
      <c r="A21">
        <v>43</v>
      </c>
      <c r="B21" t="s">
        <v>96</v>
      </c>
      <c r="C21">
        <v>4961506811</v>
      </c>
      <c r="D21">
        <v>59.696899999999999</v>
      </c>
      <c r="E21">
        <v>46.583500000000001</v>
      </c>
      <c r="F21">
        <v>33047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s="5" t="str">
        <f t="shared" si="0"/>
        <v>--</v>
      </c>
      <c r="M21" s="5" t="str">
        <f t="shared" si="1"/>
        <v>--</v>
      </c>
      <c r="N21" s="5" t="str">
        <f t="shared" si="2"/>
        <v>RC</v>
      </c>
      <c r="O21" s="5" t="str">
        <f t="shared" si="3"/>
        <v>--</v>
      </c>
      <c r="P21" s="5" t="str">
        <f t="shared" si="4"/>
        <v>--</v>
      </c>
      <c r="Q21" s="5" t="str">
        <f t="shared" si="5"/>
        <v>RC</v>
      </c>
      <c r="R21" s="5" t="str">
        <f t="shared" si="6"/>
        <v>--</v>
      </c>
      <c r="S21" s="5" t="str">
        <f t="shared" si="7"/>
        <v>--</v>
      </c>
      <c r="T21" s="5" t="str">
        <f t="shared" si="8"/>
        <v>RC</v>
      </c>
      <c r="U21" s="5" t="str">
        <f t="shared" si="9"/>
        <v>--</v>
      </c>
      <c r="V21" s="5" t="str">
        <f t="shared" si="10"/>
        <v>--</v>
      </c>
      <c r="W21" s="5" t="str">
        <f t="shared" si="11"/>
        <v>RC</v>
      </c>
      <c r="X21" s="5" t="str">
        <f t="shared" si="12"/>
        <v>--</v>
      </c>
      <c r="Y21" s="5"/>
    </row>
    <row r="22" spans="1:34">
      <c r="A22">
        <v>45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s="5" t="str">
        <f t="shared" si="0"/>
        <v>--</v>
      </c>
      <c r="M22" s="5" t="str">
        <f t="shared" si="1"/>
        <v>--</v>
      </c>
      <c r="N22" s="5" t="str">
        <f t="shared" si="2"/>
        <v>--</v>
      </c>
      <c r="O22" s="5" t="str">
        <f t="shared" si="3"/>
        <v>--</v>
      </c>
      <c r="P22" s="5" t="str">
        <f t="shared" si="4"/>
        <v>--</v>
      </c>
      <c r="Q22" s="5" t="str">
        <f t="shared" si="5"/>
        <v>--</v>
      </c>
      <c r="R22" s="5" t="str">
        <f t="shared" si="6"/>
        <v>--</v>
      </c>
      <c r="S22" s="5" t="str">
        <f t="shared" si="7"/>
        <v>--</v>
      </c>
      <c r="T22" s="5" t="str">
        <f t="shared" si="8"/>
        <v>--</v>
      </c>
      <c r="U22" s="5" t="str">
        <f t="shared" si="9"/>
        <v>--</v>
      </c>
      <c r="V22" s="5" t="str">
        <f t="shared" si="10"/>
        <v>--</v>
      </c>
      <c r="W22" s="5" t="str">
        <f t="shared" si="11"/>
        <v>--</v>
      </c>
      <c r="X22" s="5" t="str">
        <f t="shared" si="12"/>
        <v>--</v>
      </c>
      <c r="Y22" s="5"/>
    </row>
    <row r="23" spans="1:34">
      <c r="A23">
        <v>46</v>
      </c>
      <c r="B23" t="s">
        <v>97</v>
      </c>
      <c r="C23" t="s">
        <v>97</v>
      </c>
      <c r="D23" t="s">
        <v>97</v>
      </c>
      <c r="E23" t="s">
        <v>97</v>
      </c>
      <c r="F23" t="s">
        <v>97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s="5" t="str">
        <f t="shared" si="0"/>
        <v>--</v>
      </c>
      <c r="M23" s="5" t="str">
        <f t="shared" si="1"/>
        <v>--</v>
      </c>
      <c r="N23" s="5" t="str">
        <f t="shared" si="2"/>
        <v>--</v>
      </c>
      <c r="O23" s="5" t="str">
        <f t="shared" si="3"/>
        <v>--</v>
      </c>
      <c r="P23" s="5" t="str">
        <f t="shared" si="4"/>
        <v>--</v>
      </c>
      <c r="Q23" s="5" t="str">
        <f t="shared" si="5"/>
        <v>--</v>
      </c>
      <c r="R23" s="5" t="str">
        <f t="shared" si="6"/>
        <v>--</v>
      </c>
      <c r="S23" s="5" t="str">
        <f t="shared" si="7"/>
        <v>--</v>
      </c>
      <c r="T23" s="5" t="str">
        <f t="shared" si="8"/>
        <v>--</v>
      </c>
      <c r="U23" s="5" t="str">
        <f t="shared" si="9"/>
        <v>--</v>
      </c>
      <c r="V23" s="5" t="str">
        <f t="shared" si="10"/>
        <v>--</v>
      </c>
      <c r="W23" s="5" t="str">
        <f t="shared" si="11"/>
        <v>--</v>
      </c>
      <c r="X23" s="5" t="str">
        <f t="shared" si="12"/>
        <v>--</v>
      </c>
      <c r="Y23" s="5"/>
    </row>
    <row r="24" spans="1:34">
      <c r="A24">
        <v>48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s="5" t="str">
        <f t="shared" si="0"/>
        <v>--</v>
      </c>
      <c r="M24" s="5" t="str">
        <f t="shared" si="1"/>
        <v>--</v>
      </c>
      <c r="N24" s="5" t="str">
        <f t="shared" si="2"/>
        <v>--</v>
      </c>
      <c r="O24" s="5" t="str">
        <f t="shared" si="3"/>
        <v>--</v>
      </c>
      <c r="P24" s="5" t="str">
        <f t="shared" si="4"/>
        <v>--</v>
      </c>
      <c r="Q24" s="5" t="str">
        <f t="shared" si="5"/>
        <v>--</v>
      </c>
      <c r="R24" s="5" t="str">
        <f t="shared" si="6"/>
        <v>--</v>
      </c>
      <c r="S24" s="5" t="str">
        <f t="shared" si="7"/>
        <v>--</v>
      </c>
      <c r="T24" s="5" t="str">
        <f t="shared" si="8"/>
        <v>--</v>
      </c>
      <c r="U24" s="5" t="str">
        <f t="shared" si="9"/>
        <v>--</v>
      </c>
      <c r="V24" s="5" t="str">
        <f t="shared" si="10"/>
        <v>--</v>
      </c>
      <c r="W24" s="5" t="str">
        <f t="shared" si="11"/>
        <v>--</v>
      </c>
      <c r="X24" s="5" t="str">
        <f t="shared" si="12"/>
        <v>--</v>
      </c>
      <c r="Y24" s="5"/>
    </row>
    <row r="25" spans="1:34">
      <c r="A25">
        <v>49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s="5" t="str">
        <f t="shared" si="0"/>
        <v>--</v>
      </c>
      <c r="M25" s="5" t="str">
        <f t="shared" si="1"/>
        <v>--</v>
      </c>
      <c r="N25" s="5" t="str">
        <f t="shared" si="2"/>
        <v>--</v>
      </c>
      <c r="O25" s="5" t="str">
        <f t="shared" si="3"/>
        <v>--</v>
      </c>
      <c r="P25" s="5" t="str">
        <f t="shared" si="4"/>
        <v>--</v>
      </c>
      <c r="Q25" s="5" t="str">
        <f t="shared" si="5"/>
        <v>--</v>
      </c>
      <c r="R25" s="5" t="str">
        <f t="shared" si="6"/>
        <v>--</v>
      </c>
      <c r="S25" s="5" t="str">
        <f t="shared" si="7"/>
        <v>--</v>
      </c>
      <c r="T25" s="5" t="str">
        <f t="shared" si="8"/>
        <v>--</v>
      </c>
      <c r="U25" s="5" t="str">
        <f t="shared" si="9"/>
        <v>--</v>
      </c>
      <c r="V25" s="5" t="str">
        <f t="shared" si="10"/>
        <v>--</v>
      </c>
      <c r="W25" s="5" t="str">
        <f t="shared" si="11"/>
        <v>--</v>
      </c>
      <c r="X25" s="5" t="str">
        <f t="shared" si="12"/>
        <v>--</v>
      </c>
      <c r="Y25" s="5"/>
      <c r="Z25" t="s">
        <v>40</v>
      </c>
    </row>
    <row r="26" spans="1:34">
      <c r="A26">
        <v>67</v>
      </c>
      <c r="B26" t="s">
        <v>98</v>
      </c>
      <c r="C26">
        <v>25140818</v>
      </c>
      <c r="D26">
        <v>0.21249999999999999</v>
      </c>
      <c r="E26">
        <v>0.20930000000000001</v>
      </c>
      <c r="F26">
        <v>189</v>
      </c>
      <c r="G26" t="s">
        <v>98</v>
      </c>
      <c r="H26">
        <v>17432971</v>
      </c>
      <c r="I26">
        <v>0.20619999999999999</v>
      </c>
      <c r="J26">
        <v>0.2014</v>
      </c>
      <c r="K26">
        <v>189</v>
      </c>
      <c r="L26" s="5" t="b">
        <f t="shared" si="0"/>
        <v>1</v>
      </c>
      <c r="M26" s="5">
        <f t="shared" si="1"/>
        <v>7707847</v>
      </c>
      <c r="N26" s="5" t="str">
        <f t="shared" si="2"/>
        <v>QE</v>
      </c>
      <c r="O26" s="5" t="str">
        <f t="shared" si="3"/>
        <v>69.341%</v>
      </c>
      <c r="P26" s="5">
        <f t="shared" si="4"/>
        <v>6.3E-3</v>
      </c>
      <c r="Q26" s="5" t="str">
        <f t="shared" si="5"/>
        <v>QE</v>
      </c>
      <c r="R26" s="5" t="str">
        <f t="shared" si="6"/>
        <v>97.035%</v>
      </c>
      <c r="S26" s="5">
        <f t="shared" si="7"/>
        <v>7.9000000000000181E-3</v>
      </c>
      <c r="T26" s="5" t="str">
        <f t="shared" si="8"/>
        <v>QE</v>
      </c>
      <c r="U26" s="5" t="str">
        <f t="shared" si="9"/>
        <v>96.226%</v>
      </c>
      <c r="V26" s="5">
        <f t="shared" si="10"/>
        <v>0</v>
      </c>
      <c r="W26" s="5" t="str">
        <f t="shared" si="11"/>
        <v>TIE</v>
      </c>
      <c r="X26" s="5" t="str">
        <f t="shared" si="12"/>
        <v>100.000%</v>
      </c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45 Successes (67.16%), 21 Timeouts (31.34%), 1 Errors (1.49%).</v>
      </c>
    </row>
    <row r="27" spans="1:34">
      <c r="A27">
        <v>69</v>
      </c>
      <c r="B27" t="s">
        <v>98</v>
      </c>
      <c r="C27">
        <v>25141723</v>
      </c>
      <c r="D27">
        <v>0.2109</v>
      </c>
      <c r="E27">
        <v>0.20930000000000001</v>
      </c>
      <c r="F27">
        <v>189</v>
      </c>
      <c r="G27" t="s">
        <v>98</v>
      </c>
      <c r="H27">
        <v>17430680</v>
      </c>
      <c r="I27">
        <v>0.20150000000000001</v>
      </c>
      <c r="J27">
        <v>0.1986</v>
      </c>
      <c r="K27">
        <v>189</v>
      </c>
      <c r="L27" s="5" t="b">
        <f t="shared" si="0"/>
        <v>1</v>
      </c>
      <c r="M27" s="5">
        <f t="shared" si="1"/>
        <v>7711043</v>
      </c>
      <c r="N27" s="5" t="str">
        <f t="shared" si="2"/>
        <v>QE</v>
      </c>
      <c r="O27" s="5" t="str">
        <f t="shared" si="3"/>
        <v>69.330%</v>
      </c>
      <c r="P27" s="5">
        <f t="shared" si="4"/>
        <v>9.3999999999999917E-3</v>
      </c>
      <c r="Q27" s="5" t="str">
        <f t="shared" si="5"/>
        <v>QE</v>
      </c>
      <c r="R27" s="5" t="str">
        <f t="shared" si="6"/>
        <v>95.543%</v>
      </c>
      <c r="S27" s="5">
        <f t="shared" si="7"/>
        <v>1.0700000000000015E-2</v>
      </c>
      <c r="T27" s="5" t="str">
        <f t="shared" si="8"/>
        <v>QE</v>
      </c>
      <c r="U27" s="5" t="str">
        <f t="shared" si="9"/>
        <v>94.888%</v>
      </c>
      <c r="V27" s="5">
        <f t="shared" si="10"/>
        <v>0</v>
      </c>
      <c r="W27" s="5" t="str">
        <f t="shared" si="11"/>
        <v>TIE</v>
      </c>
      <c r="X27" s="5" t="str">
        <f t="shared" si="12"/>
        <v>100.000%</v>
      </c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14 Successes (20.90%), 21 Timeouts (31.34%), 32 Errors (47.76%).</v>
      </c>
    </row>
    <row r="28" spans="1:34">
      <c r="A28">
        <v>70</v>
      </c>
      <c r="B28" t="s">
        <v>98</v>
      </c>
      <c r="C28">
        <v>47007858</v>
      </c>
      <c r="D28">
        <v>0.4078</v>
      </c>
      <c r="E28">
        <v>0.39989999999999998</v>
      </c>
      <c r="F28">
        <v>327</v>
      </c>
      <c r="G28" t="s">
        <v>98</v>
      </c>
      <c r="H28">
        <v>30551472</v>
      </c>
      <c r="I28">
        <v>0.35310000000000002</v>
      </c>
      <c r="J28">
        <v>0.34839999999999999</v>
      </c>
      <c r="K28">
        <v>327</v>
      </c>
      <c r="L28" s="5" t="b">
        <f t="shared" si="0"/>
        <v>1</v>
      </c>
      <c r="M28" s="5">
        <f t="shared" si="1"/>
        <v>16456386</v>
      </c>
      <c r="N28" s="5" t="str">
        <f t="shared" si="2"/>
        <v>QE</v>
      </c>
      <c r="O28" s="5" t="str">
        <f t="shared" si="3"/>
        <v>64.992%</v>
      </c>
      <c r="P28" s="5">
        <f t="shared" si="4"/>
        <v>5.4699999999999971E-2</v>
      </c>
      <c r="Q28" s="5" t="str">
        <f t="shared" si="5"/>
        <v>QE</v>
      </c>
      <c r="R28" s="5" t="str">
        <f t="shared" si="6"/>
        <v>86.587%</v>
      </c>
      <c r="S28" s="5">
        <f t="shared" si="7"/>
        <v>5.149999999999999E-2</v>
      </c>
      <c r="T28" s="5" t="str">
        <f t="shared" si="8"/>
        <v>QE</v>
      </c>
      <c r="U28" s="5" t="str">
        <f t="shared" si="9"/>
        <v>87.122%</v>
      </c>
      <c r="V28" s="5">
        <f t="shared" si="10"/>
        <v>0</v>
      </c>
      <c r="W28" s="5" t="str">
        <f t="shared" si="11"/>
        <v>TIE</v>
      </c>
      <c r="X28" s="5" t="str">
        <f t="shared" si="12"/>
        <v>100.000%</v>
      </c>
      <c r="Y28" s="5"/>
    </row>
    <row r="29" spans="1:34">
      <c r="A29">
        <v>72</v>
      </c>
      <c r="B29" t="s">
        <v>98</v>
      </c>
      <c r="C29">
        <v>46983875</v>
      </c>
      <c r="D29">
        <v>0.4047</v>
      </c>
      <c r="E29">
        <v>0.40010000000000001</v>
      </c>
      <c r="F29">
        <v>327</v>
      </c>
      <c r="G29" t="s">
        <v>98</v>
      </c>
      <c r="H29">
        <v>30555546</v>
      </c>
      <c r="I29">
        <v>0.35160000000000002</v>
      </c>
      <c r="J29">
        <v>0.34370000000000001</v>
      </c>
      <c r="K29">
        <v>327</v>
      </c>
      <c r="L29" s="5" t="b">
        <f t="shared" si="0"/>
        <v>1</v>
      </c>
      <c r="M29" s="5">
        <f t="shared" si="1"/>
        <v>16428329</v>
      </c>
      <c r="N29" s="5" t="str">
        <f t="shared" si="2"/>
        <v>QE</v>
      </c>
      <c r="O29" s="5" t="str">
        <f t="shared" si="3"/>
        <v>65.034%</v>
      </c>
      <c r="P29" s="5">
        <f t="shared" si="4"/>
        <v>5.3099999999999981E-2</v>
      </c>
      <c r="Q29" s="5" t="str">
        <f t="shared" si="5"/>
        <v>QE</v>
      </c>
      <c r="R29" s="5" t="str">
        <f t="shared" si="6"/>
        <v>86.879%</v>
      </c>
      <c r="S29" s="5">
        <f t="shared" si="7"/>
        <v>5.6400000000000006E-2</v>
      </c>
      <c r="T29" s="5" t="str">
        <f t="shared" si="8"/>
        <v>QE</v>
      </c>
      <c r="U29" s="5" t="str">
        <f t="shared" si="9"/>
        <v>85.904%</v>
      </c>
      <c r="V29" s="5">
        <f t="shared" si="10"/>
        <v>0</v>
      </c>
      <c r="W29" s="5" t="str">
        <f t="shared" si="11"/>
        <v>TIE</v>
      </c>
      <c r="X29" s="5" t="str">
        <f t="shared" si="12"/>
        <v>100.000%</v>
      </c>
      <c r="Y29" s="5"/>
      <c r="Z29" t="s">
        <v>41</v>
      </c>
    </row>
    <row r="30" spans="1:34">
      <c r="A30">
        <v>73</v>
      </c>
      <c r="B30" t="s">
        <v>98</v>
      </c>
      <c r="C30">
        <v>47015669</v>
      </c>
      <c r="D30">
        <v>0.4047</v>
      </c>
      <c r="E30">
        <v>0.39860000000000001</v>
      </c>
      <c r="F30">
        <v>327</v>
      </c>
      <c r="G30" t="s">
        <v>98</v>
      </c>
      <c r="H30">
        <v>30555519</v>
      </c>
      <c r="I30">
        <v>0.3594</v>
      </c>
      <c r="J30">
        <v>0.34839999999999999</v>
      </c>
      <c r="K30">
        <v>327</v>
      </c>
      <c r="L30" s="5" t="b">
        <f t="shared" si="0"/>
        <v>1</v>
      </c>
      <c r="M30" s="5">
        <f t="shared" si="1"/>
        <v>16460150</v>
      </c>
      <c r="N30" s="5" t="str">
        <f t="shared" si="2"/>
        <v>QE</v>
      </c>
      <c r="O30" s="5" t="str">
        <f t="shared" si="3"/>
        <v>64.990%</v>
      </c>
      <c r="P30" s="5">
        <f t="shared" si="4"/>
        <v>4.5300000000000007E-2</v>
      </c>
      <c r="Q30" s="5" t="str">
        <f t="shared" si="5"/>
        <v>QE</v>
      </c>
      <c r="R30" s="5" t="str">
        <f t="shared" si="6"/>
        <v>88.807%</v>
      </c>
      <c r="S30" s="5">
        <f t="shared" si="7"/>
        <v>5.0200000000000022E-2</v>
      </c>
      <c r="T30" s="5" t="str">
        <f t="shared" si="8"/>
        <v>QE</v>
      </c>
      <c r="U30" s="5" t="str">
        <f t="shared" si="9"/>
        <v>87.406%</v>
      </c>
      <c r="V30" s="5">
        <f t="shared" si="10"/>
        <v>0</v>
      </c>
      <c r="W30" s="5" t="str">
        <f t="shared" si="11"/>
        <v>TIE</v>
      </c>
      <c r="X30" s="5" t="str">
        <f t="shared" si="12"/>
        <v>100.000%</v>
      </c>
      <c r="Y30" s="5"/>
      <c r="Z30" t="str">
        <f>Z7&amp;": "&amp;AC7&amp;" ("&amp;TEXT(AD7,"0.00%")&amp;"), "&amp;AC14&amp;" actual ("&amp;TEXT(AD14,"0.00%")&amp;")"</f>
        <v>RC: 35 (52.24%), 4 actual (5.97%)</v>
      </c>
    </row>
    <row r="31" spans="1:34">
      <c r="A31">
        <v>75</v>
      </c>
      <c r="B31" t="s">
        <v>98</v>
      </c>
      <c r="C31">
        <v>1748170255</v>
      </c>
      <c r="D31">
        <v>19.8735</v>
      </c>
      <c r="E31">
        <v>16.161799999999999</v>
      </c>
      <c r="F31">
        <v>13005</v>
      </c>
      <c r="G31" t="s">
        <v>97</v>
      </c>
      <c r="H31" t="s">
        <v>97</v>
      </c>
      <c r="I31" t="s">
        <v>97</v>
      </c>
      <c r="J31" t="s">
        <v>97</v>
      </c>
      <c r="K31" t="s">
        <v>97</v>
      </c>
      <c r="L31" s="5" t="str">
        <f t="shared" si="0"/>
        <v>--</v>
      </c>
      <c r="M31" s="5" t="str">
        <f t="shared" si="1"/>
        <v>--</v>
      </c>
      <c r="N31" s="5" t="str">
        <f t="shared" si="2"/>
        <v>RC</v>
      </c>
      <c r="O31" s="5" t="str">
        <f t="shared" si="3"/>
        <v>--</v>
      </c>
      <c r="P31" s="5" t="str">
        <f t="shared" si="4"/>
        <v>--</v>
      </c>
      <c r="Q31" s="5" t="str">
        <f t="shared" si="5"/>
        <v>RC</v>
      </c>
      <c r="R31" s="5" t="str">
        <f t="shared" si="6"/>
        <v>--</v>
      </c>
      <c r="S31" s="5" t="str">
        <f t="shared" si="7"/>
        <v>--</v>
      </c>
      <c r="T31" s="5" t="str">
        <f t="shared" si="8"/>
        <v>RC</v>
      </c>
      <c r="U31" s="5" t="str">
        <f t="shared" si="9"/>
        <v>--</v>
      </c>
      <c r="V31" s="5" t="str">
        <f t="shared" si="10"/>
        <v>--</v>
      </c>
      <c r="W31" s="5" t="str">
        <f t="shared" si="11"/>
        <v>RC</v>
      </c>
      <c r="X31" s="5" t="str">
        <f t="shared" si="12"/>
        <v>--</v>
      </c>
      <c r="Y31" s="5"/>
      <c r="Z31" t="str">
        <f>Z8&amp;": "&amp;AC8&amp;" ("&amp;TEXT(AD8,"0.00%")&amp;"), "&amp;AC15&amp;" actual ("&amp;TEXT(AD15,"0.00%")&amp;")"</f>
        <v>QE: 10 (14.93%), 10 actual (14.93%)</v>
      </c>
    </row>
    <row r="32" spans="1:34">
      <c r="A32">
        <v>76</v>
      </c>
      <c r="B32" t="s">
        <v>98</v>
      </c>
      <c r="C32">
        <v>2330064</v>
      </c>
      <c r="D32">
        <v>1.72E-2</v>
      </c>
      <c r="E32">
        <v>1.72E-2</v>
      </c>
      <c r="F32">
        <v>9</v>
      </c>
      <c r="G32" t="s">
        <v>98</v>
      </c>
      <c r="H32">
        <v>4424866</v>
      </c>
      <c r="I32">
        <v>4.8399999999999999E-2</v>
      </c>
      <c r="J32">
        <v>4.8500000000000001E-2</v>
      </c>
      <c r="K32">
        <v>57</v>
      </c>
      <c r="L32" s="5" t="b">
        <f t="shared" si="0"/>
        <v>1</v>
      </c>
      <c r="M32" s="5">
        <f t="shared" si="1"/>
        <v>-2094802</v>
      </c>
      <c r="N32" s="5" t="str">
        <f t="shared" si="2"/>
        <v>RC</v>
      </c>
      <c r="O32" s="5" t="str">
        <f t="shared" si="3"/>
        <v>52.658%</v>
      </c>
      <c r="P32" s="5">
        <f t="shared" si="4"/>
        <v>-3.1199999999999999E-2</v>
      </c>
      <c r="Q32" s="5" t="str">
        <f t="shared" si="5"/>
        <v>RC</v>
      </c>
      <c r="R32" s="5" t="str">
        <f t="shared" si="6"/>
        <v>35.537%</v>
      </c>
      <c r="S32" s="5">
        <f t="shared" si="7"/>
        <v>-3.1300000000000001E-2</v>
      </c>
      <c r="T32" s="5" t="str">
        <f t="shared" si="8"/>
        <v>RC</v>
      </c>
      <c r="U32" s="5" t="str">
        <f t="shared" si="9"/>
        <v>35.464%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/>
    </row>
    <row r="33" spans="1:30">
      <c r="A33">
        <v>77</v>
      </c>
      <c r="B33" t="s">
        <v>98</v>
      </c>
      <c r="C33">
        <v>1733844291</v>
      </c>
      <c r="D33">
        <v>19.760999999999999</v>
      </c>
      <c r="E33">
        <v>16.0929</v>
      </c>
      <c r="F33">
        <v>13005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s="5" t="str">
        <f t="shared" si="0"/>
        <v>--</v>
      </c>
      <c r="M33" s="5" t="str">
        <f t="shared" si="1"/>
        <v>--</v>
      </c>
      <c r="N33" s="5" t="str">
        <f t="shared" si="2"/>
        <v>RC</v>
      </c>
      <c r="O33" s="5" t="str">
        <f t="shared" si="3"/>
        <v>--</v>
      </c>
      <c r="P33" s="5" t="str">
        <f t="shared" si="4"/>
        <v>--</v>
      </c>
      <c r="Q33" s="5" t="str">
        <f t="shared" si="5"/>
        <v>RC</v>
      </c>
      <c r="R33" s="5" t="str">
        <f t="shared" si="6"/>
        <v>--</v>
      </c>
      <c r="S33" s="5" t="str">
        <f t="shared" si="7"/>
        <v>--</v>
      </c>
      <c r="T33" s="5" t="str">
        <f t="shared" si="8"/>
        <v>RC</v>
      </c>
      <c r="U33" s="5" t="str">
        <f t="shared" si="9"/>
        <v>--</v>
      </c>
      <c r="V33" s="5" t="str">
        <f t="shared" si="10"/>
        <v>--</v>
      </c>
      <c r="W33" s="5" t="str">
        <f t="shared" si="11"/>
        <v>RC</v>
      </c>
      <c r="X33" s="5" t="str">
        <f t="shared" si="12"/>
        <v>--</v>
      </c>
      <c r="Y33" s="5"/>
      <c r="Z33" t="s">
        <v>42</v>
      </c>
    </row>
    <row r="34" spans="1:30">
      <c r="A34">
        <v>78</v>
      </c>
      <c r="B34" t="s">
        <v>98</v>
      </c>
      <c r="C34">
        <v>1745379216</v>
      </c>
      <c r="D34">
        <v>19.6157</v>
      </c>
      <c r="E34">
        <v>16.047999999999998</v>
      </c>
      <c r="F34">
        <v>13005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s="5" t="str">
        <f t="shared" si="0"/>
        <v>--</v>
      </c>
      <c r="M34" s="5" t="str">
        <f t="shared" si="1"/>
        <v>--</v>
      </c>
      <c r="N34" s="5" t="str">
        <f t="shared" si="2"/>
        <v>RC</v>
      </c>
      <c r="O34" s="5" t="str">
        <f t="shared" si="3"/>
        <v>--</v>
      </c>
      <c r="P34" s="5" t="str">
        <f t="shared" si="4"/>
        <v>--</v>
      </c>
      <c r="Q34" s="5" t="str">
        <f t="shared" si="5"/>
        <v>RC</v>
      </c>
      <c r="R34" s="5" t="str">
        <f t="shared" si="6"/>
        <v>--</v>
      </c>
      <c r="S34" s="5" t="str">
        <f t="shared" si="7"/>
        <v>--</v>
      </c>
      <c r="T34" s="5" t="str">
        <f t="shared" si="8"/>
        <v>RC</v>
      </c>
      <c r="U34" s="5" t="str">
        <f t="shared" si="9"/>
        <v>--</v>
      </c>
      <c r="V34" s="5" t="str">
        <f t="shared" si="10"/>
        <v>--</v>
      </c>
      <c r="W34" s="5" t="str">
        <f t="shared" si="11"/>
        <v>RC</v>
      </c>
      <c r="X34" s="5" t="str">
        <f t="shared" si="12"/>
        <v>--</v>
      </c>
      <c r="Y34" s="5"/>
      <c r="Z34" t="str">
        <f>Z7&amp;": "&amp;AG7&amp;" ("&amp;TEXT(AH7,"0.00%")&amp;"), "&amp;AG14&amp;" actual ("&amp;TEXT(AH14,"0.00%")&amp;")"</f>
        <v>RC: 35 (52.24%), 4 actual (5.97%)</v>
      </c>
    </row>
    <row r="35" spans="1:30">
      <c r="A35">
        <v>79</v>
      </c>
      <c r="B35" t="s">
        <v>98</v>
      </c>
      <c r="C35">
        <v>1743171270</v>
      </c>
      <c r="D35">
        <v>19.698399999999999</v>
      </c>
      <c r="E35">
        <v>16.0458</v>
      </c>
      <c r="F35">
        <v>13005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s="5" t="str">
        <f t="shared" si="0"/>
        <v>--</v>
      </c>
      <c r="M35" s="5" t="str">
        <f t="shared" si="1"/>
        <v>--</v>
      </c>
      <c r="N35" s="5" t="str">
        <f t="shared" si="2"/>
        <v>RC</v>
      </c>
      <c r="O35" s="5" t="str">
        <f t="shared" si="3"/>
        <v>--</v>
      </c>
      <c r="P35" s="5" t="str">
        <f t="shared" si="4"/>
        <v>--</v>
      </c>
      <c r="Q35" s="5" t="str">
        <f t="shared" si="5"/>
        <v>RC</v>
      </c>
      <c r="R35" s="5" t="str">
        <f t="shared" si="6"/>
        <v>--</v>
      </c>
      <c r="S35" s="5" t="str">
        <f t="shared" si="7"/>
        <v>--</v>
      </c>
      <c r="T35" s="5" t="str">
        <f t="shared" si="8"/>
        <v>RC</v>
      </c>
      <c r="U35" s="5" t="str">
        <f t="shared" si="9"/>
        <v>--</v>
      </c>
      <c r="V35" s="5" t="str">
        <f t="shared" si="10"/>
        <v>--</v>
      </c>
      <c r="W35" s="5" t="str">
        <f t="shared" si="11"/>
        <v>RC</v>
      </c>
      <c r="X35" s="5" t="str">
        <f t="shared" si="12"/>
        <v>--</v>
      </c>
      <c r="Y35" s="5"/>
      <c r="Z35" t="str">
        <f>Z8&amp;": "&amp;AG8&amp;" ("&amp;TEXT(AH8,"0.00%")&amp;"), "&amp;AG15&amp;" actual ("&amp;TEXT(AH15,"0.00%")&amp;")"</f>
        <v>QE: 0 (0.00%), 0 actual (0.00%)</v>
      </c>
    </row>
    <row r="36" spans="1:30">
      <c r="A36">
        <v>80</v>
      </c>
      <c r="B36" t="s">
        <v>98</v>
      </c>
      <c r="C36">
        <v>1745638124</v>
      </c>
      <c r="D36">
        <v>19.732800000000001</v>
      </c>
      <c r="E36">
        <v>16.108699999999999</v>
      </c>
      <c r="F36">
        <v>13005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s="5" t="str">
        <f t="shared" si="0"/>
        <v>--</v>
      </c>
      <c r="M36" s="5" t="str">
        <f t="shared" si="1"/>
        <v>--</v>
      </c>
      <c r="N36" s="5" t="str">
        <f t="shared" si="2"/>
        <v>RC</v>
      </c>
      <c r="O36" s="5" t="str">
        <f t="shared" si="3"/>
        <v>--</v>
      </c>
      <c r="P36" s="5" t="str">
        <f t="shared" si="4"/>
        <v>--</v>
      </c>
      <c r="Q36" s="5" t="str">
        <f t="shared" si="5"/>
        <v>RC</v>
      </c>
      <c r="R36" s="5" t="str">
        <f t="shared" si="6"/>
        <v>--</v>
      </c>
      <c r="S36" s="5" t="str">
        <f t="shared" si="7"/>
        <v>--</v>
      </c>
      <c r="T36" s="5" t="str">
        <f t="shared" si="8"/>
        <v>RC</v>
      </c>
      <c r="U36" s="5" t="str">
        <f t="shared" si="9"/>
        <v>--</v>
      </c>
      <c r="V36" s="5" t="str">
        <f t="shared" si="10"/>
        <v>--</v>
      </c>
      <c r="W36" s="5" t="str">
        <f t="shared" si="11"/>
        <v>RC</v>
      </c>
      <c r="X36" s="5" t="str">
        <f t="shared" si="12"/>
        <v>--</v>
      </c>
      <c r="Y36" s="5"/>
    </row>
    <row r="37" spans="1:30">
      <c r="A37">
        <v>81</v>
      </c>
      <c r="B37" t="s">
        <v>98</v>
      </c>
      <c r="C37">
        <v>2330120</v>
      </c>
      <c r="D37">
        <v>1.7100000000000001E-2</v>
      </c>
      <c r="E37">
        <v>1.72E-2</v>
      </c>
      <c r="F37">
        <v>9</v>
      </c>
      <c r="G37" t="s">
        <v>98</v>
      </c>
      <c r="H37">
        <v>4422977</v>
      </c>
      <c r="I37">
        <v>0.05</v>
      </c>
      <c r="J37">
        <v>0.05</v>
      </c>
      <c r="K37">
        <v>57</v>
      </c>
      <c r="L37" s="5" t="b">
        <f t="shared" si="0"/>
        <v>1</v>
      </c>
      <c r="M37" s="5">
        <f t="shared" si="1"/>
        <v>-2092857</v>
      </c>
      <c r="N37" s="5" t="str">
        <f t="shared" si="2"/>
        <v>RC</v>
      </c>
      <c r="O37" s="5" t="str">
        <f t="shared" si="3"/>
        <v>52.682%</v>
      </c>
      <c r="P37" s="5">
        <f t="shared" si="4"/>
        <v>-3.2899999999999999E-2</v>
      </c>
      <c r="Q37" s="5" t="str">
        <f t="shared" si="5"/>
        <v>RC</v>
      </c>
      <c r="R37" s="5" t="str">
        <f t="shared" si="6"/>
        <v>34.200%</v>
      </c>
      <c r="S37" s="5">
        <f t="shared" si="7"/>
        <v>-3.2800000000000003E-2</v>
      </c>
      <c r="T37" s="5" t="str">
        <f t="shared" si="8"/>
        <v>RC</v>
      </c>
      <c r="U37" s="5" t="str">
        <f t="shared" si="9"/>
        <v>34.400%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/>
    </row>
    <row r="38" spans="1:30">
      <c r="A38">
        <v>82</v>
      </c>
      <c r="B38" t="s">
        <v>98</v>
      </c>
      <c r="C38">
        <v>1743974959</v>
      </c>
      <c r="D38">
        <v>19.848500000000001</v>
      </c>
      <c r="E38">
        <v>16.247499999999999</v>
      </c>
      <c r="F38">
        <v>13005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s="5" t="str">
        <f t="shared" si="0"/>
        <v>--</v>
      </c>
      <c r="M38" s="5" t="str">
        <f t="shared" si="1"/>
        <v>--</v>
      </c>
      <c r="N38" s="5" t="str">
        <f t="shared" si="2"/>
        <v>RC</v>
      </c>
      <c r="O38" s="5" t="str">
        <f t="shared" si="3"/>
        <v>--</v>
      </c>
      <c r="P38" s="5" t="str">
        <f t="shared" si="4"/>
        <v>--</v>
      </c>
      <c r="Q38" s="5" t="str">
        <f t="shared" si="5"/>
        <v>RC</v>
      </c>
      <c r="R38" s="5" t="str">
        <f t="shared" si="6"/>
        <v>--</v>
      </c>
      <c r="S38" s="5" t="str">
        <f t="shared" si="7"/>
        <v>--</v>
      </c>
      <c r="T38" s="5" t="str">
        <f t="shared" si="8"/>
        <v>RC</v>
      </c>
      <c r="U38" s="5" t="str">
        <f t="shared" si="9"/>
        <v>--</v>
      </c>
      <c r="V38" s="5" t="str">
        <f t="shared" si="10"/>
        <v>--</v>
      </c>
      <c r="W38" s="5" t="str">
        <f t="shared" si="11"/>
        <v>RC</v>
      </c>
      <c r="X38" s="5" t="str">
        <f t="shared" si="12"/>
        <v>--</v>
      </c>
      <c r="Y38" s="5"/>
    </row>
    <row r="39" spans="1:30">
      <c r="A39">
        <v>83</v>
      </c>
      <c r="B39" t="s">
        <v>98</v>
      </c>
      <c r="C39">
        <v>1731119016</v>
      </c>
      <c r="D39">
        <v>19.6891</v>
      </c>
      <c r="E39">
        <v>16.0913</v>
      </c>
      <c r="F39">
        <v>13005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s="5" t="str">
        <f t="shared" si="0"/>
        <v>--</v>
      </c>
      <c r="M39" s="5" t="str">
        <f t="shared" si="1"/>
        <v>--</v>
      </c>
      <c r="N39" s="5" t="str">
        <f t="shared" si="2"/>
        <v>RC</v>
      </c>
      <c r="O39" s="5" t="str">
        <f t="shared" si="3"/>
        <v>--</v>
      </c>
      <c r="P39" s="5" t="str">
        <f t="shared" si="4"/>
        <v>--</v>
      </c>
      <c r="Q39" s="5" t="str">
        <f t="shared" si="5"/>
        <v>RC</v>
      </c>
      <c r="R39" s="5" t="str">
        <f t="shared" si="6"/>
        <v>--</v>
      </c>
      <c r="S39" s="5" t="str">
        <f t="shared" si="7"/>
        <v>--</v>
      </c>
      <c r="T39" s="5" t="str">
        <f t="shared" si="8"/>
        <v>RC</v>
      </c>
      <c r="U39" s="5" t="str">
        <f t="shared" si="9"/>
        <v>--</v>
      </c>
      <c r="V39" s="5" t="str">
        <f t="shared" si="10"/>
        <v>--</v>
      </c>
      <c r="W39" s="5" t="str">
        <f t="shared" si="11"/>
        <v>RC</v>
      </c>
      <c r="X39" s="5" t="str">
        <f t="shared" si="12"/>
        <v>--</v>
      </c>
      <c r="Y39" s="5"/>
    </row>
    <row r="40" spans="1:30">
      <c r="A40">
        <v>84</v>
      </c>
      <c r="B40" t="s">
        <v>98</v>
      </c>
      <c r="C40">
        <v>1730566097</v>
      </c>
      <c r="D40">
        <v>19.653099999999998</v>
      </c>
      <c r="E40">
        <v>16.042899999999999</v>
      </c>
      <c r="F40">
        <v>13005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s="5" t="str">
        <f t="shared" si="0"/>
        <v>--</v>
      </c>
      <c r="M40" s="5" t="str">
        <f t="shared" si="1"/>
        <v>--</v>
      </c>
      <c r="N40" s="5" t="str">
        <f t="shared" si="2"/>
        <v>RC</v>
      </c>
      <c r="O40" s="5" t="str">
        <f t="shared" si="3"/>
        <v>--</v>
      </c>
      <c r="P40" s="5" t="str">
        <f t="shared" si="4"/>
        <v>--</v>
      </c>
      <c r="Q40" s="5" t="str">
        <f t="shared" si="5"/>
        <v>RC</v>
      </c>
      <c r="R40" s="5" t="str">
        <f t="shared" si="6"/>
        <v>--</v>
      </c>
      <c r="S40" s="5" t="str">
        <f t="shared" si="7"/>
        <v>--</v>
      </c>
      <c r="T40" s="5" t="str">
        <f t="shared" si="8"/>
        <v>RC</v>
      </c>
      <c r="U40" s="5" t="str">
        <f t="shared" si="9"/>
        <v>--</v>
      </c>
      <c r="V40" s="5" t="str">
        <f t="shared" si="10"/>
        <v>--</v>
      </c>
      <c r="W40" s="5" t="str">
        <f t="shared" si="11"/>
        <v>RC</v>
      </c>
      <c r="X40" s="5" t="str">
        <f t="shared" si="12"/>
        <v>--</v>
      </c>
      <c r="Y40" s="5"/>
    </row>
    <row r="41" spans="1:30" ht="30">
      <c r="A41">
        <v>86</v>
      </c>
      <c r="B41" t="s">
        <v>98</v>
      </c>
      <c r="C41">
        <v>15246033808</v>
      </c>
      <c r="D41">
        <v>201.12970000000001</v>
      </c>
      <c r="E41">
        <v>149.89930000000001</v>
      </c>
      <c r="F41">
        <v>130067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s="5" t="str">
        <f t="shared" si="0"/>
        <v>--</v>
      </c>
      <c r="M41" s="5" t="str">
        <f t="shared" si="1"/>
        <v>--</v>
      </c>
      <c r="N41" s="5" t="str">
        <f t="shared" si="2"/>
        <v>RC</v>
      </c>
      <c r="O41" s="5" t="str">
        <f t="shared" si="3"/>
        <v>--</v>
      </c>
      <c r="P41" s="5" t="str">
        <f t="shared" si="4"/>
        <v>--</v>
      </c>
      <c r="Q41" s="5" t="str">
        <f t="shared" si="5"/>
        <v>RC</v>
      </c>
      <c r="R41" s="5" t="str">
        <f t="shared" si="6"/>
        <v>--</v>
      </c>
      <c r="S41" s="5" t="str">
        <f t="shared" si="7"/>
        <v>--</v>
      </c>
      <c r="T41" s="5" t="str">
        <f t="shared" si="8"/>
        <v>RC</v>
      </c>
      <c r="U41" s="5" t="str">
        <f t="shared" si="9"/>
        <v>--</v>
      </c>
      <c r="V41" s="5" t="str">
        <f t="shared" si="10"/>
        <v>--</v>
      </c>
      <c r="W41" s="5" t="str">
        <f t="shared" si="11"/>
        <v>RC</v>
      </c>
      <c r="X41" s="5" t="str">
        <f t="shared" si="12"/>
        <v>--</v>
      </c>
      <c r="Y41" s="5"/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</row>
    <row r="42" spans="1:30">
      <c r="A42">
        <v>88</v>
      </c>
      <c r="B42" t="s">
        <v>98</v>
      </c>
      <c r="C42">
        <v>15250780128</v>
      </c>
      <c r="D42">
        <v>208.05629999999999</v>
      </c>
      <c r="E42">
        <v>151.25280000000001</v>
      </c>
      <c r="F42">
        <v>130067</v>
      </c>
      <c r="G42" t="s">
        <v>57</v>
      </c>
      <c r="H42" t="s">
        <v>57</v>
      </c>
      <c r="I42" t="s">
        <v>57</v>
      </c>
      <c r="J42" t="s">
        <v>57</v>
      </c>
      <c r="K42" t="s">
        <v>57</v>
      </c>
      <c r="L42" s="5" t="str">
        <f t="shared" si="0"/>
        <v>--</v>
      </c>
      <c r="M42" s="5" t="str">
        <f t="shared" si="1"/>
        <v>--</v>
      </c>
      <c r="N42" s="5" t="str">
        <f t="shared" si="2"/>
        <v>RC</v>
      </c>
      <c r="O42" s="5" t="str">
        <f t="shared" si="3"/>
        <v>--</v>
      </c>
      <c r="P42" s="5" t="str">
        <f t="shared" si="4"/>
        <v>--</v>
      </c>
      <c r="Q42" s="5" t="str">
        <f t="shared" si="5"/>
        <v>RC</v>
      </c>
      <c r="R42" s="5" t="str">
        <f t="shared" si="6"/>
        <v>--</v>
      </c>
      <c r="S42" s="5" t="str">
        <f t="shared" si="7"/>
        <v>--</v>
      </c>
      <c r="T42" s="5" t="str">
        <f t="shared" si="8"/>
        <v>RC</v>
      </c>
      <c r="U42" s="5" t="str">
        <f t="shared" si="9"/>
        <v>--</v>
      </c>
      <c r="V42" s="5" t="str">
        <f t="shared" si="10"/>
        <v>--</v>
      </c>
      <c r="W42" s="5" t="str">
        <f t="shared" si="11"/>
        <v>RC</v>
      </c>
      <c r="X42" s="5" t="str">
        <f t="shared" si="12"/>
        <v>--</v>
      </c>
      <c r="Y42" s="5"/>
      <c r="Z42" s="5" t="s">
        <v>30</v>
      </c>
      <c r="AA42">
        <f>SUMIFS(C2:C68,C2:C68,"&gt;0",H2:H68,"&gt;0")</f>
        <v>391904170</v>
      </c>
      <c r="AB42">
        <f>SUMIFS(D2:D68,D2:D68,"&gt;0",I2:I68,"&gt;0")</f>
        <v>3.4434999999999998</v>
      </c>
      <c r="AC42">
        <f>SUMIFS(E2:E68,E2:E68,"&gt;0",J2:J68,"&gt;0")</f>
        <v>3.4036</v>
      </c>
      <c r="AD42">
        <f>SUMIFS(F2:F68,F2:F68,"&gt;0",K2:K68,"&gt;0")</f>
        <v>2754</v>
      </c>
    </row>
    <row r="43" spans="1:30">
      <c r="A43">
        <v>90</v>
      </c>
      <c r="B43" t="s">
        <v>98</v>
      </c>
      <c r="C43">
        <v>13973781168</v>
      </c>
      <c r="D43">
        <v>195.1797</v>
      </c>
      <c r="E43">
        <v>139.72909999999999</v>
      </c>
      <c r="F43">
        <v>114529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s="5" t="str">
        <f t="shared" si="0"/>
        <v>--</v>
      </c>
      <c r="M43" s="5" t="str">
        <f t="shared" si="1"/>
        <v>--</v>
      </c>
      <c r="N43" s="5" t="str">
        <f t="shared" si="2"/>
        <v>RC</v>
      </c>
      <c r="O43" s="5" t="str">
        <f t="shared" si="3"/>
        <v>--</v>
      </c>
      <c r="P43" s="5" t="str">
        <f t="shared" si="4"/>
        <v>--</v>
      </c>
      <c r="Q43" s="5" t="str">
        <f t="shared" si="5"/>
        <v>RC</v>
      </c>
      <c r="R43" s="5" t="str">
        <f t="shared" si="6"/>
        <v>--</v>
      </c>
      <c r="S43" s="5" t="str">
        <f t="shared" si="7"/>
        <v>--</v>
      </c>
      <c r="T43" s="5" t="str">
        <f t="shared" si="8"/>
        <v>RC</v>
      </c>
      <c r="U43" s="5" t="str">
        <f t="shared" si="9"/>
        <v>--</v>
      </c>
      <c r="V43" s="5" t="str">
        <f t="shared" si="10"/>
        <v>--</v>
      </c>
      <c r="W43" s="5" t="str">
        <f t="shared" si="11"/>
        <v>RC</v>
      </c>
      <c r="X43" s="5" t="str">
        <f t="shared" si="12"/>
        <v>--</v>
      </c>
      <c r="Y43" s="5"/>
      <c r="Z43" s="5" t="s">
        <v>31</v>
      </c>
      <c r="AA43">
        <f>SUMIFS(H2:H68,C2:C68,"&gt;0",H2:H68,"&gt;0")</f>
        <v>270763733</v>
      </c>
      <c r="AB43">
        <f>SUMIFS(I2:I68,D2:D68,"&gt;0",I2:I68,"&gt;0")</f>
        <v>3.2310999999999996</v>
      </c>
      <c r="AC43">
        <f>SUMIFS(J2:J68,E2:E68,"&gt;0",J2:J68,"&gt;0")</f>
        <v>3.1711999999999998</v>
      </c>
      <c r="AD43">
        <f>SUMIFS(K2:K68,F2:F68,"&gt;0",K2:K68,"&gt;0")</f>
        <v>2946</v>
      </c>
    </row>
    <row r="44" spans="1:30">
      <c r="A44">
        <v>92</v>
      </c>
      <c r="B44" t="s">
        <v>98</v>
      </c>
      <c r="C44">
        <v>13960733613</v>
      </c>
      <c r="D44">
        <v>190.31720000000001</v>
      </c>
      <c r="E44">
        <v>139.6566</v>
      </c>
      <c r="F44">
        <v>114529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s="5" t="str">
        <f t="shared" si="0"/>
        <v>--</v>
      </c>
      <c r="M44" s="5" t="str">
        <f t="shared" si="1"/>
        <v>--</v>
      </c>
      <c r="N44" s="5" t="str">
        <f t="shared" si="2"/>
        <v>RC</v>
      </c>
      <c r="O44" s="5" t="str">
        <f t="shared" si="3"/>
        <v>--</v>
      </c>
      <c r="P44" s="5" t="str">
        <f t="shared" si="4"/>
        <v>--</v>
      </c>
      <c r="Q44" s="5" t="str">
        <f t="shared" si="5"/>
        <v>RC</v>
      </c>
      <c r="R44" s="5" t="str">
        <f t="shared" si="6"/>
        <v>--</v>
      </c>
      <c r="S44" s="5" t="str">
        <f t="shared" si="7"/>
        <v>--</v>
      </c>
      <c r="T44" s="5" t="str">
        <f t="shared" si="8"/>
        <v>RC</v>
      </c>
      <c r="U44" s="5" t="str">
        <f t="shared" si="9"/>
        <v>--</v>
      </c>
      <c r="V44" s="5" t="str">
        <f t="shared" si="10"/>
        <v>--</v>
      </c>
      <c r="W44" s="5" t="str">
        <f t="shared" si="11"/>
        <v>RC</v>
      </c>
      <c r="X44" s="5" t="str">
        <f t="shared" si="12"/>
        <v>--</v>
      </c>
      <c r="Y44" s="5"/>
    </row>
    <row r="45" spans="1:30">
      <c r="A45">
        <v>93</v>
      </c>
      <c r="B45" t="s">
        <v>98</v>
      </c>
      <c r="C45">
        <v>13962429248</v>
      </c>
      <c r="D45">
        <v>190.4641</v>
      </c>
      <c r="E45">
        <v>139.94110000000001</v>
      </c>
      <c r="F45">
        <v>114529</v>
      </c>
      <c r="G45" t="s">
        <v>57</v>
      </c>
      <c r="H45" t="s">
        <v>57</v>
      </c>
      <c r="I45" t="s">
        <v>57</v>
      </c>
      <c r="J45" t="s">
        <v>57</v>
      </c>
      <c r="K45" t="s">
        <v>57</v>
      </c>
      <c r="L45" s="5" t="str">
        <f t="shared" si="0"/>
        <v>--</v>
      </c>
      <c r="M45" s="5" t="str">
        <f t="shared" si="1"/>
        <v>--</v>
      </c>
      <c r="N45" s="5" t="str">
        <f t="shared" si="2"/>
        <v>RC</v>
      </c>
      <c r="O45" s="5" t="str">
        <f t="shared" si="3"/>
        <v>--</v>
      </c>
      <c r="P45" s="5" t="str">
        <f t="shared" si="4"/>
        <v>--</v>
      </c>
      <c r="Q45" s="5" t="str">
        <f t="shared" si="5"/>
        <v>RC</v>
      </c>
      <c r="R45" s="5" t="str">
        <f t="shared" si="6"/>
        <v>--</v>
      </c>
      <c r="S45" s="5" t="str">
        <f t="shared" si="7"/>
        <v>--</v>
      </c>
      <c r="T45" s="5" t="str">
        <f t="shared" si="8"/>
        <v>RC</v>
      </c>
      <c r="U45" s="5" t="str">
        <f t="shared" si="9"/>
        <v>--</v>
      </c>
      <c r="V45" s="5" t="str">
        <f t="shared" si="10"/>
        <v>--</v>
      </c>
      <c r="W45" s="5" t="str">
        <f t="shared" si="11"/>
        <v>RC</v>
      </c>
      <c r="X45" s="5" t="str">
        <f t="shared" si="12"/>
        <v>--</v>
      </c>
      <c r="Y45" s="5"/>
    </row>
    <row r="46" spans="1:30">
      <c r="A46">
        <v>94</v>
      </c>
      <c r="B46" t="s">
        <v>97</v>
      </c>
      <c r="C46" t="s">
        <v>97</v>
      </c>
      <c r="D46" t="s">
        <v>97</v>
      </c>
      <c r="E46" t="s">
        <v>97</v>
      </c>
      <c r="F46" t="s">
        <v>97</v>
      </c>
      <c r="G46" t="s">
        <v>57</v>
      </c>
      <c r="H46" t="s">
        <v>57</v>
      </c>
      <c r="I46" t="s">
        <v>57</v>
      </c>
      <c r="J46" t="s">
        <v>57</v>
      </c>
      <c r="K46" t="s">
        <v>57</v>
      </c>
      <c r="L46" s="5" t="str">
        <f t="shared" si="0"/>
        <v>--</v>
      </c>
      <c r="M46" s="5" t="str">
        <f t="shared" si="1"/>
        <v>--</v>
      </c>
      <c r="N46" s="5" t="str">
        <f t="shared" si="2"/>
        <v>--</v>
      </c>
      <c r="O46" s="5" t="str">
        <f t="shared" si="3"/>
        <v>--</v>
      </c>
      <c r="P46" s="5" t="str">
        <f t="shared" si="4"/>
        <v>--</v>
      </c>
      <c r="Q46" s="5" t="str">
        <f t="shared" si="5"/>
        <v>--</v>
      </c>
      <c r="R46" s="5" t="str">
        <f t="shared" si="6"/>
        <v>--</v>
      </c>
      <c r="S46" s="5" t="str">
        <f t="shared" si="7"/>
        <v>--</v>
      </c>
      <c r="T46" s="5" t="str">
        <f t="shared" si="8"/>
        <v>--</v>
      </c>
      <c r="U46" s="5" t="str">
        <f t="shared" si="9"/>
        <v>--</v>
      </c>
      <c r="V46" s="5" t="str">
        <f t="shared" si="10"/>
        <v>--</v>
      </c>
      <c r="W46" s="5" t="str">
        <f t="shared" si="11"/>
        <v>--</v>
      </c>
      <c r="X46" s="5" t="str">
        <f t="shared" si="12"/>
        <v>--</v>
      </c>
      <c r="Y46" s="5"/>
      <c r="Z46" t="s">
        <v>116</v>
      </c>
      <c r="AA46" s="23">
        <f>AA42/AA43</f>
        <v>1.4474027435572401</v>
      </c>
      <c r="AB46" s="23">
        <f>AB42/AB43</f>
        <v>1.0657361270155674</v>
      </c>
      <c r="AC46" s="23">
        <f>AC42/AC43</f>
        <v>1.073284561049445</v>
      </c>
      <c r="AD46" s="23">
        <f>AD42/AD43</f>
        <v>0.93482688391038693</v>
      </c>
    </row>
    <row r="47" spans="1:30">
      <c r="A47">
        <v>96</v>
      </c>
      <c r="B47" t="s">
        <v>97</v>
      </c>
      <c r="C47" t="s">
        <v>97</v>
      </c>
      <c r="D47" t="s">
        <v>97</v>
      </c>
      <c r="E47" t="s">
        <v>97</v>
      </c>
      <c r="F47" t="s">
        <v>97</v>
      </c>
      <c r="G47" t="s">
        <v>57</v>
      </c>
      <c r="H47" t="s">
        <v>57</v>
      </c>
      <c r="I47" t="s">
        <v>57</v>
      </c>
      <c r="J47" t="s">
        <v>57</v>
      </c>
      <c r="K47" t="s">
        <v>57</v>
      </c>
      <c r="L47" s="5" t="str">
        <f t="shared" si="0"/>
        <v>--</v>
      </c>
      <c r="M47" s="5" t="str">
        <f t="shared" si="1"/>
        <v>--</v>
      </c>
      <c r="N47" s="5" t="str">
        <f t="shared" si="2"/>
        <v>--</v>
      </c>
      <c r="O47" s="5" t="str">
        <f t="shared" si="3"/>
        <v>--</v>
      </c>
      <c r="P47" s="5" t="str">
        <f t="shared" si="4"/>
        <v>--</v>
      </c>
      <c r="Q47" s="5" t="str">
        <f t="shared" si="5"/>
        <v>--</v>
      </c>
      <c r="R47" s="5" t="str">
        <f t="shared" si="6"/>
        <v>--</v>
      </c>
      <c r="S47" s="5" t="str">
        <f t="shared" si="7"/>
        <v>--</v>
      </c>
      <c r="T47" s="5" t="str">
        <f t="shared" si="8"/>
        <v>--</v>
      </c>
      <c r="U47" s="5" t="str">
        <f t="shared" si="9"/>
        <v>--</v>
      </c>
      <c r="V47" s="5" t="str">
        <f t="shared" si="10"/>
        <v>--</v>
      </c>
      <c r="W47" s="5" t="str">
        <f t="shared" si="11"/>
        <v>--</v>
      </c>
      <c r="X47" s="5" t="str">
        <f t="shared" si="12"/>
        <v>--</v>
      </c>
      <c r="Y47" s="5"/>
      <c r="Z47" t="s">
        <v>117</v>
      </c>
      <c r="AA47" s="23">
        <f>1/AA46</f>
        <v>0.69089270726565621</v>
      </c>
      <c r="AB47" s="23">
        <f>1/AB46</f>
        <v>0.93831857122114126</v>
      </c>
      <c r="AC47" s="23">
        <f>1/AC46</f>
        <v>0.9317193559760254</v>
      </c>
      <c r="AD47" s="23">
        <f>1/AD46</f>
        <v>1.0697167755991286</v>
      </c>
    </row>
    <row r="48" spans="1:30">
      <c r="A48">
        <v>98</v>
      </c>
      <c r="B48" t="s">
        <v>98</v>
      </c>
      <c r="C48">
        <v>23112759811</v>
      </c>
      <c r="D48">
        <v>387.66559999999998</v>
      </c>
      <c r="E48">
        <v>245.60929999999999</v>
      </c>
      <c r="F48">
        <v>181381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s="5" t="str">
        <f t="shared" si="0"/>
        <v>--</v>
      </c>
      <c r="M48" s="5" t="str">
        <f t="shared" si="1"/>
        <v>--</v>
      </c>
      <c r="N48" s="5" t="str">
        <f t="shared" si="2"/>
        <v>RC</v>
      </c>
      <c r="O48" s="5" t="str">
        <f t="shared" si="3"/>
        <v>--</v>
      </c>
      <c r="P48" s="5" t="str">
        <f t="shared" si="4"/>
        <v>--</v>
      </c>
      <c r="Q48" s="5" t="str">
        <f t="shared" si="5"/>
        <v>RC</v>
      </c>
      <c r="R48" s="5" t="str">
        <f t="shared" si="6"/>
        <v>--</v>
      </c>
      <c r="S48" s="5" t="str">
        <f t="shared" si="7"/>
        <v>--</v>
      </c>
      <c r="T48" s="5" t="str">
        <f t="shared" si="8"/>
        <v>RC</v>
      </c>
      <c r="U48" s="5" t="str">
        <f t="shared" si="9"/>
        <v>--</v>
      </c>
      <c r="V48" s="5" t="str">
        <f t="shared" si="10"/>
        <v>--</v>
      </c>
      <c r="W48" s="5" t="str">
        <f t="shared" si="11"/>
        <v>RC</v>
      </c>
      <c r="X48" s="5" t="str">
        <f t="shared" si="12"/>
        <v>--</v>
      </c>
      <c r="Y48" s="5"/>
    </row>
    <row r="49" spans="1:25">
      <c r="A49">
        <v>99</v>
      </c>
      <c r="B49" t="s">
        <v>98</v>
      </c>
      <c r="C49">
        <v>23133441182</v>
      </c>
      <c r="D49">
        <v>391.2953</v>
      </c>
      <c r="E49">
        <v>246.70349999999999</v>
      </c>
      <c r="F49">
        <v>181381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s="5" t="str">
        <f t="shared" si="0"/>
        <v>--</v>
      </c>
      <c r="M49" s="5" t="str">
        <f t="shared" si="1"/>
        <v>--</v>
      </c>
      <c r="N49" s="5" t="str">
        <f t="shared" si="2"/>
        <v>RC</v>
      </c>
      <c r="O49" s="5" t="str">
        <f t="shared" si="3"/>
        <v>--</v>
      </c>
      <c r="P49" s="5" t="str">
        <f t="shared" si="4"/>
        <v>--</v>
      </c>
      <c r="Q49" s="5" t="str">
        <f t="shared" si="5"/>
        <v>RC</v>
      </c>
      <c r="R49" s="5" t="str">
        <f t="shared" si="6"/>
        <v>--</v>
      </c>
      <c r="S49" s="5" t="str">
        <f t="shared" si="7"/>
        <v>--</v>
      </c>
      <c r="T49" s="5" t="str">
        <f t="shared" si="8"/>
        <v>RC</v>
      </c>
      <c r="U49" s="5" t="str">
        <f t="shared" si="9"/>
        <v>--</v>
      </c>
      <c r="V49" s="5" t="str">
        <f t="shared" si="10"/>
        <v>--</v>
      </c>
      <c r="W49" s="5" t="str">
        <f t="shared" si="11"/>
        <v>RC</v>
      </c>
      <c r="X49" s="5" t="str">
        <f t="shared" si="12"/>
        <v>--</v>
      </c>
      <c r="Y49" s="5"/>
    </row>
    <row r="50" spans="1:25">
      <c r="A50">
        <v>101</v>
      </c>
      <c r="B50" t="s">
        <v>98</v>
      </c>
      <c r="C50">
        <v>23133350188</v>
      </c>
      <c r="D50">
        <v>391.1157</v>
      </c>
      <c r="E50">
        <v>246.68190000000001</v>
      </c>
      <c r="F50">
        <v>181381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s="5" t="str">
        <f t="shared" si="0"/>
        <v>--</v>
      </c>
      <c r="M50" s="5" t="str">
        <f t="shared" si="1"/>
        <v>--</v>
      </c>
      <c r="N50" s="5" t="str">
        <f t="shared" si="2"/>
        <v>RC</v>
      </c>
      <c r="O50" s="5" t="str">
        <f t="shared" si="3"/>
        <v>--</v>
      </c>
      <c r="P50" s="5" t="str">
        <f t="shared" si="4"/>
        <v>--</v>
      </c>
      <c r="Q50" s="5" t="str">
        <f t="shared" si="5"/>
        <v>RC</v>
      </c>
      <c r="R50" s="5" t="str">
        <f t="shared" si="6"/>
        <v>--</v>
      </c>
      <c r="S50" s="5" t="str">
        <f t="shared" si="7"/>
        <v>--</v>
      </c>
      <c r="T50" s="5" t="str">
        <f t="shared" si="8"/>
        <v>RC</v>
      </c>
      <c r="U50" s="5" t="str">
        <f t="shared" si="9"/>
        <v>--</v>
      </c>
      <c r="V50" s="5" t="str">
        <f t="shared" si="10"/>
        <v>--</v>
      </c>
      <c r="W50" s="5" t="str">
        <f t="shared" si="11"/>
        <v>RC</v>
      </c>
      <c r="X50" s="5" t="str">
        <f t="shared" si="12"/>
        <v>--</v>
      </c>
      <c r="Y50" s="5"/>
    </row>
    <row r="51" spans="1:25">
      <c r="A51">
        <v>103</v>
      </c>
      <c r="B51" t="s">
        <v>98</v>
      </c>
      <c r="C51">
        <v>15157408481</v>
      </c>
      <c r="D51">
        <v>207.6609</v>
      </c>
      <c r="E51">
        <v>151.83189999999999</v>
      </c>
      <c r="F51">
        <v>130067</v>
      </c>
      <c r="G51" t="s">
        <v>57</v>
      </c>
      <c r="H51" t="s">
        <v>57</v>
      </c>
      <c r="I51" t="s">
        <v>57</v>
      </c>
      <c r="J51" t="s">
        <v>57</v>
      </c>
      <c r="K51" t="s">
        <v>57</v>
      </c>
      <c r="L51" s="5" t="str">
        <f t="shared" si="0"/>
        <v>--</v>
      </c>
      <c r="M51" s="5" t="str">
        <f t="shared" si="1"/>
        <v>--</v>
      </c>
      <c r="N51" s="5" t="str">
        <f t="shared" si="2"/>
        <v>RC</v>
      </c>
      <c r="O51" s="5" t="str">
        <f t="shared" si="3"/>
        <v>--</v>
      </c>
      <c r="P51" s="5" t="str">
        <f t="shared" si="4"/>
        <v>--</v>
      </c>
      <c r="Q51" s="5" t="str">
        <f t="shared" si="5"/>
        <v>RC</v>
      </c>
      <c r="R51" s="5" t="str">
        <f t="shared" si="6"/>
        <v>--</v>
      </c>
      <c r="S51" s="5" t="str">
        <f t="shared" si="7"/>
        <v>--</v>
      </c>
      <c r="T51" s="5" t="str">
        <f t="shared" si="8"/>
        <v>RC</v>
      </c>
      <c r="U51" s="5" t="str">
        <f t="shared" si="9"/>
        <v>--</v>
      </c>
      <c r="V51" s="5" t="str">
        <f t="shared" si="10"/>
        <v>--</v>
      </c>
      <c r="W51" s="5" t="str">
        <f t="shared" si="11"/>
        <v>RC</v>
      </c>
      <c r="X51" s="5" t="str">
        <f t="shared" si="12"/>
        <v>--</v>
      </c>
      <c r="Y51" s="5"/>
    </row>
    <row r="52" spans="1:25">
      <c r="A52">
        <v>105</v>
      </c>
      <c r="B52" t="s">
        <v>97</v>
      </c>
      <c r="C52" t="s">
        <v>97</v>
      </c>
      <c r="D52" t="s">
        <v>97</v>
      </c>
      <c r="E52" t="s">
        <v>97</v>
      </c>
      <c r="F52" t="s">
        <v>97</v>
      </c>
      <c r="G52" t="s">
        <v>57</v>
      </c>
      <c r="H52" t="s">
        <v>57</v>
      </c>
      <c r="I52" t="s">
        <v>57</v>
      </c>
      <c r="J52" t="s">
        <v>57</v>
      </c>
      <c r="K52" t="s">
        <v>57</v>
      </c>
      <c r="L52" s="5" t="str">
        <f t="shared" si="0"/>
        <v>--</v>
      </c>
      <c r="M52" s="5" t="str">
        <f t="shared" si="1"/>
        <v>--</v>
      </c>
      <c r="N52" s="5" t="str">
        <f t="shared" si="2"/>
        <v>--</v>
      </c>
      <c r="O52" s="5" t="str">
        <f t="shared" si="3"/>
        <v>--</v>
      </c>
      <c r="P52" s="5" t="str">
        <f t="shared" si="4"/>
        <v>--</v>
      </c>
      <c r="Q52" s="5" t="str">
        <f t="shared" si="5"/>
        <v>--</v>
      </c>
      <c r="R52" s="5" t="str">
        <f t="shared" si="6"/>
        <v>--</v>
      </c>
      <c r="S52" s="5" t="str">
        <f t="shared" si="7"/>
        <v>--</v>
      </c>
      <c r="T52" s="5" t="str">
        <f t="shared" si="8"/>
        <v>--</v>
      </c>
      <c r="U52" s="5" t="str">
        <f t="shared" si="9"/>
        <v>--</v>
      </c>
      <c r="V52" s="5" t="str">
        <f t="shared" si="10"/>
        <v>--</v>
      </c>
      <c r="W52" s="5" t="str">
        <f t="shared" si="11"/>
        <v>--</v>
      </c>
      <c r="X52" s="5" t="str">
        <f t="shared" si="12"/>
        <v>--</v>
      </c>
      <c r="Y52" s="5"/>
    </row>
    <row r="53" spans="1:25">
      <c r="A53">
        <v>106</v>
      </c>
      <c r="B53" t="s">
        <v>99</v>
      </c>
      <c r="C53" t="s">
        <v>99</v>
      </c>
      <c r="D53" t="s">
        <v>99</v>
      </c>
      <c r="E53" t="s">
        <v>99</v>
      </c>
      <c r="F53" t="s">
        <v>99</v>
      </c>
      <c r="G53" t="s">
        <v>57</v>
      </c>
      <c r="H53" t="s">
        <v>57</v>
      </c>
      <c r="I53" t="s">
        <v>57</v>
      </c>
      <c r="J53" t="s">
        <v>57</v>
      </c>
      <c r="K53" t="s">
        <v>57</v>
      </c>
      <c r="L53" s="5" t="str">
        <f t="shared" si="0"/>
        <v>--</v>
      </c>
      <c r="M53" s="5" t="str">
        <f t="shared" si="1"/>
        <v>--</v>
      </c>
      <c r="N53" s="5" t="str">
        <f t="shared" si="2"/>
        <v>--</v>
      </c>
      <c r="O53" s="5" t="str">
        <f t="shared" si="3"/>
        <v>--</v>
      </c>
      <c r="P53" s="5" t="str">
        <f t="shared" si="4"/>
        <v>--</v>
      </c>
      <c r="Q53" s="5" t="str">
        <f t="shared" si="5"/>
        <v>--</v>
      </c>
      <c r="R53" s="5" t="str">
        <f t="shared" si="6"/>
        <v>--</v>
      </c>
      <c r="S53" s="5" t="str">
        <f t="shared" si="7"/>
        <v>--</v>
      </c>
      <c r="T53" s="5" t="str">
        <f t="shared" si="8"/>
        <v>--</v>
      </c>
      <c r="U53" s="5" t="str">
        <f t="shared" si="9"/>
        <v>--</v>
      </c>
      <c r="V53" s="5" t="str">
        <f t="shared" si="10"/>
        <v>--</v>
      </c>
      <c r="W53" s="5" t="str">
        <f t="shared" si="11"/>
        <v>--</v>
      </c>
      <c r="X53" s="5" t="str">
        <f t="shared" si="12"/>
        <v>--</v>
      </c>
      <c r="Y53" s="5"/>
    </row>
    <row r="54" spans="1:25">
      <c r="A54">
        <v>108</v>
      </c>
      <c r="B54" t="s">
        <v>97</v>
      </c>
      <c r="C54" t="s">
        <v>97</v>
      </c>
      <c r="D54" t="s">
        <v>97</v>
      </c>
      <c r="E54" t="s">
        <v>97</v>
      </c>
      <c r="F54" t="s">
        <v>97</v>
      </c>
      <c r="G54" t="s">
        <v>57</v>
      </c>
      <c r="H54" t="s">
        <v>57</v>
      </c>
      <c r="I54" t="s">
        <v>57</v>
      </c>
      <c r="J54" t="s">
        <v>57</v>
      </c>
      <c r="K54" t="s">
        <v>57</v>
      </c>
      <c r="L54" s="5" t="str">
        <f t="shared" si="0"/>
        <v>--</v>
      </c>
      <c r="M54" s="5" t="str">
        <f t="shared" si="1"/>
        <v>--</v>
      </c>
      <c r="N54" s="5" t="str">
        <f t="shared" si="2"/>
        <v>--</v>
      </c>
      <c r="O54" s="5" t="str">
        <f t="shared" si="3"/>
        <v>--</v>
      </c>
      <c r="P54" s="5" t="str">
        <f t="shared" si="4"/>
        <v>--</v>
      </c>
      <c r="Q54" s="5" t="str">
        <f t="shared" si="5"/>
        <v>--</v>
      </c>
      <c r="R54" s="5" t="str">
        <f t="shared" si="6"/>
        <v>--</v>
      </c>
      <c r="S54" s="5" t="str">
        <f t="shared" si="7"/>
        <v>--</v>
      </c>
      <c r="T54" s="5" t="str">
        <f t="shared" si="8"/>
        <v>--</v>
      </c>
      <c r="U54" s="5" t="str">
        <f t="shared" si="9"/>
        <v>--</v>
      </c>
      <c r="V54" s="5" t="str">
        <f t="shared" si="10"/>
        <v>--</v>
      </c>
      <c r="W54" s="5" t="str">
        <f t="shared" si="11"/>
        <v>--</v>
      </c>
      <c r="X54" s="5" t="str">
        <f t="shared" si="12"/>
        <v>--</v>
      </c>
      <c r="Y54" s="5"/>
    </row>
    <row r="55" spans="1:25">
      <c r="A55">
        <v>109</v>
      </c>
      <c r="B55" t="s">
        <v>97</v>
      </c>
      <c r="C55" t="s">
        <v>97</v>
      </c>
      <c r="D55" t="s">
        <v>97</v>
      </c>
      <c r="E55" t="s">
        <v>97</v>
      </c>
      <c r="F55" t="s">
        <v>97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s="5" t="str">
        <f t="shared" si="0"/>
        <v>--</v>
      </c>
      <c r="M55" s="5" t="str">
        <f t="shared" si="1"/>
        <v>--</v>
      </c>
      <c r="N55" s="5" t="str">
        <f t="shared" si="2"/>
        <v>--</v>
      </c>
      <c r="O55" s="5" t="str">
        <f t="shared" si="3"/>
        <v>--</v>
      </c>
      <c r="P55" s="5" t="str">
        <f t="shared" si="4"/>
        <v>--</v>
      </c>
      <c r="Q55" s="5" t="str">
        <f t="shared" si="5"/>
        <v>--</v>
      </c>
      <c r="R55" s="5" t="str">
        <f t="shared" si="6"/>
        <v>--</v>
      </c>
      <c r="S55" s="5" t="str">
        <f t="shared" si="7"/>
        <v>--</v>
      </c>
      <c r="T55" s="5" t="str">
        <f t="shared" si="8"/>
        <v>--</v>
      </c>
      <c r="U55" s="5" t="str">
        <f t="shared" si="9"/>
        <v>--</v>
      </c>
      <c r="V55" s="5" t="str">
        <f t="shared" si="10"/>
        <v>--</v>
      </c>
      <c r="W55" s="5" t="str">
        <f t="shared" si="11"/>
        <v>--</v>
      </c>
      <c r="X55" s="5" t="str">
        <f t="shared" si="12"/>
        <v>--</v>
      </c>
      <c r="Y55" s="5"/>
    </row>
    <row r="56" spans="1:25">
      <c r="A56">
        <v>112</v>
      </c>
      <c r="B56" t="s">
        <v>98</v>
      </c>
      <c r="C56">
        <v>21117718106</v>
      </c>
      <c r="D56">
        <v>323.47500000000002</v>
      </c>
      <c r="E56">
        <v>219.36670000000001</v>
      </c>
      <c r="F56">
        <v>175155</v>
      </c>
      <c r="G56" t="s">
        <v>57</v>
      </c>
      <c r="H56" t="s">
        <v>57</v>
      </c>
      <c r="I56" t="s">
        <v>57</v>
      </c>
      <c r="J56" t="s">
        <v>57</v>
      </c>
      <c r="K56" t="s">
        <v>57</v>
      </c>
      <c r="L56" s="5" t="str">
        <f t="shared" si="0"/>
        <v>--</v>
      </c>
      <c r="M56" s="5" t="str">
        <f t="shared" si="1"/>
        <v>--</v>
      </c>
      <c r="N56" s="5" t="str">
        <f t="shared" si="2"/>
        <v>RC</v>
      </c>
      <c r="O56" s="5" t="str">
        <f t="shared" si="3"/>
        <v>--</v>
      </c>
      <c r="P56" s="5" t="str">
        <f t="shared" si="4"/>
        <v>--</v>
      </c>
      <c r="Q56" s="5" t="str">
        <f t="shared" si="5"/>
        <v>RC</v>
      </c>
      <c r="R56" s="5" t="str">
        <f t="shared" si="6"/>
        <v>--</v>
      </c>
      <c r="S56" s="5" t="str">
        <f t="shared" si="7"/>
        <v>--</v>
      </c>
      <c r="T56" s="5" t="str">
        <f t="shared" si="8"/>
        <v>RC</v>
      </c>
      <c r="U56" s="5" t="str">
        <f t="shared" si="9"/>
        <v>--</v>
      </c>
      <c r="V56" s="5" t="str">
        <f t="shared" si="10"/>
        <v>--</v>
      </c>
      <c r="W56" s="5" t="str">
        <f t="shared" si="11"/>
        <v>RC</v>
      </c>
      <c r="X56" s="5" t="str">
        <f t="shared" si="12"/>
        <v>--</v>
      </c>
      <c r="Y56" s="5"/>
    </row>
    <row r="57" spans="1:25">
      <c r="A57">
        <v>114</v>
      </c>
      <c r="B57" t="s">
        <v>97</v>
      </c>
      <c r="C57" t="s">
        <v>97</v>
      </c>
      <c r="D57" t="s">
        <v>97</v>
      </c>
      <c r="E57" t="s">
        <v>97</v>
      </c>
      <c r="F57" t="s">
        <v>97</v>
      </c>
      <c r="G57" t="s">
        <v>57</v>
      </c>
      <c r="H57" t="s">
        <v>57</v>
      </c>
      <c r="I57" t="s">
        <v>57</v>
      </c>
      <c r="J57" t="s">
        <v>57</v>
      </c>
      <c r="K57" t="s">
        <v>57</v>
      </c>
      <c r="L57" s="5" t="str">
        <f t="shared" si="0"/>
        <v>--</v>
      </c>
      <c r="M57" s="5" t="str">
        <f t="shared" si="1"/>
        <v>--</v>
      </c>
      <c r="N57" s="5" t="str">
        <f t="shared" si="2"/>
        <v>--</v>
      </c>
      <c r="O57" s="5" t="str">
        <f t="shared" si="3"/>
        <v>--</v>
      </c>
      <c r="P57" s="5" t="str">
        <f t="shared" si="4"/>
        <v>--</v>
      </c>
      <c r="Q57" s="5" t="str">
        <f t="shared" si="5"/>
        <v>--</v>
      </c>
      <c r="R57" s="5" t="str">
        <f t="shared" si="6"/>
        <v>--</v>
      </c>
      <c r="S57" s="5" t="str">
        <f t="shared" si="7"/>
        <v>--</v>
      </c>
      <c r="T57" s="5" t="str">
        <f t="shared" si="8"/>
        <v>--</v>
      </c>
      <c r="U57" s="5" t="str">
        <f t="shared" si="9"/>
        <v>--</v>
      </c>
      <c r="V57" s="5" t="str">
        <f t="shared" si="10"/>
        <v>--</v>
      </c>
      <c r="W57" s="5" t="str">
        <f t="shared" si="11"/>
        <v>--</v>
      </c>
      <c r="X57" s="5" t="str">
        <f t="shared" si="12"/>
        <v>--</v>
      </c>
      <c r="Y57" s="5"/>
    </row>
    <row r="58" spans="1:25">
      <c r="A58">
        <v>115</v>
      </c>
      <c r="B58" t="s">
        <v>97</v>
      </c>
      <c r="C58" t="s">
        <v>97</v>
      </c>
      <c r="D58" t="s">
        <v>97</v>
      </c>
      <c r="E58" t="s">
        <v>97</v>
      </c>
      <c r="F58" t="s">
        <v>97</v>
      </c>
      <c r="G58" t="s">
        <v>57</v>
      </c>
      <c r="H58" t="s">
        <v>57</v>
      </c>
      <c r="I58" t="s">
        <v>57</v>
      </c>
      <c r="J58" t="s">
        <v>57</v>
      </c>
      <c r="K58" t="s">
        <v>57</v>
      </c>
      <c r="L58" s="5" t="str">
        <f t="shared" si="0"/>
        <v>--</v>
      </c>
      <c r="M58" s="5" t="str">
        <f t="shared" si="1"/>
        <v>--</v>
      </c>
      <c r="N58" s="5" t="str">
        <f t="shared" si="2"/>
        <v>--</v>
      </c>
      <c r="O58" s="5" t="str">
        <f t="shared" si="3"/>
        <v>--</v>
      </c>
      <c r="P58" s="5" t="str">
        <f t="shared" si="4"/>
        <v>--</v>
      </c>
      <c r="Q58" s="5" t="str">
        <f t="shared" si="5"/>
        <v>--</v>
      </c>
      <c r="R58" s="5" t="str">
        <f t="shared" si="6"/>
        <v>--</v>
      </c>
      <c r="S58" s="5" t="str">
        <f t="shared" si="7"/>
        <v>--</v>
      </c>
      <c r="T58" s="5" t="str">
        <f t="shared" si="8"/>
        <v>--</v>
      </c>
      <c r="U58" s="5" t="str">
        <f t="shared" si="9"/>
        <v>--</v>
      </c>
      <c r="V58" s="5" t="str">
        <f t="shared" si="10"/>
        <v>--</v>
      </c>
      <c r="W58" s="5" t="str">
        <f t="shared" si="11"/>
        <v>--</v>
      </c>
      <c r="X58" s="5" t="str">
        <f t="shared" si="12"/>
        <v>--</v>
      </c>
      <c r="Y58" s="5"/>
    </row>
    <row r="59" spans="1:25">
      <c r="A59">
        <v>118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57</v>
      </c>
      <c r="H59" t="s">
        <v>57</v>
      </c>
      <c r="I59" t="s">
        <v>57</v>
      </c>
      <c r="J59" t="s">
        <v>57</v>
      </c>
      <c r="K59" t="s">
        <v>57</v>
      </c>
      <c r="L59" s="5" t="str">
        <f t="shared" si="0"/>
        <v>--</v>
      </c>
      <c r="M59" s="5" t="str">
        <f t="shared" si="1"/>
        <v>--</v>
      </c>
      <c r="N59" s="5" t="str">
        <f t="shared" si="2"/>
        <v>--</v>
      </c>
      <c r="O59" s="5" t="str">
        <f t="shared" si="3"/>
        <v>--</v>
      </c>
      <c r="P59" s="5" t="str">
        <f t="shared" si="4"/>
        <v>--</v>
      </c>
      <c r="Q59" s="5" t="str">
        <f t="shared" si="5"/>
        <v>--</v>
      </c>
      <c r="R59" s="5" t="str">
        <f t="shared" si="6"/>
        <v>--</v>
      </c>
      <c r="S59" s="5" t="str">
        <f t="shared" si="7"/>
        <v>--</v>
      </c>
      <c r="T59" s="5" t="str">
        <f t="shared" si="8"/>
        <v>--</v>
      </c>
      <c r="U59" s="5" t="str">
        <f t="shared" si="9"/>
        <v>--</v>
      </c>
      <c r="V59" s="5" t="str">
        <f t="shared" si="10"/>
        <v>--</v>
      </c>
      <c r="W59" s="5" t="str">
        <f t="shared" si="11"/>
        <v>--</v>
      </c>
      <c r="X59" s="5" t="str">
        <f t="shared" si="12"/>
        <v>--</v>
      </c>
      <c r="Y59" s="5"/>
    </row>
    <row r="60" spans="1:25">
      <c r="A60">
        <v>119</v>
      </c>
      <c r="B60" t="s">
        <v>97</v>
      </c>
      <c r="C60" t="s">
        <v>97</v>
      </c>
      <c r="D60" t="s">
        <v>97</v>
      </c>
      <c r="E60" t="s">
        <v>97</v>
      </c>
      <c r="F60" t="s">
        <v>97</v>
      </c>
      <c r="G60" t="s">
        <v>57</v>
      </c>
      <c r="H60" t="s">
        <v>57</v>
      </c>
      <c r="I60" t="s">
        <v>57</v>
      </c>
      <c r="J60" t="s">
        <v>57</v>
      </c>
      <c r="K60" t="s">
        <v>57</v>
      </c>
      <c r="L60" s="5" t="str">
        <f t="shared" si="0"/>
        <v>--</v>
      </c>
      <c r="M60" s="5" t="str">
        <f t="shared" si="1"/>
        <v>--</v>
      </c>
      <c r="N60" s="5" t="str">
        <f t="shared" si="2"/>
        <v>--</v>
      </c>
      <c r="O60" s="5" t="str">
        <f t="shared" si="3"/>
        <v>--</v>
      </c>
      <c r="P60" s="5" t="str">
        <f t="shared" si="4"/>
        <v>--</v>
      </c>
      <c r="Q60" s="5" t="str">
        <f t="shared" si="5"/>
        <v>--</v>
      </c>
      <c r="R60" s="5" t="str">
        <f t="shared" si="6"/>
        <v>--</v>
      </c>
      <c r="S60" s="5" t="str">
        <f t="shared" si="7"/>
        <v>--</v>
      </c>
      <c r="T60" s="5" t="str">
        <f t="shared" si="8"/>
        <v>--</v>
      </c>
      <c r="U60" s="5" t="str">
        <f t="shared" si="9"/>
        <v>--</v>
      </c>
      <c r="V60" s="5" t="str">
        <f t="shared" si="10"/>
        <v>--</v>
      </c>
      <c r="W60" s="5" t="str">
        <f t="shared" si="11"/>
        <v>--</v>
      </c>
      <c r="X60" s="5" t="str">
        <f t="shared" si="12"/>
        <v>--</v>
      </c>
      <c r="Y60" s="5"/>
    </row>
    <row r="61" spans="1:25">
      <c r="A61">
        <v>121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57</v>
      </c>
      <c r="H61" t="s">
        <v>57</v>
      </c>
      <c r="I61" t="s">
        <v>57</v>
      </c>
      <c r="J61" t="s">
        <v>57</v>
      </c>
      <c r="K61" t="s">
        <v>57</v>
      </c>
      <c r="L61" s="5" t="str">
        <f t="shared" si="0"/>
        <v>--</v>
      </c>
      <c r="M61" s="5" t="str">
        <f t="shared" si="1"/>
        <v>--</v>
      </c>
      <c r="N61" s="5" t="str">
        <f t="shared" si="2"/>
        <v>--</v>
      </c>
      <c r="O61" s="5" t="str">
        <f t="shared" si="3"/>
        <v>--</v>
      </c>
      <c r="P61" s="5" t="str">
        <f t="shared" si="4"/>
        <v>--</v>
      </c>
      <c r="Q61" s="5" t="str">
        <f t="shared" si="5"/>
        <v>--</v>
      </c>
      <c r="R61" s="5" t="str">
        <f t="shared" si="6"/>
        <v>--</v>
      </c>
      <c r="S61" s="5" t="str">
        <f t="shared" si="7"/>
        <v>--</v>
      </c>
      <c r="T61" s="5" t="str">
        <f t="shared" si="8"/>
        <v>--</v>
      </c>
      <c r="U61" s="5" t="str">
        <f t="shared" si="9"/>
        <v>--</v>
      </c>
      <c r="V61" s="5" t="str">
        <f t="shared" si="10"/>
        <v>--</v>
      </c>
      <c r="W61" s="5" t="str">
        <f t="shared" si="11"/>
        <v>--</v>
      </c>
      <c r="X61" s="5" t="str">
        <f t="shared" si="12"/>
        <v>--</v>
      </c>
      <c r="Y61" s="5"/>
    </row>
    <row r="62" spans="1:25">
      <c r="A62">
        <v>123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57</v>
      </c>
      <c r="H62" t="s">
        <v>57</v>
      </c>
      <c r="I62" t="s">
        <v>57</v>
      </c>
      <c r="J62" t="s">
        <v>57</v>
      </c>
      <c r="K62" t="s">
        <v>57</v>
      </c>
      <c r="L62" s="5" t="str">
        <f t="shared" si="0"/>
        <v>--</v>
      </c>
      <c r="M62" s="5" t="str">
        <f t="shared" si="1"/>
        <v>--</v>
      </c>
      <c r="N62" s="5" t="str">
        <f t="shared" si="2"/>
        <v>--</v>
      </c>
      <c r="O62" s="5" t="str">
        <f t="shared" si="3"/>
        <v>--</v>
      </c>
      <c r="P62" s="5" t="str">
        <f t="shared" si="4"/>
        <v>--</v>
      </c>
      <c r="Q62" s="5" t="str">
        <f t="shared" si="5"/>
        <v>--</v>
      </c>
      <c r="R62" s="5" t="str">
        <f t="shared" si="6"/>
        <v>--</v>
      </c>
      <c r="S62" s="5" t="str">
        <f t="shared" si="7"/>
        <v>--</v>
      </c>
      <c r="T62" s="5" t="str">
        <f t="shared" si="8"/>
        <v>--</v>
      </c>
      <c r="U62" s="5" t="str">
        <f t="shared" si="9"/>
        <v>--</v>
      </c>
      <c r="V62" s="5" t="str">
        <f t="shared" si="10"/>
        <v>--</v>
      </c>
      <c r="W62" s="5" t="str">
        <f t="shared" si="11"/>
        <v>--</v>
      </c>
      <c r="X62" s="5" t="str">
        <f t="shared" si="12"/>
        <v>--</v>
      </c>
      <c r="Y62" s="5"/>
    </row>
    <row r="63" spans="1:25">
      <c r="A63">
        <v>125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57</v>
      </c>
      <c r="H63" t="s">
        <v>57</v>
      </c>
      <c r="I63" t="s">
        <v>57</v>
      </c>
      <c r="J63" t="s">
        <v>57</v>
      </c>
      <c r="K63" t="s">
        <v>57</v>
      </c>
      <c r="L63" s="5" t="str">
        <f t="shared" si="0"/>
        <v>--</v>
      </c>
      <c r="M63" s="5" t="str">
        <f t="shared" si="1"/>
        <v>--</v>
      </c>
      <c r="N63" s="5" t="str">
        <f t="shared" si="2"/>
        <v>--</v>
      </c>
      <c r="O63" s="5" t="str">
        <f t="shared" si="3"/>
        <v>--</v>
      </c>
      <c r="P63" s="5" t="str">
        <f t="shared" si="4"/>
        <v>--</v>
      </c>
      <c r="Q63" s="5" t="str">
        <f t="shared" si="5"/>
        <v>--</v>
      </c>
      <c r="R63" s="5" t="str">
        <f t="shared" si="6"/>
        <v>--</v>
      </c>
      <c r="S63" s="5" t="str">
        <f t="shared" si="7"/>
        <v>--</v>
      </c>
      <c r="T63" s="5" t="str">
        <f t="shared" si="8"/>
        <v>--</v>
      </c>
      <c r="U63" s="5" t="str">
        <f t="shared" si="9"/>
        <v>--</v>
      </c>
      <c r="V63" s="5" t="str">
        <f t="shared" si="10"/>
        <v>--</v>
      </c>
      <c r="W63" s="5" t="str">
        <f t="shared" si="11"/>
        <v>--</v>
      </c>
      <c r="X63" s="5" t="str">
        <f t="shared" si="12"/>
        <v>--</v>
      </c>
      <c r="Y63" s="5"/>
    </row>
    <row r="64" spans="1:25">
      <c r="A64">
        <v>126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57</v>
      </c>
      <c r="H64" t="s">
        <v>57</v>
      </c>
      <c r="I64" t="s">
        <v>57</v>
      </c>
      <c r="J64" t="s">
        <v>57</v>
      </c>
      <c r="K64" t="s">
        <v>57</v>
      </c>
      <c r="L64" s="5" t="str">
        <f t="shared" si="0"/>
        <v>--</v>
      </c>
      <c r="M64" s="5" t="str">
        <f t="shared" si="1"/>
        <v>--</v>
      </c>
      <c r="N64" s="5" t="str">
        <f t="shared" si="2"/>
        <v>--</v>
      </c>
      <c r="O64" s="5" t="str">
        <f t="shared" si="3"/>
        <v>--</v>
      </c>
      <c r="P64" s="5" t="str">
        <f t="shared" si="4"/>
        <v>--</v>
      </c>
      <c r="Q64" s="5" t="str">
        <f t="shared" si="5"/>
        <v>--</v>
      </c>
      <c r="R64" s="5" t="str">
        <f t="shared" si="6"/>
        <v>--</v>
      </c>
      <c r="S64" s="5" t="str">
        <f t="shared" si="7"/>
        <v>--</v>
      </c>
      <c r="T64" s="5" t="str">
        <f t="shared" si="8"/>
        <v>--</v>
      </c>
      <c r="U64" s="5" t="str">
        <f t="shared" si="9"/>
        <v>--</v>
      </c>
      <c r="V64" s="5" t="str">
        <f t="shared" si="10"/>
        <v>--</v>
      </c>
      <c r="W64" s="5" t="str">
        <f t="shared" si="11"/>
        <v>--</v>
      </c>
      <c r="X64" s="5" t="str">
        <f t="shared" si="12"/>
        <v>--</v>
      </c>
      <c r="Y64" s="5"/>
    </row>
    <row r="65" spans="1:25">
      <c r="A65">
        <v>128</v>
      </c>
      <c r="B65" t="s">
        <v>97</v>
      </c>
      <c r="C65" t="s">
        <v>97</v>
      </c>
      <c r="D65" t="s">
        <v>97</v>
      </c>
      <c r="E65" t="s">
        <v>97</v>
      </c>
      <c r="F65" t="s">
        <v>97</v>
      </c>
      <c r="G65" t="s">
        <v>61</v>
      </c>
      <c r="H65" t="s">
        <v>61</v>
      </c>
      <c r="I65" t="s">
        <v>61</v>
      </c>
      <c r="J65" t="s">
        <v>61</v>
      </c>
      <c r="K65" t="s">
        <v>61</v>
      </c>
      <c r="L65" s="5" t="str">
        <f t="shared" si="0"/>
        <v>--</v>
      </c>
      <c r="M65" s="5" t="str">
        <f t="shared" si="1"/>
        <v>--</v>
      </c>
      <c r="N65" s="5" t="str">
        <f t="shared" si="2"/>
        <v>--</v>
      </c>
      <c r="O65" s="5" t="str">
        <f t="shared" si="3"/>
        <v>--</v>
      </c>
      <c r="P65" s="5" t="str">
        <f t="shared" si="4"/>
        <v>--</v>
      </c>
      <c r="Q65" s="5" t="str">
        <f t="shared" si="5"/>
        <v>--</v>
      </c>
      <c r="R65" s="5" t="str">
        <f t="shared" si="6"/>
        <v>--</v>
      </c>
      <c r="S65" s="5" t="str">
        <f t="shared" si="7"/>
        <v>--</v>
      </c>
      <c r="T65" s="5" t="str">
        <f t="shared" si="8"/>
        <v>--</v>
      </c>
      <c r="U65" s="5" t="str">
        <f t="shared" si="9"/>
        <v>--</v>
      </c>
      <c r="V65" s="5" t="str">
        <f t="shared" si="10"/>
        <v>--</v>
      </c>
      <c r="W65" s="5" t="str">
        <f t="shared" si="11"/>
        <v>--</v>
      </c>
      <c r="X65" s="5" t="str">
        <f t="shared" si="12"/>
        <v>--</v>
      </c>
      <c r="Y65" s="5"/>
    </row>
    <row r="66" spans="1:25">
      <c r="A66">
        <v>129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61</v>
      </c>
      <c r="H66" t="s">
        <v>61</v>
      </c>
      <c r="I66" t="s">
        <v>61</v>
      </c>
      <c r="J66" t="s">
        <v>61</v>
      </c>
      <c r="K66" t="s">
        <v>61</v>
      </c>
      <c r="L66" s="5" t="str">
        <f t="shared" si="0"/>
        <v>--</v>
      </c>
      <c r="M66" s="5" t="str">
        <f t="shared" si="1"/>
        <v>--</v>
      </c>
      <c r="N66" s="5" t="str">
        <f t="shared" si="2"/>
        <v>--</v>
      </c>
      <c r="O66" s="5" t="str">
        <f t="shared" si="3"/>
        <v>--</v>
      </c>
      <c r="P66" s="5" t="str">
        <f t="shared" si="4"/>
        <v>--</v>
      </c>
      <c r="Q66" s="5" t="str">
        <f t="shared" si="5"/>
        <v>--</v>
      </c>
      <c r="R66" s="5" t="str">
        <f t="shared" si="6"/>
        <v>--</v>
      </c>
      <c r="S66" s="5" t="str">
        <f t="shared" si="7"/>
        <v>--</v>
      </c>
      <c r="T66" s="5" t="str">
        <f t="shared" si="8"/>
        <v>--</v>
      </c>
      <c r="U66" s="5" t="str">
        <f t="shared" si="9"/>
        <v>--</v>
      </c>
      <c r="V66" s="5" t="str">
        <f t="shared" si="10"/>
        <v>--</v>
      </c>
      <c r="W66" s="5" t="str">
        <f t="shared" si="11"/>
        <v>--</v>
      </c>
      <c r="X66" s="5" t="str">
        <f t="shared" si="12"/>
        <v>--</v>
      </c>
      <c r="Y66" s="5"/>
    </row>
    <row r="67" spans="1:25">
      <c r="A67">
        <v>131</v>
      </c>
      <c r="B67" t="s">
        <v>97</v>
      </c>
      <c r="C67" t="s">
        <v>97</v>
      </c>
      <c r="D67" t="s">
        <v>97</v>
      </c>
      <c r="E67" t="s">
        <v>97</v>
      </c>
      <c r="F67" t="s">
        <v>97</v>
      </c>
      <c r="G67" t="s">
        <v>61</v>
      </c>
      <c r="H67" t="s">
        <v>61</v>
      </c>
      <c r="I67" t="s">
        <v>61</v>
      </c>
      <c r="J67" t="s">
        <v>61</v>
      </c>
      <c r="K67" t="s">
        <v>61</v>
      </c>
      <c r="L67" s="5" t="str">
        <f>IF(OR(ISNUMBER(SEARCH("ERROR", B67)), ISNUMBER(SEARCH("ERROR", G67)), ISNUMBER(SEARCH("TIME OUT", B67)), ISNUMBER(SEARCH("TIME OUT", G67))), "--", B67=G67)</f>
        <v>--</v>
      </c>
      <c r="M67" s="5" t="str">
        <f>IF(OR(ISNUMBER(SEARCH("ERROR", C67)), ISNUMBER(SEARCH("ERROR", H67)), ISNUMBER(SEARCH("TIME OUT", C67)), ISNUMBER(SEARCH("TIME OUT", H67))),"--",C67-H67)</f>
        <v>--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--</v>
      </c>
      <c r="O67" s="5" t="str">
        <f>IF(M67="--","--",TEXT(MIN(C67,H67)/MAX(C67,H67),"0.000%"))</f>
        <v>--</v>
      </c>
      <c r="P67" s="5" t="str">
        <f>IF(OR(ISNUMBER(SEARCH("ERROR", D67)), ISNUMBER(SEARCH("ERROR", I67)), ISNUMBER(SEARCH("TIME OUT", D67)), ISNUMBER(SEARCH("TIME OUT", I67))),"--",D67-I67)</f>
        <v>--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--</v>
      </c>
      <c r="R67" s="5" t="str">
        <f>IF(P67="--","--",TEXT(MIN(D67,I67)/MAX(D67,I67),"0.000%"))</f>
        <v>--</v>
      </c>
      <c r="S67" s="5" t="str">
        <f>IF(OR(ISNUMBER(SEARCH("ERROR", E67)), ISNUMBER(SEARCH("ERROR", J67)), ISNUMBER(SEARCH("TIME OUT", E67)), ISNUMBER(SEARCH("TIME OUT", J67))),"--",E67-J67)</f>
        <v>--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--</v>
      </c>
      <c r="U67" s="5" t="str">
        <f>IF(S67="--","--",TEXT(MIN(E67,J67)/MAX(E67,J67),"0.000%"))</f>
        <v>--</v>
      </c>
      <c r="V67" s="5" t="str">
        <f>IF(OR(ISNUMBER(SEARCH("ERROR", F67)), ISNUMBER(SEARCH("ERROR", K67)), ISNUMBER(SEARCH("TIME OUT", F67)), ISNUMBER(SEARCH("TIME OUT", K67))),"--",F67-K67)</f>
        <v>--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--</v>
      </c>
      <c r="X67" s="5" t="str">
        <f>IF(V67="--","--",TEXT(MIN(F67,K67)/MAX(F67,K67),"0.000%"))</f>
        <v>--</v>
      </c>
      <c r="Y67" s="5"/>
    </row>
    <row r="68" spans="1:25">
      <c r="A68">
        <v>132</v>
      </c>
      <c r="B68" t="s">
        <v>97</v>
      </c>
      <c r="C68" t="s">
        <v>97</v>
      </c>
      <c r="D68" t="s">
        <v>97</v>
      </c>
      <c r="E68" t="s">
        <v>97</v>
      </c>
      <c r="F68" t="s">
        <v>97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  <c r="L68" s="5" t="str">
        <f>IF(OR(ISNUMBER(SEARCH("ERROR", B68)), ISNUMBER(SEARCH("ERROR", G68)), ISNUMBER(SEARCH("TIME OUT", B68)), ISNUMBER(SEARCH("TIME OUT", G68))), "--", B68=G68)</f>
        <v>--</v>
      </c>
      <c r="M68" s="5" t="str">
        <f>IF(OR(ISNUMBER(SEARCH("ERROR", C68)), ISNUMBER(SEARCH("ERROR", H68)), ISNUMBER(SEARCH("TIME OUT", C68)), ISNUMBER(SEARCH("TIME OUT", H68))),"--",C68-H68)</f>
        <v>--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--</v>
      </c>
      <c r="O68" s="5" t="str">
        <f>IF(M68="--","--",TEXT(MIN(C68,H68)/MAX(C68,H68),"0.000%"))</f>
        <v>--</v>
      </c>
      <c r="P68" s="5" t="str">
        <f>IF(OR(ISNUMBER(SEARCH("ERROR", D68)), ISNUMBER(SEARCH("ERROR", I68)), ISNUMBER(SEARCH("TIME OUT", D68)), ISNUMBER(SEARCH("TIME OUT", I68))),"--",D68-I68)</f>
        <v>--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--</v>
      </c>
      <c r="R68" s="5" t="str">
        <f>IF(P68="--","--",TEXT(MIN(D68,I68)/MAX(D68,I68),"0.000%"))</f>
        <v>--</v>
      </c>
      <c r="S68" s="5" t="str">
        <f>IF(OR(ISNUMBER(SEARCH("ERROR", E68)), ISNUMBER(SEARCH("ERROR", J68)), ISNUMBER(SEARCH("TIME OUT", E68)), ISNUMBER(SEARCH("TIME OUT", J68))),"--",E68-J68)</f>
        <v>--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--</v>
      </c>
      <c r="U68" s="5" t="str">
        <f>IF(S68="--","--",TEXT(MIN(E68,J68)/MAX(E68,J68),"0.000%"))</f>
        <v>--</v>
      </c>
      <c r="V68" s="5" t="str">
        <f>IF(OR(ISNUMBER(SEARCH("ERROR", F68)), ISNUMBER(SEARCH("ERROR", K68)), ISNUMBER(SEARCH("TIME OUT", F68)), ISNUMBER(SEARCH("TIME OUT", K68))),"--",F68-K68)</f>
        <v>--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--</v>
      </c>
      <c r="X68" s="5" t="str">
        <f>IF(V68="--","--",TEXT(MIN(F68,K68)/MAX(F68,K68),"0.000%"))</f>
        <v>--</v>
      </c>
      <c r="Y68" s="5"/>
    </row>
    <row r="70" spans="1:25">
      <c r="N70" s="5"/>
      <c r="O70" s="5"/>
    </row>
  </sheetData>
  <autoFilter ref="A1:X68" xr:uid="{9467C749-54A7-4F66-88D7-457AEC497395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51" priority="9" operator="containsText" text="ERROR">
      <formula>NOT(ISERROR(SEARCH("ERROR",A1)))</formula>
    </cfRule>
    <cfRule type="containsText" dxfId="50" priority="15" operator="containsText" text="TIME OUT">
      <formula>NOT(ISERROR(SEARCH("TIME OUT",A1)))</formula>
    </cfRule>
  </conditionalFormatting>
  <conditionalFormatting sqref="L2:L69 L71:L1048576">
    <cfRule type="cellIs" dxfId="49" priority="11" operator="equal">
      <formula>TRUE</formula>
    </cfRule>
  </conditionalFormatting>
  <conditionalFormatting sqref="L1:S1 X1:AG1">
    <cfRule type="containsText" dxfId="48" priority="10" operator="containsText" text="TIME OUT">
      <formula>NOT(ISERROR(SEARCH("TIME OUT",L1)))</formula>
    </cfRule>
  </conditionalFormatting>
  <conditionalFormatting sqref="Z41:AD41">
    <cfRule type="containsText" dxfId="47" priority="1" operator="containsText" text="TIME OUT">
      <formula>NOT(ISERROR(SEARCH("TIME OUT",Z41)))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1ACF-93AD-4887-8376-B0C95F58FB9E}">
  <dimension ref="A1:AQ70"/>
  <sheetViews>
    <sheetView zoomScale="80" zoomScaleNormal="80" workbookViewId="0">
      <pane xSplit="1" ySplit="1" topLeftCell="D20" activePane="bottomRight" state="frozen"/>
      <selection pane="topRight" activeCell="B1" sqref="B1"/>
      <selection pane="bottomLeft" activeCell="A2" sqref="A2"/>
      <selection pane="bottomRight" activeCell="Z25" sqref="Z25:Z35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100</v>
      </c>
      <c r="C2">
        <v>25546212</v>
      </c>
      <c r="D2">
        <v>0.25319999999999998</v>
      </c>
      <c r="E2">
        <v>0.25069999999999998</v>
      </c>
      <c r="F2">
        <v>177</v>
      </c>
      <c r="G2" t="s">
        <v>100</v>
      </c>
      <c r="H2">
        <v>11861819</v>
      </c>
      <c r="I2">
        <v>0.14369999999999999</v>
      </c>
      <c r="J2">
        <v>0.1401</v>
      </c>
      <c r="K2">
        <v>177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13684393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QE</v>
      </c>
      <c r="O2" s="5" t="str">
        <f>IF(M2="--","--",TEXT(MIN(C2,H2)/MAX(C2,H2),"0.000%"))</f>
        <v>46.433%</v>
      </c>
      <c r="P2" s="5">
        <f>IF(OR(ISNUMBER(SEARCH("ERROR", D2)), ISNUMBER(SEARCH("ERROR", I2)), ISNUMBER(SEARCH("TIME OUT", D2)), ISNUMBER(SEARCH("TIME OUT", I2))),"--",D2-I2)</f>
        <v>0.10949999999999999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QE</v>
      </c>
      <c r="R2" s="5" t="str">
        <f>IF(P2="--","--",TEXT(MIN(D2,I2)/MAX(D2,I2),"0.000%"))</f>
        <v>56.754%</v>
      </c>
      <c r="S2" s="5">
        <f>IF(OR(ISNUMBER(SEARCH("ERROR", E2)), ISNUMBER(SEARCH("ERROR", J2)), ISNUMBER(SEARCH("TIME OUT", E2)), ISNUMBER(SEARCH("TIME OUT", J2))),"--",E2-J2)</f>
        <v>0.11059999999999998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QE</v>
      </c>
      <c r="U2" s="5" t="str">
        <f>IF(S2="--","--",TEXT(MIN(E2,J2)/MAX(E2,J2),"0.000%"))</f>
        <v>55.884%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str">
        <f>IF(V2="--","--",TEXT(MIN(F2,K2)/MAX(F2,K2),"0.000%"))</f>
        <v>100.000%</v>
      </c>
      <c r="Y2" s="5"/>
      <c r="Z2">
        <f>AVERAGE(C:C)</f>
        <v>4836055534.8064518</v>
      </c>
      <c r="AA2">
        <f>AVERAGE(D:D)</f>
        <v>62.546519354838708</v>
      </c>
      <c r="AB2">
        <f>AVERAGE(E:E)</f>
        <v>46.950674193548373</v>
      </c>
      <c r="AC2">
        <f>AVERAGE(F:F)</f>
        <v>41451</v>
      </c>
      <c r="AD2">
        <f>AVERAGE(H:H)</f>
        <v>2229729998.0999999</v>
      </c>
      <c r="AE2">
        <f>AVERAGE(I:I)</f>
        <v>51.87359</v>
      </c>
      <c r="AF2">
        <f>AVERAGE(J:J)</f>
        <v>30.285914999999999</v>
      </c>
      <c r="AG2">
        <f>AVERAGE(K:K)</f>
        <v>19000.2</v>
      </c>
      <c r="AH2">
        <f>AVERAGE(M:M)</f>
        <v>-93186259.25</v>
      </c>
      <c r="AI2">
        <f>AVERAGE(P:P)</f>
        <v>-25.799209999999999</v>
      </c>
      <c r="AJ2">
        <f>AVERAGE(S:S)</f>
        <v>-10.189899999999998</v>
      </c>
      <c r="AK2">
        <f>AVERAGE(V:V)</f>
        <v>-14.6</v>
      </c>
    </row>
    <row r="3" spans="1:43">
      <c r="A3">
        <v>19</v>
      </c>
      <c r="B3" t="s">
        <v>100</v>
      </c>
      <c r="C3">
        <v>25546936</v>
      </c>
      <c r="D3">
        <v>0.25</v>
      </c>
      <c r="E3">
        <v>0.24729999999999999</v>
      </c>
      <c r="F3">
        <v>177</v>
      </c>
      <c r="G3" t="s">
        <v>100</v>
      </c>
      <c r="H3">
        <v>11872994</v>
      </c>
      <c r="I3">
        <v>0.12659999999999999</v>
      </c>
      <c r="J3">
        <v>0.12470000000000001</v>
      </c>
      <c r="K3">
        <v>177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13673942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QE</v>
      </c>
      <c r="O3" s="5" t="str">
        <f t="shared" ref="O3:O66" si="3">IF(M3="--","--",TEXT(MIN(C3,H3)/MAX(C3,H3),"0.000%"))</f>
        <v>46.475%</v>
      </c>
      <c r="P3" s="5">
        <f t="shared" ref="P3:P66" si="4">IF(OR(ISNUMBER(SEARCH("ERROR", D3)), ISNUMBER(SEARCH("ERROR", I3)), ISNUMBER(SEARCH("TIME OUT", D3)), ISNUMBER(SEARCH("TIME OUT", I3))),"--",D3-I3)</f>
        <v>0.12340000000000001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QE</v>
      </c>
      <c r="R3" s="5" t="str">
        <f t="shared" ref="R3:R66" si="6">IF(P3="--","--",TEXT(MIN(D3,I3)/MAX(D3,I3),"0.000%"))</f>
        <v>50.640%</v>
      </c>
      <c r="S3" s="5">
        <f t="shared" ref="S3:S66" si="7">IF(OR(ISNUMBER(SEARCH("ERROR", E3)), ISNUMBER(SEARCH("ERROR", J3)), ISNUMBER(SEARCH("TIME OUT", E3)), ISNUMBER(SEARCH("TIME OUT", J3))),"--",E3-J3)</f>
        <v>0.12259999999999999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QE</v>
      </c>
      <c r="U3" s="5" t="str">
        <f t="shared" ref="U3:U66" si="9">IF(S3="--","--",TEXT(MIN(E3,J3)/MAX(E3,J3),"0.000%"))</f>
        <v>50.425%</v>
      </c>
      <c r="V3" s="5">
        <f t="shared" ref="V3:V66" si="10">IF(OR(ISNUMBER(SEARCH("ERROR", F3)), ISNUMBER(SEARCH("ERROR", K3)), ISNUMBER(SEARCH("TIME OUT", F3)), ISNUMBER(SEARCH("TIME OUT", K3))),"--",F3-K3)</f>
        <v>0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TIE</v>
      </c>
      <c r="X3" s="5" t="str">
        <f t="shared" ref="X3:X66" si="12">IF(V3="--","--",TEXT(MIN(F3,K3)/MAX(F3,K3),"0.000%"))</f>
        <v>100.000%</v>
      </c>
      <c r="Y3" s="5"/>
    </row>
    <row r="4" spans="1:43">
      <c r="A4">
        <v>20</v>
      </c>
      <c r="B4" t="s">
        <v>100</v>
      </c>
      <c r="C4">
        <v>47979637</v>
      </c>
      <c r="D4">
        <v>0.43130000000000002</v>
      </c>
      <c r="E4">
        <v>0.42109999999999997</v>
      </c>
      <c r="F4">
        <v>327</v>
      </c>
      <c r="G4" t="s">
        <v>100</v>
      </c>
      <c r="H4">
        <v>21850910</v>
      </c>
      <c r="I4">
        <v>0.25159999999999999</v>
      </c>
      <c r="J4">
        <v>0.24709999999999999</v>
      </c>
      <c r="K4">
        <v>327</v>
      </c>
      <c r="L4" s="5" t="b">
        <f t="shared" si="0"/>
        <v>1</v>
      </c>
      <c r="M4" s="5">
        <f t="shared" si="1"/>
        <v>26128727</v>
      </c>
      <c r="N4" s="5" t="str">
        <f t="shared" si="2"/>
        <v>QE</v>
      </c>
      <c r="O4" s="5" t="str">
        <f t="shared" si="3"/>
        <v>45.542%</v>
      </c>
      <c r="P4" s="5">
        <f t="shared" si="4"/>
        <v>0.17970000000000003</v>
      </c>
      <c r="Q4" s="5" t="str">
        <f t="shared" si="5"/>
        <v>QE</v>
      </c>
      <c r="R4" s="5" t="str">
        <f t="shared" si="6"/>
        <v>58.335%</v>
      </c>
      <c r="S4" s="5">
        <f t="shared" si="7"/>
        <v>0.17399999999999999</v>
      </c>
      <c r="T4" s="5" t="str">
        <f t="shared" si="8"/>
        <v>QE</v>
      </c>
      <c r="U4" s="5" t="str">
        <f t="shared" si="9"/>
        <v>58.680%</v>
      </c>
      <c r="V4" s="5">
        <f t="shared" si="10"/>
        <v>0</v>
      </c>
      <c r="W4" s="5" t="str">
        <f t="shared" si="11"/>
        <v>TIE</v>
      </c>
      <c r="X4" s="5" t="str">
        <f t="shared" si="12"/>
        <v>100.000%</v>
      </c>
      <c r="Y4" s="5"/>
    </row>
    <row r="5" spans="1:43">
      <c r="A5">
        <v>22</v>
      </c>
      <c r="B5" t="s">
        <v>100</v>
      </c>
      <c r="C5">
        <v>47980916</v>
      </c>
      <c r="D5">
        <v>0.43440000000000001</v>
      </c>
      <c r="E5">
        <v>0.42809999999999998</v>
      </c>
      <c r="F5">
        <v>327</v>
      </c>
      <c r="G5" t="s">
        <v>100</v>
      </c>
      <c r="H5">
        <v>21833220</v>
      </c>
      <c r="I5">
        <v>0.23749999999999999</v>
      </c>
      <c r="J5">
        <v>0.23350000000000001</v>
      </c>
      <c r="K5">
        <v>327</v>
      </c>
      <c r="L5" s="5" t="b">
        <f t="shared" si="0"/>
        <v>1</v>
      </c>
      <c r="M5" s="5">
        <f t="shared" si="1"/>
        <v>26147696</v>
      </c>
      <c r="N5" s="5" t="str">
        <f t="shared" si="2"/>
        <v>QE</v>
      </c>
      <c r="O5" s="5" t="str">
        <f t="shared" si="3"/>
        <v>45.504%</v>
      </c>
      <c r="P5" s="5">
        <f t="shared" si="4"/>
        <v>0.19690000000000002</v>
      </c>
      <c r="Q5" s="5" t="str">
        <f t="shared" si="5"/>
        <v>QE</v>
      </c>
      <c r="R5" s="5" t="str">
        <f t="shared" si="6"/>
        <v>54.673%</v>
      </c>
      <c r="S5" s="5">
        <f t="shared" si="7"/>
        <v>0.19459999999999997</v>
      </c>
      <c r="T5" s="5" t="str">
        <f t="shared" si="8"/>
        <v>QE</v>
      </c>
      <c r="U5" s="5" t="str">
        <f t="shared" si="9"/>
        <v>54.543%</v>
      </c>
      <c r="V5" s="5">
        <f t="shared" si="10"/>
        <v>0</v>
      </c>
      <c r="W5" s="5" t="str">
        <f t="shared" si="11"/>
        <v>TIE</v>
      </c>
      <c r="X5" s="5" t="str">
        <f t="shared" si="12"/>
        <v>100.000%</v>
      </c>
      <c r="Y5" s="5"/>
    </row>
    <row r="6" spans="1:43">
      <c r="A6">
        <v>23</v>
      </c>
      <c r="B6" t="s">
        <v>100</v>
      </c>
      <c r="C6">
        <v>47148972</v>
      </c>
      <c r="D6">
        <v>0.41410000000000002</v>
      </c>
      <c r="E6">
        <v>0.40460000000000002</v>
      </c>
      <c r="F6">
        <v>327</v>
      </c>
      <c r="G6" t="s">
        <v>100</v>
      </c>
      <c r="H6">
        <v>21871972</v>
      </c>
      <c r="I6">
        <v>0.23749999999999999</v>
      </c>
      <c r="J6">
        <v>0.23419999999999999</v>
      </c>
      <c r="K6">
        <v>327</v>
      </c>
      <c r="L6" s="5" t="b">
        <f t="shared" si="0"/>
        <v>1</v>
      </c>
      <c r="M6" s="5">
        <f t="shared" si="1"/>
        <v>25277000</v>
      </c>
      <c r="N6" s="5" t="str">
        <f t="shared" si="2"/>
        <v>QE</v>
      </c>
      <c r="O6" s="5" t="str">
        <f t="shared" si="3"/>
        <v>46.389%</v>
      </c>
      <c r="P6" s="5">
        <f t="shared" si="4"/>
        <v>0.17660000000000003</v>
      </c>
      <c r="Q6" s="5" t="str">
        <f t="shared" si="5"/>
        <v>QE</v>
      </c>
      <c r="R6" s="5" t="str">
        <f t="shared" si="6"/>
        <v>57.353%</v>
      </c>
      <c r="S6" s="5">
        <f t="shared" si="7"/>
        <v>0.17040000000000002</v>
      </c>
      <c r="T6" s="5" t="str">
        <f t="shared" si="8"/>
        <v>QE</v>
      </c>
      <c r="U6" s="5" t="str">
        <f t="shared" si="9"/>
        <v>57.884%</v>
      </c>
      <c r="V6" s="5">
        <f t="shared" si="10"/>
        <v>0</v>
      </c>
      <c r="W6" s="5" t="str">
        <f t="shared" si="11"/>
        <v>TIE</v>
      </c>
      <c r="X6" s="5" t="str">
        <f t="shared" si="12"/>
        <v>100.000%</v>
      </c>
      <c r="Y6" s="5"/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101</v>
      </c>
      <c r="C7">
        <v>1646074392</v>
      </c>
      <c r="D7">
        <v>19.1234</v>
      </c>
      <c r="E7">
        <v>15.5959</v>
      </c>
      <c r="F7">
        <v>13731</v>
      </c>
      <c r="G7" t="s">
        <v>102</v>
      </c>
      <c r="H7" t="s">
        <v>57</v>
      </c>
      <c r="I7" t="s">
        <v>57</v>
      </c>
      <c r="J7" t="s">
        <v>57</v>
      </c>
      <c r="K7" t="s">
        <v>57</v>
      </c>
      <c r="L7" s="5" t="str">
        <f t="shared" si="0"/>
        <v>--</v>
      </c>
      <c r="M7" s="5" t="str">
        <f t="shared" si="1"/>
        <v>--</v>
      </c>
      <c r="N7" s="5" t="str">
        <f t="shared" si="2"/>
        <v>RC</v>
      </c>
      <c r="O7" s="5" t="str">
        <f t="shared" si="3"/>
        <v>--</v>
      </c>
      <c r="P7" s="5" t="str">
        <f t="shared" si="4"/>
        <v>--</v>
      </c>
      <c r="Q7" s="5" t="str">
        <f t="shared" si="5"/>
        <v>RC</v>
      </c>
      <c r="R7" s="5" t="str">
        <f t="shared" si="6"/>
        <v>--</v>
      </c>
      <c r="S7" s="5" t="str">
        <f t="shared" si="7"/>
        <v>--</v>
      </c>
      <c r="T7" s="5" t="str">
        <f t="shared" si="8"/>
        <v>RC</v>
      </c>
      <c r="U7" s="5" t="str">
        <f t="shared" si="9"/>
        <v>--</v>
      </c>
      <c r="V7" s="5" t="str">
        <f t="shared" si="10"/>
        <v>--</v>
      </c>
      <c r="W7" s="5" t="str">
        <f t="shared" si="11"/>
        <v>RC</v>
      </c>
      <c r="X7" s="5" t="str">
        <f t="shared" si="12"/>
        <v>--</v>
      </c>
      <c r="Y7" s="5"/>
      <c r="Z7" s="5" t="s">
        <v>30</v>
      </c>
      <c r="AA7">
        <f>COUNTIF(N:N,$Z7)</f>
        <v>50</v>
      </c>
      <c r="AB7" s="6">
        <f>AA7/AA$11</f>
        <v>0.74626865671641796</v>
      </c>
      <c r="AC7">
        <f>COUNTIF(Q:Q,$Z7)</f>
        <v>52</v>
      </c>
      <c r="AD7" s="6">
        <f>AC7/AC$11</f>
        <v>0.77611940298507465</v>
      </c>
      <c r="AE7">
        <f>COUNTIF(T:T,$Z7)</f>
        <v>52</v>
      </c>
      <c r="AF7" s="6">
        <f>AE7/AE$11</f>
        <v>0.77611940298507465</v>
      </c>
      <c r="AG7">
        <f>COUNTIF(W:W,$Z7)</f>
        <v>52</v>
      </c>
      <c r="AH7" s="6">
        <f>AG7/AG$11</f>
        <v>0.77611940298507465</v>
      </c>
      <c r="AJ7">
        <f>COUNTA(B2:B68)-COUNTIF(B2:B68,"*TIME OUT*")-COUNTIF(B2:B68,"*ERROR*")</f>
        <v>62</v>
      </c>
      <c r="AK7" s="6">
        <f>AJ7/67</f>
        <v>0.92537313432835822</v>
      </c>
      <c r="AL7">
        <f>COUNTIF(B2:B68,"*TIME OUT*")</f>
        <v>5</v>
      </c>
      <c r="AM7" s="6">
        <f>AL7/67</f>
        <v>7.4626865671641784E-2</v>
      </c>
      <c r="AN7">
        <f>COUNTIF(B2:B68,"*ERROR*")</f>
        <v>0</v>
      </c>
      <c r="AO7" s="6">
        <f>AN7/67</f>
        <v>0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2343909</v>
      </c>
      <c r="D8">
        <v>1.5599999999999999E-2</v>
      </c>
      <c r="E8">
        <v>1.6400000000000001E-2</v>
      </c>
      <c r="F8">
        <v>9</v>
      </c>
      <c r="G8" t="s">
        <v>96</v>
      </c>
      <c r="H8">
        <v>4435853</v>
      </c>
      <c r="I8">
        <v>0.05</v>
      </c>
      <c r="J8">
        <v>5.1299999999999998E-2</v>
      </c>
      <c r="K8">
        <v>57</v>
      </c>
      <c r="L8" s="5" t="b">
        <f t="shared" si="0"/>
        <v>1</v>
      </c>
      <c r="M8" s="5">
        <f t="shared" si="1"/>
        <v>-2091944</v>
      </c>
      <c r="N8" s="5" t="str">
        <f t="shared" si="2"/>
        <v>RC</v>
      </c>
      <c r="O8" s="5" t="str">
        <f t="shared" si="3"/>
        <v>52.840%</v>
      </c>
      <c r="P8" s="5">
        <f t="shared" si="4"/>
        <v>-3.44E-2</v>
      </c>
      <c r="Q8" s="5" t="str">
        <f t="shared" si="5"/>
        <v>RC</v>
      </c>
      <c r="R8" s="5" t="str">
        <f t="shared" si="6"/>
        <v>31.200%</v>
      </c>
      <c r="S8" s="5">
        <f t="shared" si="7"/>
        <v>-3.49E-2</v>
      </c>
      <c r="T8" s="5" t="str">
        <f t="shared" si="8"/>
        <v>RC</v>
      </c>
      <c r="U8" s="5" t="str">
        <f t="shared" si="9"/>
        <v>31.969%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/>
      <c r="Z8" s="5" t="s">
        <v>31</v>
      </c>
      <c r="AA8">
        <f>COUNTIF(N:N,$Z8)</f>
        <v>12</v>
      </c>
      <c r="AB8" s="6">
        <f>AA8/AA$11</f>
        <v>0.17910447761194029</v>
      </c>
      <c r="AC8">
        <f>COUNTIF(Q:Q,$Z8)</f>
        <v>10</v>
      </c>
      <c r="AD8" s="6">
        <f>AC8/AC$11</f>
        <v>0.14925373134328357</v>
      </c>
      <c r="AE8">
        <f>COUNTIF(T:T,$Z8)</f>
        <v>10</v>
      </c>
      <c r="AF8" s="6">
        <f>AE8/AE$11</f>
        <v>0.14925373134328357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20</v>
      </c>
      <c r="AK8" s="6">
        <f>AJ8/67</f>
        <v>0.29850746268656714</v>
      </c>
      <c r="AL8">
        <f>COUNTIF(G2:G68,"*TIME OUT*")</f>
        <v>3</v>
      </c>
      <c r="AM8" s="6">
        <f>AL8/67</f>
        <v>4.4776119402985072E-2</v>
      </c>
      <c r="AN8">
        <f>COUNTIF(G2:G68,"*ERROR*")</f>
        <v>44</v>
      </c>
      <c r="AO8" s="6">
        <f>AN8/67</f>
        <v>0.65671641791044777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101</v>
      </c>
      <c r="C9">
        <v>1646963798</v>
      </c>
      <c r="D9">
        <v>18.984400000000001</v>
      </c>
      <c r="E9">
        <v>15.38</v>
      </c>
      <c r="F9">
        <v>13731</v>
      </c>
      <c r="G9" t="s">
        <v>102</v>
      </c>
      <c r="H9" t="s">
        <v>57</v>
      </c>
      <c r="I9" t="s">
        <v>57</v>
      </c>
      <c r="J9" t="s">
        <v>57</v>
      </c>
      <c r="K9" t="s">
        <v>57</v>
      </c>
      <c r="L9" s="5" t="str">
        <f t="shared" si="0"/>
        <v>--</v>
      </c>
      <c r="M9" s="5" t="str">
        <f t="shared" si="1"/>
        <v>--</v>
      </c>
      <c r="N9" s="5" t="str">
        <f t="shared" si="2"/>
        <v>RC</v>
      </c>
      <c r="O9" s="5" t="str">
        <f t="shared" si="3"/>
        <v>--</v>
      </c>
      <c r="P9" s="5" t="str">
        <f t="shared" si="4"/>
        <v>--</v>
      </c>
      <c r="Q9" s="5" t="str">
        <f t="shared" si="5"/>
        <v>RC</v>
      </c>
      <c r="R9" s="5" t="str">
        <f t="shared" si="6"/>
        <v>--</v>
      </c>
      <c r="S9" s="5" t="str">
        <f t="shared" si="7"/>
        <v>--</v>
      </c>
      <c r="T9" s="5" t="str">
        <f t="shared" si="8"/>
        <v>RC</v>
      </c>
      <c r="U9" s="5" t="str">
        <f t="shared" si="9"/>
        <v>--</v>
      </c>
      <c r="V9" s="5" t="str">
        <f t="shared" si="10"/>
        <v>--</v>
      </c>
      <c r="W9" s="5" t="str">
        <f t="shared" si="11"/>
        <v>RC</v>
      </c>
      <c r="X9" s="5" t="str">
        <f t="shared" si="12"/>
        <v>--</v>
      </c>
      <c r="Y9" s="5"/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10</v>
      </c>
      <c r="AH9" s="6">
        <f>AG9/AG$11</f>
        <v>0.14925373134328357</v>
      </c>
    </row>
    <row r="10" spans="1:43">
      <c r="A10">
        <v>28</v>
      </c>
      <c r="B10" t="s">
        <v>101</v>
      </c>
      <c r="C10">
        <v>1646252358</v>
      </c>
      <c r="D10">
        <v>18.948399999999999</v>
      </c>
      <c r="E10">
        <v>15.2584</v>
      </c>
      <c r="F10">
        <v>13731</v>
      </c>
      <c r="G10" t="s">
        <v>102</v>
      </c>
      <c r="H10" t="s">
        <v>57</v>
      </c>
      <c r="I10" t="s">
        <v>57</v>
      </c>
      <c r="J10" t="s">
        <v>57</v>
      </c>
      <c r="K10" t="s">
        <v>57</v>
      </c>
      <c r="L10" s="5" t="str">
        <f t="shared" si="0"/>
        <v>--</v>
      </c>
      <c r="M10" s="5" t="str">
        <f t="shared" si="1"/>
        <v>--</v>
      </c>
      <c r="N10" s="5" t="str">
        <f t="shared" si="2"/>
        <v>RC</v>
      </c>
      <c r="O10" s="5" t="str">
        <f t="shared" si="3"/>
        <v>--</v>
      </c>
      <c r="P10" s="5" t="str">
        <f t="shared" si="4"/>
        <v>--</v>
      </c>
      <c r="Q10" s="5" t="str">
        <f t="shared" si="5"/>
        <v>RC</v>
      </c>
      <c r="R10" s="5" t="str">
        <f t="shared" si="6"/>
        <v>--</v>
      </c>
      <c r="S10" s="5" t="str">
        <f t="shared" si="7"/>
        <v>--</v>
      </c>
      <c r="T10" s="5" t="str">
        <f t="shared" si="8"/>
        <v>RC</v>
      </c>
      <c r="U10" s="5" t="str">
        <f t="shared" si="9"/>
        <v>--</v>
      </c>
      <c r="V10" s="5" t="str">
        <f t="shared" si="10"/>
        <v>--</v>
      </c>
      <c r="W10" s="5" t="str">
        <f t="shared" si="11"/>
        <v>RC</v>
      </c>
      <c r="X10" s="5" t="str">
        <f t="shared" si="12"/>
        <v>--</v>
      </c>
      <c r="Y10" s="5"/>
      <c r="Z10" s="7" t="s">
        <v>34</v>
      </c>
      <c r="AA10">
        <f>COUNTIF(N:N,$Z10)</f>
        <v>5</v>
      </c>
      <c r="AB10" s="6">
        <f>AA10/AA$11</f>
        <v>7.4626865671641784E-2</v>
      </c>
      <c r="AC10">
        <f>COUNTIF(Q:Q,$Z10)</f>
        <v>5</v>
      </c>
      <c r="AD10" s="6">
        <f>AC10/AC$11</f>
        <v>7.4626865671641784E-2</v>
      </c>
      <c r="AE10">
        <f>COUNTIF(T:T,$Z10)</f>
        <v>5</v>
      </c>
      <c r="AF10" s="6">
        <f>AE10/AE$11</f>
        <v>7.4626865671641784E-2</v>
      </c>
      <c r="AG10">
        <f>COUNTIF(W:W,$Z10)</f>
        <v>5</v>
      </c>
      <c r="AH10" s="6">
        <f>AG10/AG$11</f>
        <v>7.4626865671641784E-2</v>
      </c>
    </row>
    <row r="11" spans="1:43">
      <c r="A11">
        <v>29</v>
      </c>
      <c r="B11" t="s">
        <v>101</v>
      </c>
      <c r="C11">
        <v>1646554861</v>
      </c>
      <c r="D11">
        <v>19.459399999999999</v>
      </c>
      <c r="E11">
        <v>15.8872</v>
      </c>
      <c r="F11">
        <v>13731</v>
      </c>
      <c r="G11" t="s">
        <v>102</v>
      </c>
      <c r="H11" t="s">
        <v>57</v>
      </c>
      <c r="I11" t="s">
        <v>57</v>
      </c>
      <c r="J11" t="s">
        <v>57</v>
      </c>
      <c r="K11" t="s">
        <v>57</v>
      </c>
      <c r="L11" s="5" t="str">
        <f t="shared" si="0"/>
        <v>--</v>
      </c>
      <c r="M11" s="5" t="str">
        <f t="shared" si="1"/>
        <v>--</v>
      </c>
      <c r="N11" s="5" t="str">
        <f t="shared" si="2"/>
        <v>RC</v>
      </c>
      <c r="O11" s="5" t="str">
        <f t="shared" si="3"/>
        <v>--</v>
      </c>
      <c r="P11" s="5" t="str">
        <f t="shared" si="4"/>
        <v>--</v>
      </c>
      <c r="Q11" s="5" t="str">
        <f t="shared" si="5"/>
        <v>RC</v>
      </c>
      <c r="R11" s="5" t="str">
        <f t="shared" si="6"/>
        <v>--</v>
      </c>
      <c r="S11" s="5" t="str">
        <f t="shared" si="7"/>
        <v>--</v>
      </c>
      <c r="T11" s="5" t="str">
        <f t="shared" si="8"/>
        <v>RC</v>
      </c>
      <c r="U11" s="5" t="str">
        <f t="shared" si="9"/>
        <v>--</v>
      </c>
      <c r="V11" s="5" t="str">
        <f t="shared" si="10"/>
        <v>--</v>
      </c>
      <c r="W11" s="5" t="str">
        <f t="shared" si="11"/>
        <v>RC</v>
      </c>
      <c r="X11" s="5" t="str">
        <f t="shared" si="12"/>
        <v>--</v>
      </c>
      <c r="Y11" s="5"/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101</v>
      </c>
      <c r="C12">
        <v>1647472905</v>
      </c>
      <c r="D12">
        <v>18.762499999999999</v>
      </c>
      <c r="E12">
        <v>15.403</v>
      </c>
      <c r="F12">
        <v>13731</v>
      </c>
      <c r="G12" t="s">
        <v>102</v>
      </c>
      <c r="H12" t="s">
        <v>57</v>
      </c>
      <c r="I12" t="s">
        <v>57</v>
      </c>
      <c r="J12" t="s">
        <v>57</v>
      </c>
      <c r="K12" t="s">
        <v>57</v>
      </c>
      <c r="L12" s="5" t="str">
        <f t="shared" si="0"/>
        <v>--</v>
      </c>
      <c r="M12" s="5" t="str">
        <f t="shared" si="1"/>
        <v>--</v>
      </c>
      <c r="N12" s="5" t="str">
        <f t="shared" si="2"/>
        <v>RC</v>
      </c>
      <c r="O12" s="5" t="str">
        <f t="shared" si="3"/>
        <v>--</v>
      </c>
      <c r="P12" s="5" t="str">
        <f t="shared" si="4"/>
        <v>--</v>
      </c>
      <c r="Q12" s="5" t="str">
        <f t="shared" si="5"/>
        <v>RC</v>
      </c>
      <c r="R12" s="5" t="str">
        <f t="shared" si="6"/>
        <v>--</v>
      </c>
      <c r="S12" s="5" t="str">
        <f t="shared" si="7"/>
        <v>--</v>
      </c>
      <c r="T12" s="5" t="str">
        <f t="shared" si="8"/>
        <v>RC</v>
      </c>
      <c r="U12" s="5" t="str">
        <f t="shared" si="9"/>
        <v>--</v>
      </c>
      <c r="V12" s="5" t="str">
        <f t="shared" si="10"/>
        <v>--</v>
      </c>
      <c r="W12" s="5" t="str">
        <f t="shared" si="11"/>
        <v>RC</v>
      </c>
      <c r="X12" s="5" t="str">
        <f t="shared" si="12"/>
        <v>--</v>
      </c>
      <c r="Y12" s="5"/>
    </row>
    <row r="13" spans="1:43">
      <c r="A13">
        <v>31</v>
      </c>
      <c r="B13" t="s">
        <v>96</v>
      </c>
      <c r="C13">
        <v>2343188</v>
      </c>
      <c r="D13">
        <v>1.7100000000000001E-2</v>
      </c>
      <c r="E13">
        <v>1.6500000000000001E-2</v>
      </c>
      <c r="F13">
        <v>9</v>
      </c>
      <c r="G13" t="s">
        <v>96</v>
      </c>
      <c r="H13">
        <v>4440342</v>
      </c>
      <c r="I13">
        <v>5.3100000000000001E-2</v>
      </c>
      <c r="J13">
        <v>5.0900000000000001E-2</v>
      </c>
      <c r="K13">
        <v>57</v>
      </c>
      <c r="L13" s="5" t="b">
        <f t="shared" si="0"/>
        <v>1</v>
      </c>
      <c r="M13" s="5">
        <f t="shared" si="1"/>
        <v>-2097154</v>
      </c>
      <c r="N13" s="5" t="str">
        <f t="shared" si="2"/>
        <v>RC</v>
      </c>
      <c r="O13" s="5" t="str">
        <f t="shared" si="3"/>
        <v>52.770%</v>
      </c>
      <c r="P13" s="5">
        <f t="shared" si="4"/>
        <v>-3.6000000000000004E-2</v>
      </c>
      <c r="Q13" s="5" t="str">
        <f t="shared" si="5"/>
        <v>RC</v>
      </c>
      <c r="R13" s="5" t="str">
        <f t="shared" si="6"/>
        <v>32.203%</v>
      </c>
      <c r="S13" s="5">
        <f t="shared" si="7"/>
        <v>-3.44E-2</v>
      </c>
      <c r="T13" s="5" t="str">
        <f t="shared" si="8"/>
        <v>RC</v>
      </c>
      <c r="U13" s="5" t="str">
        <f t="shared" si="9"/>
        <v>32.417%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/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101</v>
      </c>
      <c r="C14">
        <v>1647659761</v>
      </c>
      <c r="D14">
        <v>18.778199999999998</v>
      </c>
      <c r="E14">
        <v>15.305</v>
      </c>
      <c r="F14">
        <v>13731</v>
      </c>
      <c r="G14" t="s">
        <v>102</v>
      </c>
      <c r="H14" t="s">
        <v>57</v>
      </c>
      <c r="I14" t="s">
        <v>57</v>
      </c>
      <c r="J14" t="s">
        <v>57</v>
      </c>
      <c r="K14" t="s">
        <v>57</v>
      </c>
      <c r="L14" s="5" t="str">
        <f t="shared" si="0"/>
        <v>--</v>
      </c>
      <c r="M14" s="5" t="str">
        <f t="shared" si="1"/>
        <v>--</v>
      </c>
      <c r="N14" s="5" t="str">
        <f t="shared" si="2"/>
        <v>RC</v>
      </c>
      <c r="O14" s="5" t="str">
        <f t="shared" si="3"/>
        <v>--</v>
      </c>
      <c r="P14" s="5" t="str">
        <f t="shared" si="4"/>
        <v>--</v>
      </c>
      <c r="Q14" s="5" t="str">
        <f t="shared" si="5"/>
        <v>RC</v>
      </c>
      <c r="R14" s="5" t="str">
        <f t="shared" si="6"/>
        <v>--</v>
      </c>
      <c r="S14" s="5" t="str">
        <f t="shared" si="7"/>
        <v>--</v>
      </c>
      <c r="T14" s="5" t="str">
        <f t="shared" si="8"/>
        <v>RC</v>
      </c>
      <c r="U14" s="5" t="str">
        <f t="shared" si="9"/>
        <v>--</v>
      </c>
      <c r="V14" s="5" t="str">
        <f t="shared" si="10"/>
        <v>--</v>
      </c>
      <c r="W14" s="5" t="str">
        <f t="shared" si="11"/>
        <v>RC</v>
      </c>
      <c r="X14" s="5" t="str">
        <f t="shared" si="12"/>
        <v>--</v>
      </c>
      <c r="Y14" s="5"/>
      <c r="Z14" s="5" t="s">
        <v>30</v>
      </c>
      <c r="AA14">
        <f>COUNTIF(N:N,$Z7)-COUNTIFS(N:N,$Z7,O:O,"--")</f>
        <v>8</v>
      </c>
      <c r="AB14" s="6">
        <f>AA14/AA$11</f>
        <v>0.11940298507462686</v>
      </c>
      <c r="AC14">
        <f>COUNTIF(Q:Q,$Z7)-COUNTIFS(Q:Q,$Z7,R:R,"--")</f>
        <v>10</v>
      </c>
      <c r="AD14" s="6">
        <f>AC14/AC$11</f>
        <v>0.14925373134328357</v>
      </c>
      <c r="AE14">
        <f>COUNTIF(T:T,$Z7)-COUNTIFS(T:T,$Z7,U:U,"--")</f>
        <v>10</v>
      </c>
      <c r="AF14" s="6">
        <f>AE14/AE$11</f>
        <v>0.14925373134328357</v>
      </c>
      <c r="AG14">
        <f>COUNTIF(W:W,$Z7)-COUNTIFS(W:W,$Z7,X:X,"--")</f>
        <v>10</v>
      </c>
      <c r="AH14" s="6">
        <f>AG14/AG$11</f>
        <v>0.14925373134328357</v>
      </c>
    </row>
    <row r="15" spans="1:43">
      <c r="A15">
        <v>33</v>
      </c>
      <c r="B15" t="s">
        <v>101</v>
      </c>
      <c r="C15">
        <v>1646740820</v>
      </c>
      <c r="D15">
        <v>18.853100000000001</v>
      </c>
      <c r="E15">
        <v>15.3415</v>
      </c>
      <c r="F15">
        <v>13731</v>
      </c>
      <c r="G15" t="s">
        <v>102</v>
      </c>
      <c r="H15" t="s">
        <v>57</v>
      </c>
      <c r="I15" t="s">
        <v>57</v>
      </c>
      <c r="J15" t="s">
        <v>57</v>
      </c>
      <c r="K15" t="s">
        <v>57</v>
      </c>
      <c r="L15" s="5" t="str">
        <f t="shared" si="0"/>
        <v>--</v>
      </c>
      <c r="M15" s="5" t="str">
        <f t="shared" si="1"/>
        <v>--</v>
      </c>
      <c r="N15" s="5" t="str">
        <f t="shared" si="2"/>
        <v>RC</v>
      </c>
      <c r="O15" s="5" t="str">
        <f t="shared" si="3"/>
        <v>--</v>
      </c>
      <c r="P15" s="5" t="str">
        <f t="shared" si="4"/>
        <v>--</v>
      </c>
      <c r="Q15" s="5" t="str">
        <f t="shared" si="5"/>
        <v>RC</v>
      </c>
      <c r="R15" s="5" t="str">
        <f t="shared" si="6"/>
        <v>--</v>
      </c>
      <c r="S15" s="5" t="str">
        <f t="shared" si="7"/>
        <v>--</v>
      </c>
      <c r="T15" s="5" t="str">
        <f t="shared" si="8"/>
        <v>RC</v>
      </c>
      <c r="U15" s="5" t="str">
        <f t="shared" si="9"/>
        <v>--</v>
      </c>
      <c r="V15" s="5" t="str">
        <f t="shared" si="10"/>
        <v>--</v>
      </c>
      <c r="W15" s="5" t="str">
        <f t="shared" si="11"/>
        <v>RC</v>
      </c>
      <c r="X15" s="5" t="str">
        <f t="shared" si="12"/>
        <v>--</v>
      </c>
      <c r="Y15" s="5"/>
      <c r="Z15" s="5" t="s">
        <v>31</v>
      </c>
      <c r="AA15">
        <f>COUNTIF(N:N,$Z8)-COUNTIFS(N:N,$Z8,O:O,"--")</f>
        <v>12</v>
      </c>
      <c r="AB15" s="6">
        <f>AA15/AA$11</f>
        <v>0.17910447761194029</v>
      </c>
      <c r="AC15">
        <f>COUNTIF(Q:Q,$Z8)-COUNTIFS(Q:Q,$Z8,R:R,"--")</f>
        <v>10</v>
      </c>
      <c r="AD15" s="6">
        <f>AC15/AC$11</f>
        <v>0.14925373134328357</v>
      </c>
      <c r="AE15">
        <f>COUNTIF(T:T,$Z8)-COUNTIFS(T:T,$Z8,U:U,"--")</f>
        <v>10</v>
      </c>
      <c r="AF15" s="6">
        <f>AE15/AE$11</f>
        <v>0.14925373134328357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101</v>
      </c>
      <c r="C16">
        <v>1660354477</v>
      </c>
      <c r="D16">
        <v>18.848400000000002</v>
      </c>
      <c r="E16">
        <v>15.2805</v>
      </c>
      <c r="F16">
        <v>13731</v>
      </c>
      <c r="G16" t="s">
        <v>102</v>
      </c>
      <c r="H16" t="s">
        <v>57</v>
      </c>
      <c r="I16" t="s">
        <v>57</v>
      </c>
      <c r="J16" t="s">
        <v>57</v>
      </c>
      <c r="K16" t="s">
        <v>57</v>
      </c>
      <c r="L16" s="5" t="str">
        <f t="shared" si="0"/>
        <v>--</v>
      </c>
      <c r="M16" s="5" t="str">
        <f t="shared" si="1"/>
        <v>--</v>
      </c>
      <c r="N16" s="5" t="str">
        <f t="shared" si="2"/>
        <v>RC</v>
      </c>
      <c r="O16" s="5" t="str">
        <f t="shared" si="3"/>
        <v>--</v>
      </c>
      <c r="P16" s="5" t="str">
        <f t="shared" si="4"/>
        <v>--</v>
      </c>
      <c r="Q16" s="5" t="str">
        <f t="shared" si="5"/>
        <v>RC</v>
      </c>
      <c r="R16" s="5" t="str">
        <f t="shared" si="6"/>
        <v>--</v>
      </c>
      <c r="S16" s="5" t="str">
        <f t="shared" si="7"/>
        <v>--</v>
      </c>
      <c r="T16" s="5" t="str">
        <f t="shared" si="8"/>
        <v>RC</v>
      </c>
      <c r="U16" s="5" t="str">
        <f t="shared" si="9"/>
        <v>--</v>
      </c>
      <c r="V16" s="5" t="str">
        <f t="shared" si="10"/>
        <v>--</v>
      </c>
      <c r="W16" s="5" t="str">
        <f t="shared" si="11"/>
        <v>RC</v>
      </c>
      <c r="X16" s="5" t="str">
        <f t="shared" si="12"/>
        <v>--</v>
      </c>
      <c r="Y16" s="5"/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10</v>
      </c>
      <c r="AH16" s="6">
        <f>AG16/AG$11</f>
        <v>0.14925373134328357</v>
      </c>
    </row>
    <row r="17" spans="1:34">
      <c r="A17">
        <v>36</v>
      </c>
      <c r="B17" t="s">
        <v>101</v>
      </c>
      <c r="C17">
        <v>4259898730</v>
      </c>
      <c r="D17">
        <v>52.676600000000001</v>
      </c>
      <c r="E17">
        <v>41.008099999999999</v>
      </c>
      <c r="F17">
        <v>32831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s="5" t="str">
        <f t="shared" si="0"/>
        <v>--</v>
      </c>
      <c r="M17" s="5" t="str">
        <f t="shared" si="1"/>
        <v>--</v>
      </c>
      <c r="N17" s="5" t="str">
        <f t="shared" si="2"/>
        <v>RC</v>
      </c>
      <c r="O17" s="5" t="str">
        <f t="shared" si="3"/>
        <v>--</v>
      </c>
      <c r="P17" s="5" t="str">
        <f t="shared" si="4"/>
        <v>--</v>
      </c>
      <c r="Q17" s="5" t="str">
        <f t="shared" si="5"/>
        <v>RC</v>
      </c>
      <c r="R17" s="5" t="str">
        <f t="shared" si="6"/>
        <v>--</v>
      </c>
      <c r="S17" s="5" t="str">
        <f t="shared" si="7"/>
        <v>--</v>
      </c>
      <c r="T17" s="5" t="str">
        <f t="shared" si="8"/>
        <v>RC</v>
      </c>
      <c r="U17" s="5" t="str">
        <f t="shared" si="9"/>
        <v>--</v>
      </c>
      <c r="V17" s="5" t="str">
        <f t="shared" si="10"/>
        <v>--</v>
      </c>
      <c r="W17" s="5" t="str">
        <f t="shared" si="11"/>
        <v>RC</v>
      </c>
      <c r="X17" s="5" t="str">
        <f t="shared" si="12"/>
        <v>--</v>
      </c>
      <c r="Y17" s="5"/>
      <c r="Z17" s="7" t="s">
        <v>34</v>
      </c>
      <c r="AA17">
        <f>COUNTIF(O:O,"--")</f>
        <v>47</v>
      </c>
      <c r="AB17" s="6">
        <f>AA17/AA$11</f>
        <v>0.70149253731343286</v>
      </c>
      <c r="AC17">
        <f>COUNTIF(R:R,"--")</f>
        <v>47</v>
      </c>
      <c r="AD17" s="6">
        <f>AC17/AC$11</f>
        <v>0.70149253731343286</v>
      </c>
      <c r="AE17">
        <f>COUNTIF(U:U,"--")</f>
        <v>47</v>
      </c>
      <c r="AF17" s="6">
        <f>AE17/AE$11</f>
        <v>0.70149253731343286</v>
      </c>
      <c r="AG17">
        <f>COUNTIF(X:X,"--")</f>
        <v>47</v>
      </c>
      <c r="AH17" s="6">
        <f>AG17/AG$11</f>
        <v>0.70149253731343286</v>
      </c>
    </row>
    <row r="18" spans="1:34">
      <c r="A18">
        <v>38</v>
      </c>
      <c r="B18" t="s">
        <v>101</v>
      </c>
      <c r="C18">
        <v>4236095397</v>
      </c>
      <c r="D18">
        <v>52.171900000000001</v>
      </c>
      <c r="E18">
        <v>40.426000000000002</v>
      </c>
      <c r="F18">
        <v>32831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s="5" t="str">
        <f t="shared" si="0"/>
        <v>--</v>
      </c>
      <c r="M18" s="5" t="str">
        <f t="shared" si="1"/>
        <v>--</v>
      </c>
      <c r="N18" s="5" t="str">
        <f t="shared" si="2"/>
        <v>RC</v>
      </c>
      <c r="O18" s="5" t="str">
        <f t="shared" si="3"/>
        <v>--</v>
      </c>
      <c r="P18" s="5" t="str">
        <f t="shared" si="4"/>
        <v>--</v>
      </c>
      <c r="Q18" s="5" t="str">
        <f t="shared" si="5"/>
        <v>RC</v>
      </c>
      <c r="R18" s="5" t="str">
        <f t="shared" si="6"/>
        <v>--</v>
      </c>
      <c r="S18" s="5" t="str">
        <f t="shared" si="7"/>
        <v>--</v>
      </c>
      <c r="T18" s="5" t="str">
        <f t="shared" si="8"/>
        <v>RC</v>
      </c>
      <c r="U18" s="5" t="str">
        <f t="shared" si="9"/>
        <v>--</v>
      </c>
      <c r="V18" s="5" t="str">
        <f t="shared" si="10"/>
        <v>--</v>
      </c>
      <c r="W18" s="5" t="str">
        <f t="shared" si="11"/>
        <v>RC</v>
      </c>
      <c r="X18" s="5" t="str">
        <f t="shared" si="12"/>
        <v>--</v>
      </c>
      <c r="Y18" s="5"/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101</v>
      </c>
      <c r="C19">
        <v>4263803813</v>
      </c>
      <c r="D19">
        <v>51.151600000000002</v>
      </c>
      <c r="E19">
        <v>40.26</v>
      </c>
      <c r="F19">
        <v>32831</v>
      </c>
      <c r="G19" t="s">
        <v>102</v>
      </c>
      <c r="H19" t="s">
        <v>57</v>
      </c>
      <c r="I19" t="s">
        <v>57</v>
      </c>
      <c r="J19" t="s">
        <v>57</v>
      </c>
      <c r="K19" t="s">
        <v>57</v>
      </c>
      <c r="L19" s="5" t="str">
        <f t="shared" si="0"/>
        <v>--</v>
      </c>
      <c r="M19" s="5" t="str">
        <f t="shared" si="1"/>
        <v>--</v>
      </c>
      <c r="N19" s="5" t="str">
        <f t="shared" si="2"/>
        <v>RC</v>
      </c>
      <c r="O19" s="5" t="str">
        <f t="shared" si="3"/>
        <v>--</v>
      </c>
      <c r="P19" s="5" t="str">
        <f t="shared" si="4"/>
        <v>--</v>
      </c>
      <c r="Q19" s="5" t="str">
        <f t="shared" si="5"/>
        <v>RC</v>
      </c>
      <c r="R19" s="5" t="str">
        <f t="shared" si="6"/>
        <v>--</v>
      </c>
      <c r="S19" s="5" t="str">
        <f t="shared" si="7"/>
        <v>--</v>
      </c>
      <c r="T19" s="5" t="str">
        <f t="shared" si="8"/>
        <v>RC</v>
      </c>
      <c r="U19" s="5" t="str">
        <f t="shared" si="9"/>
        <v>--</v>
      </c>
      <c r="V19" s="5" t="str">
        <f t="shared" si="10"/>
        <v>--</v>
      </c>
      <c r="W19" s="5" t="str">
        <f t="shared" si="11"/>
        <v>RC</v>
      </c>
      <c r="X19" s="5" t="str">
        <f t="shared" si="12"/>
        <v>--</v>
      </c>
      <c r="Y19" s="5"/>
      <c r="AD19">
        <f>COUNTIF(W:W,$Z8)-COUNTIFS(W:W,$Z8,V:V,"--")</f>
        <v>0</v>
      </c>
    </row>
    <row r="20" spans="1:34">
      <c r="A20">
        <v>41</v>
      </c>
      <c r="B20" t="s">
        <v>101</v>
      </c>
      <c r="C20">
        <v>4279723780</v>
      </c>
      <c r="D20">
        <v>52.378100000000003</v>
      </c>
      <c r="E20">
        <v>40.578899999999997</v>
      </c>
      <c r="F20">
        <v>32831</v>
      </c>
      <c r="G20" t="s">
        <v>102</v>
      </c>
      <c r="H20" t="s">
        <v>57</v>
      </c>
      <c r="I20" t="s">
        <v>57</v>
      </c>
      <c r="J20" t="s">
        <v>57</v>
      </c>
      <c r="K20" t="s">
        <v>57</v>
      </c>
      <c r="L20" s="5" t="str">
        <f t="shared" si="0"/>
        <v>--</v>
      </c>
      <c r="M20" s="5" t="str">
        <f t="shared" si="1"/>
        <v>--</v>
      </c>
      <c r="N20" s="5" t="str">
        <f t="shared" si="2"/>
        <v>RC</v>
      </c>
      <c r="O20" s="5" t="str">
        <f t="shared" si="3"/>
        <v>--</v>
      </c>
      <c r="P20" s="5" t="str">
        <f t="shared" si="4"/>
        <v>--</v>
      </c>
      <c r="Q20" s="5" t="str">
        <f t="shared" si="5"/>
        <v>RC</v>
      </c>
      <c r="R20" s="5" t="str">
        <f t="shared" si="6"/>
        <v>--</v>
      </c>
      <c r="S20" s="5" t="str">
        <f t="shared" si="7"/>
        <v>--</v>
      </c>
      <c r="T20" s="5" t="str">
        <f t="shared" si="8"/>
        <v>RC</v>
      </c>
      <c r="U20" s="5" t="str">
        <f t="shared" si="9"/>
        <v>--</v>
      </c>
      <c r="V20" s="5" t="str">
        <f t="shared" si="10"/>
        <v>--</v>
      </c>
      <c r="W20" s="5" t="str">
        <f t="shared" si="11"/>
        <v>RC</v>
      </c>
      <c r="X20" s="5" t="str">
        <f t="shared" si="12"/>
        <v>--</v>
      </c>
      <c r="Y20" s="5"/>
    </row>
    <row r="21" spans="1:34">
      <c r="A21">
        <v>43</v>
      </c>
      <c r="B21" t="s">
        <v>101</v>
      </c>
      <c r="C21">
        <v>4259527389</v>
      </c>
      <c r="D21">
        <v>51.610900000000001</v>
      </c>
      <c r="E21">
        <v>39.842599999999997</v>
      </c>
      <c r="F21">
        <v>32831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s="5" t="str">
        <f t="shared" si="0"/>
        <v>--</v>
      </c>
      <c r="M21" s="5" t="str">
        <f t="shared" si="1"/>
        <v>--</v>
      </c>
      <c r="N21" s="5" t="str">
        <f t="shared" si="2"/>
        <v>RC</v>
      </c>
      <c r="O21" s="5" t="str">
        <f t="shared" si="3"/>
        <v>--</v>
      </c>
      <c r="P21" s="5" t="str">
        <f t="shared" si="4"/>
        <v>--</v>
      </c>
      <c r="Q21" s="5" t="str">
        <f t="shared" si="5"/>
        <v>RC</v>
      </c>
      <c r="R21" s="5" t="str">
        <f t="shared" si="6"/>
        <v>--</v>
      </c>
      <c r="S21" s="5" t="str">
        <f t="shared" si="7"/>
        <v>--</v>
      </c>
      <c r="T21" s="5" t="str">
        <f t="shared" si="8"/>
        <v>RC</v>
      </c>
      <c r="U21" s="5" t="str">
        <f t="shared" si="9"/>
        <v>--</v>
      </c>
      <c r="V21" s="5" t="str">
        <f t="shared" si="10"/>
        <v>--</v>
      </c>
      <c r="W21" s="5" t="str">
        <f t="shared" si="11"/>
        <v>RC</v>
      </c>
      <c r="X21" s="5" t="str">
        <f t="shared" si="12"/>
        <v>--</v>
      </c>
      <c r="Y21" s="5"/>
    </row>
    <row r="22" spans="1:34">
      <c r="A22">
        <v>45</v>
      </c>
      <c r="B22" t="s">
        <v>103</v>
      </c>
      <c r="C22">
        <v>6782825262</v>
      </c>
      <c r="D22">
        <v>82.393799999999999</v>
      </c>
      <c r="E22">
        <v>63.438800000000001</v>
      </c>
      <c r="F22">
        <v>59051</v>
      </c>
      <c r="G22" t="s">
        <v>103</v>
      </c>
      <c r="H22">
        <v>7614918875</v>
      </c>
      <c r="I22">
        <v>168.08439999999999</v>
      </c>
      <c r="J22">
        <v>101.4207</v>
      </c>
      <c r="K22">
        <v>59073</v>
      </c>
      <c r="L22" s="5" t="b">
        <f t="shared" si="0"/>
        <v>1</v>
      </c>
      <c r="M22" s="5">
        <f t="shared" si="1"/>
        <v>-832093613</v>
      </c>
      <c r="N22" s="5" t="str">
        <f t="shared" si="2"/>
        <v>RC</v>
      </c>
      <c r="O22" s="5" t="str">
        <f t="shared" si="3"/>
        <v>89.073%</v>
      </c>
      <c r="P22" s="5">
        <f t="shared" si="4"/>
        <v>-85.690599999999989</v>
      </c>
      <c r="Q22" s="5" t="str">
        <f t="shared" si="5"/>
        <v>RC</v>
      </c>
      <c r="R22" s="5" t="str">
        <f t="shared" si="6"/>
        <v>49.019%</v>
      </c>
      <c r="S22" s="5">
        <f t="shared" si="7"/>
        <v>-37.981899999999996</v>
      </c>
      <c r="T22" s="5" t="str">
        <f t="shared" si="8"/>
        <v>RC</v>
      </c>
      <c r="U22" s="5" t="str">
        <f t="shared" si="9"/>
        <v>62.550%</v>
      </c>
      <c r="V22" s="5">
        <f t="shared" si="10"/>
        <v>-22</v>
      </c>
      <c r="W22" s="5" t="str">
        <f t="shared" si="11"/>
        <v>RC</v>
      </c>
      <c r="X22" s="5" t="str">
        <f t="shared" si="12"/>
        <v>99.963%</v>
      </c>
      <c r="Y22" s="5"/>
    </row>
    <row r="23" spans="1:34">
      <c r="A23">
        <v>46</v>
      </c>
      <c r="B23" t="s">
        <v>103</v>
      </c>
      <c r="C23">
        <v>1959398952</v>
      </c>
      <c r="D23">
        <v>23.1812</v>
      </c>
      <c r="E23">
        <v>18.1554</v>
      </c>
      <c r="F23">
        <v>18171</v>
      </c>
      <c r="G23" t="s">
        <v>102</v>
      </c>
      <c r="H23" t="s">
        <v>57</v>
      </c>
      <c r="I23" t="s">
        <v>57</v>
      </c>
      <c r="J23" t="s">
        <v>57</v>
      </c>
      <c r="K23" t="s">
        <v>57</v>
      </c>
      <c r="L23" s="5" t="str">
        <f t="shared" si="0"/>
        <v>--</v>
      </c>
      <c r="M23" s="5" t="str">
        <f t="shared" si="1"/>
        <v>--</v>
      </c>
      <c r="N23" s="5" t="str">
        <f t="shared" si="2"/>
        <v>RC</v>
      </c>
      <c r="O23" s="5" t="str">
        <f t="shared" si="3"/>
        <v>--</v>
      </c>
      <c r="P23" s="5" t="str">
        <f t="shared" si="4"/>
        <v>--</v>
      </c>
      <c r="Q23" s="5" t="str">
        <f t="shared" si="5"/>
        <v>RC</v>
      </c>
      <c r="R23" s="5" t="str">
        <f t="shared" si="6"/>
        <v>--</v>
      </c>
      <c r="S23" s="5" t="str">
        <f t="shared" si="7"/>
        <v>--</v>
      </c>
      <c r="T23" s="5" t="str">
        <f t="shared" si="8"/>
        <v>RC</v>
      </c>
      <c r="U23" s="5" t="str">
        <f t="shared" si="9"/>
        <v>--</v>
      </c>
      <c r="V23" s="5" t="str">
        <f t="shared" si="10"/>
        <v>--</v>
      </c>
      <c r="W23" s="5" t="str">
        <f t="shared" si="11"/>
        <v>RC</v>
      </c>
      <c r="X23" s="5" t="str">
        <f t="shared" si="12"/>
        <v>--</v>
      </c>
      <c r="Y23" s="5"/>
    </row>
    <row r="24" spans="1:34">
      <c r="A24">
        <v>48</v>
      </c>
      <c r="B24" t="s">
        <v>103</v>
      </c>
      <c r="C24">
        <v>6776033567</v>
      </c>
      <c r="D24">
        <v>81.595299999999995</v>
      </c>
      <c r="E24">
        <v>63.195999999999998</v>
      </c>
      <c r="F24">
        <v>59051</v>
      </c>
      <c r="G24" t="s">
        <v>103</v>
      </c>
      <c r="H24">
        <v>7592052482</v>
      </c>
      <c r="I24">
        <v>162.76410000000001</v>
      </c>
      <c r="J24">
        <v>101.00069999999999</v>
      </c>
      <c r="K24">
        <v>59073</v>
      </c>
      <c r="L24" s="5" t="b">
        <f t="shared" si="0"/>
        <v>1</v>
      </c>
      <c r="M24" s="5">
        <f t="shared" si="1"/>
        <v>-816018915</v>
      </c>
      <c r="N24" s="5" t="str">
        <f t="shared" si="2"/>
        <v>RC</v>
      </c>
      <c r="O24" s="5" t="str">
        <f t="shared" si="3"/>
        <v>89.252%</v>
      </c>
      <c r="P24" s="5">
        <f t="shared" si="4"/>
        <v>-81.168800000000019</v>
      </c>
      <c r="Q24" s="5" t="str">
        <f t="shared" si="5"/>
        <v>RC</v>
      </c>
      <c r="R24" s="5" t="str">
        <f t="shared" si="6"/>
        <v>50.131%</v>
      </c>
      <c r="S24" s="5">
        <f t="shared" si="7"/>
        <v>-37.804699999999997</v>
      </c>
      <c r="T24" s="5" t="str">
        <f t="shared" si="8"/>
        <v>RC</v>
      </c>
      <c r="U24" s="5" t="str">
        <f t="shared" si="9"/>
        <v>62.570%</v>
      </c>
      <c r="V24" s="5">
        <f t="shared" si="10"/>
        <v>-22</v>
      </c>
      <c r="W24" s="5" t="str">
        <f t="shared" si="11"/>
        <v>RC</v>
      </c>
      <c r="X24" s="5" t="str">
        <f t="shared" si="12"/>
        <v>99.963%</v>
      </c>
      <c r="Y24" s="5"/>
    </row>
    <row r="25" spans="1:34">
      <c r="A25">
        <v>49</v>
      </c>
      <c r="B25" t="s">
        <v>103</v>
      </c>
      <c r="C25">
        <v>1964940428</v>
      </c>
      <c r="D25">
        <v>22.464099999999998</v>
      </c>
      <c r="E25">
        <v>17.9148</v>
      </c>
      <c r="F25">
        <v>18171</v>
      </c>
      <c r="G25" t="s">
        <v>102</v>
      </c>
      <c r="H25" t="s">
        <v>57</v>
      </c>
      <c r="I25" t="s">
        <v>57</v>
      </c>
      <c r="J25" t="s">
        <v>57</v>
      </c>
      <c r="K25" t="s">
        <v>57</v>
      </c>
      <c r="L25" s="5" t="str">
        <f t="shared" si="0"/>
        <v>--</v>
      </c>
      <c r="M25" s="5" t="str">
        <f t="shared" si="1"/>
        <v>--</v>
      </c>
      <c r="N25" s="5" t="str">
        <f t="shared" si="2"/>
        <v>RC</v>
      </c>
      <c r="O25" s="5" t="str">
        <f t="shared" si="3"/>
        <v>--</v>
      </c>
      <c r="P25" s="5" t="str">
        <f t="shared" si="4"/>
        <v>--</v>
      </c>
      <c r="Q25" s="5" t="str">
        <f t="shared" si="5"/>
        <v>RC</v>
      </c>
      <c r="R25" s="5" t="str">
        <f t="shared" si="6"/>
        <v>--</v>
      </c>
      <c r="S25" s="5" t="str">
        <f t="shared" si="7"/>
        <v>--</v>
      </c>
      <c r="T25" s="5" t="str">
        <f t="shared" si="8"/>
        <v>RC</v>
      </c>
      <c r="U25" s="5" t="str">
        <f t="shared" si="9"/>
        <v>--</v>
      </c>
      <c r="V25" s="5" t="str">
        <f t="shared" si="10"/>
        <v>--</v>
      </c>
      <c r="W25" s="5" t="str">
        <f t="shared" si="11"/>
        <v>RC</v>
      </c>
      <c r="X25" s="5" t="str">
        <f t="shared" si="12"/>
        <v>--</v>
      </c>
      <c r="Y25" s="5"/>
      <c r="Z25" t="s">
        <v>40</v>
      </c>
    </row>
    <row r="26" spans="1:34">
      <c r="A26">
        <v>67</v>
      </c>
      <c r="B26" t="s">
        <v>104</v>
      </c>
      <c r="C26">
        <v>25544379</v>
      </c>
      <c r="D26">
        <v>0.21410000000000001</v>
      </c>
      <c r="E26">
        <v>0.2109</v>
      </c>
      <c r="F26">
        <v>177</v>
      </c>
      <c r="G26" t="s">
        <v>104</v>
      </c>
      <c r="H26">
        <v>11871093</v>
      </c>
      <c r="I26">
        <v>0.1265</v>
      </c>
      <c r="J26">
        <v>0.1234</v>
      </c>
      <c r="K26">
        <v>177</v>
      </c>
      <c r="L26" s="5" t="b">
        <f t="shared" si="0"/>
        <v>1</v>
      </c>
      <c r="M26" s="5">
        <f t="shared" si="1"/>
        <v>13673286</v>
      </c>
      <c r="N26" s="5" t="str">
        <f t="shared" si="2"/>
        <v>QE</v>
      </c>
      <c r="O26" s="5" t="str">
        <f t="shared" si="3"/>
        <v>46.472%</v>
      </c>
      <c r="P26" s="5">
        <f t="shared" si="4"/>
        <v>8.7600000000000011E-2</v>
      </c>
      <c r="Q26" s="5" t="str">
        <f t="shared" si="5"/>
        <v>QE</v>
      </c>
      <c r="R26" s="5" t="str">
        <f t="shared" si="6"/>
        <v>59.085%</v>
      </c>
      <c r="S26" s="5">
        <f t="shared" si="7"/>
        <v>8.7500000000000008E-2</v>
      </c>
      <c r="T26" s="5" t="str">
        <f t="shared" si="8"/>
        <v>QE</v>
      </c>
      <c r="U26" s="5" t="str">
        <f t="shared" si="9"/>
        <v>58.511%</v>
      </c>
      <c r="V26" s="5">
        <f t="shared" si="10"/>
        <v>0</v>
      </c>
      <c r="W26" s="5" t="str">
        <f t="shared" si="11"/>
        <v>TIE</v>
      </c>
      <c r="X26" s="5" t="str">
        <f t="shared" si="12"/>
        <v>100.000%</v>
      </c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62 Successes (92.54%), 5 Timeouts (7.46%), 0 Errors (0.00%).</v>
      </c>
    </row>
    <row r="27" spans="1:34">
      <c r="A27">
        <v>69</v>
      </c>
      <c r="B27" t="s">
        <v>104</v>
      </c>
      <c r="C27">
        <v>25546664</v>
      </c>
      <c r="D27">
        <v>0.21560000000000001</v>
      </c>
      <c r="E27">
        <v>0.2109</v>
      </c>
      <c r="F27">
        <v>177</v>
      </c>
      <c r="G27" t="s">
        <v>104</v>
      </c>
      <c r="H27">
        <v>11872844</v>
      </c>
      <c r="I27">
        <v>0.1235</v>
      </c>
      <c r="J27">
        <v>0.12180000000000001</v>
      </c>
      <c r="K27">
        <v>177</v>
      </c>
      <c r="L27" s="5" t="b">
        <f t="shared" si="0"/>
        <v>1</v>
      </c>
      <c r="M27" s="5">
        <f t="shared" si="1"/>
        <v>13673820</v>
      </c>
      <c r="N27" s="5" t="str">
        <f t="shared" si="2"/>
        <v>QE</v>
      </c>
      <c r="O27" s="5" t="str">
        <f t="shared" si="3"/>
        <v>46.475%</v>
      </c>
      <c r="P27" s="5">
        <f t="shared" si="4"/>
        <v>9.2100000000000015E-2</v>
      </c>
      <c r="Q27" s="5" t="str">
        <f t="shared" si="5"/>
        <v>QE</v>
      </c>
      <c r="R27" s="5" t="str">
        <f t="shared" si="6"/>
        <v>57.282%</v>
      </c>
      <c r="S27" s="5">
        <f t="shared" si="7"/>
        <v>8.9099999999999999E-2</v>
      </c>
      <c r="T27" s="5" t="str">
        <f t="shared" si="8"/>
        <v>QE</v>
      </c>
      <c r="U27" s="5" t="str">
        <f t="shared" si="9"/>
        <v>57.752%</v>
      </c>
      <c r="V27" s="5">
        <f t="shared" si="10"/>
        <v>0</v>
      </c>
      <c r="W27" s="5" t="str">
        <f t="shared" si="11"/>
        <v>TIE</v>
      </c>
      <c r="X27" s="5" t="str">
        <f t="shared" si="12"/>
        <v>100.000%</v>
      </c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20 Successes (29.85%), 3 Timeouts (4.48%), 44 Errors (65.67%).</v>
      </c>
    </row>
    <row r="28" spans="1:34">
      <c r="A28">
        <v>70</v>
      </c>
      <c r="B28" t="s">
        <v>104</v>
      </c>
      <c r="C28">
        <v>47980379</v>
      </c>
      <c r="D28">
        <v>0.40629999999999999</v>
      </c>
      <c r="E28">
        <v>0.40010000000000001</v>
      </c>
      <c r="F28">
        <v>327</v>
      </c>
      <c r="G28" t="s">
        <v>104</v>
      </c>
      <c r="H28">
        <v>21856115</v>
      </c>
      <c r="I28">
        <v>0.2296</v>
      </c>
      <c r="J28">
        <v>0.22650000000000001</v>
      </c>
      <c r="K28">
        <v>327</v>
      </c>
      <c r="L28" s="5" t="b">
        <f t="shared" si="0"/>
        <v>1</v>
      </c>
      <c r="M28" s="5">
        <f t="shared" si="1"/>
        <v>26124264</v>
      </c>
      <c r="N28" s="5" t="str">
        <f t="shared" si="2"/>
        <v>QE</v>
      </c>
      <c r="O28" s="5" t="str">
        <f t="shared" si="3"/>
        <v>45.552%</v>
      </c>
      <c r="P28" s="5">
        <f t="shared" si="4"/>
        <v>0.1767</v>
      </c>
      <c r="Q28" s="5" t="str">
        <f t="shared" si="5"/>
        <v>QE</v>
      </c>
      <c r="R28" s="5" t="str">
        <f t="shared" si="6"/>
        <v>56.510%</v>
      </c>
      <c r="S28" s="5">
        <f t="shared" si="7"/>
        <v>0.1736</v>
      </c>
      <c r="T28" s="5" t="str">
        <f t="shared" si="8"/>
        <v>QE</v>
      </c>
      <c r="U28" s="5" t="str">
        <f t="shared" si="9"/>
        <v>56.611%</v>
      </c>
      <c r="V28" s="5">
        <f t="shared" si="10"/>
        <v>0</v>
      </c>
      <c r="W28" s="5" t="str">
        <f t="shared" si="11"/>
        <v>TIE</v>
      </c>
      <c r="X28" s="5" t="str">
        <f t="shared" si="12"/>
        <v>100.000%</v>
      </c>
      <c r="Y28" s="5"/>
    </row>
    <row r="29" spans="1:34">
      <c r="A29">
        <v>72</v>
      </c>
      <c r="B29" t="s">
        <v>104</v>
      </c>
      <c r="C29">
        <v>47980697</v>
      </c>
      <c r="D29">
        <v>0.40160000000000001</v>
      </c>
      <c r="E29">
        <v>0.39529999999999998</v>
      </c>
      <c r="F29">
        <v>327</v>
      </c>
      <c r="G29" t="s">
        <v>104</v>
      </c>
      <c r="H29">
        <v>21849414</v>
      </c>
      <c r="I29">
        <v>0.22969999999999999</v>
      </c>
      <c r="J29">
        <v>0.22670000000000001</v>
      </c>
      <c r="K29">
        <v>327</v>
      </c>
      <c r="L29" s="5" t="b">
        <f t="shared" si="0"/>
        <v>1</v>
      </c>
      <c r="M29" s="5">
        <f t="shared" si="1"/>
        <v>26131283</v>
      </c>
      <c r="N29" s="5" t="str">
        <f t="shared" si="2"/>
        <v>QE</v>
      </c>
      <c r="O29" s="5" t="str">
        <f t="shared" si="3"/>
        <v>45.538%</v>
      </c>
      <c r="P29" s="5">
        <f t="shared" si="4"/>
        <v>0.17190000000000003</v>
      </c>
      <c r="Q29" s="5" t="str">
        <f t="shared" si="5"/>
        <v>QE</v>
      </c>
      <c r="R29" s="5" t="str">
        <f t="shared" si="6"/>
        <v>57.196%</v>
      </c>
      <c r="S29" s="5">
        <f t="shared" si="7"/>
        <v>0.16859999999999997</v>
      </c>
      <c r="T29" s="5" t="str">
        <f t="shared" si="8"/>
        <v>QE</v>
      </c>
      <c r="U29" s="5" t="str">
        <f t="shared" si="9"/>
        <v>57.349%</v>
      </c>
      <c r="V29" s="5">
        <f t="shared" si="10"/>
        <v>0</v>
      </c>
      <c r="W29" s="5" t="str">
        <f t="shared" si="11"/>
        <v>TIE</v>
      </c>
      <c r="X29" s="5" t="str">
        <f t="shared" si="12"/>
        <v>100.000%</v>
      </c>
      <c r="Y29" s="5"/>
      <c r="Z29" t="s">
        <v>41</v>
      </c>
    </row>
    <row r="30" spans="1:34">
      <c r="A30">
        <v>73</v>
      </c>
      <c r="B30" t="s">
        <v>104</v>
      </c>
      <c r="C30">
        <v>47991232</v>
      </c>
      <c r="D30">
        <v>0.40460000000000002</v>
      </c>
      <c r="E30">
        <v>0.3967</v>
      </c>
      <c r="F30">
        <v>327</v>
      </c>
      <c r="G30" t="s">
        <v>104</v>
      </c>
      <c r="H30">
        <v>21872839</v>
      </c>
      <c r="I30">
        <v>0.22969999999999999</v>
      </c>
      <c r="J30">
        <v>0.22670000000000001</v>
      </c>
      <c r="K30">
        <v>327</v>
      </c>
      <c r="L30" s="5" t="b">
        <f t="shared" si="0"/>
        <v>1</v>
      </c>
      <c r="M30" s="5">
        <f t="shared" si="1"/>
        <v>26118393</v>
      </c>
      <c r="N30" s="5" t="str">
        <f t="shared" si="2"/>
        <v>QE</v>
      </c>
      <c r="O30" s="5" t="str">
        <f t="shared" si="3"/>
        <v>45.577%</v>
      </c>
      <c r="P30" s="5">
        <f t="shared" si="4"/>
        <v>0.17490000000000003</v>
      </c>
      <c r="Q30" s="5" t="str">
        <f t="shared" si="5"/>
        <v>QE</v>
      </c>
      <c r="R30" s="5" t="str">
        <f t="shared" si="6"/>
        <v>56.772%</v>
      </c>
      <c r="S30" s="5">
        <f t="shared" si="7"/>
        <v>0.16999999999999998</v>
      </c>
      <c r="T30" s="5" t="str">
        <f t="shared" si="8"/>
        <v>QE</v>
      </c>
      <c r="U30" s="5" t="str">
        <f t="shared" si="9"/>
        <v>57.146%</v>
      </c>
      <c r="V30" s="5">
        <f t="shared" si="10"/>
        <v>0</v>
      </c>
      <c r="W30" s="5" t="str">
        <f t="shared" si="11"/>
        <v>TIE</v>
      </c>
      <c r="X30" s="5" t="str">
        <f t="shared" si="12"/>
        <v>100.000%</v>
      </c>
      <c r="Y30" s="5"/>
      <c r="Z30" t="str">
        <f>Z7&amp;": "&amp;AC7&amp;" ("&amp;TEXT(AD7,"0.00%")&amp;"), "&amp;AC14&amp;" actual ("&amp;TEXT(AD14,"0.00%")&amp;")"</f>
        <v>RC: 52 (77.61%), 10 actual (14.93%)</v>
      </c>
    </row>
    <row r="31" spans="1:34">
      <c r="A31">
        <v>75</v>
      </c>
      <c r="B31" t="s">
        <v>105</v>
      </c>
      <c r="C31">
        <v>1647282862</v>
      </c>
      <c r="D31">
        <v>18.643699999999999</v>
      </c>
      <c r="E31">
        <v>15.1647</v>
      </c>
      <c r="F31">
        <v>13731</v>
      </c>
      <c r="G31" t="s">
        <v>102</v>
      </c>
      <c r="H31" t="s">
        <v>57</v>
      </c>
      <c r="I31" t="s">
        <v>57</v>
      </c>
      <c r="J31" t="s">
        <v>57</v>
      </c>
      <c r="K31" t="s">
        <v>57</v>
      </c>
      <c r="L31" s="5" t="str">
        <f t="shared" si="0"/>
        <v>--</v>
      </c>
      <c r="M31" s="5" t="str">
        <f t="shared" si="1"/>
        <v>--</v>
      </c>
      <c r="N31" s="5" t="str">
        <f t="shared" si="2"/>
        <v>RC</v>
      </c>
      <c r="O31" s="5" t="str">
        <f t="shared" si="3"/>
        <v>--</v>
      </c>
      <c r="P31" s="5" t="str">
        <f t="shared" si="4"/>
        <v>--</v>
      </c>
      <c r="Q31" s="5" t="str">
        <f t="shared" si="5"/>
        <v>RC</v>
      </c>
      <c r="R31" s="5" t="str">
        <f t="shared" si="6"/>
        <v>--</v>
      </c>
      <c r="S31" s="5" t="str">
        <f t="shared" si="7"/>
        <v>--</v>
      </c>
      <c r="T31" s="5" t="str">
        <f t="shared" si="8"/>
        <v>RC</v>
      </c>
      <c r="U31" s="5" t="str">
        <f t="shared" si="9"/>
        <v>--</v>
      </c>
      <c r="V31" s="5" t="str">
        <f t="shared" si="10"/>
        <v>--</v>
      </c>
      <c r="W31" s="5" t="str">
        <f t="shared" si="11"/>
        <v>RC</v>
      </c>
      <c r="X31" s="5" t="str">
        <f t="shared" si="12"/>
        <v>--</v>
      </c>
      <c r="Y31" s="5"/>
      <c r="Z31" t="str">
        <f>Z8&amp;": "&amp;AC8&amp;" ("&amp;TEXT(AD8,"0.00%")&amp;"), "&amp;AC15&amp;" actual ("&amp;TEXT(AD15,"0.00%")&amp;")"</f>
        <v>QE: 10 (14.93%), 10 actual (14.93%)</v>
      </c>
    </row>
    <row r="32" spans="1:34">
      <c r="A32">
        <v>76</v>
      </c>
      <c r="B32" t="s">
        <v>98</v>
      </c>
      <c r="C32">
        <v>2343269</v>
      </c>
      <c r="D32">
        <v>1.5599999999999999E-2</v>
      </c>
      <c r="E32">
        <v>1.55E-2</v>
      </c>
      <c r="F32">
        <v>9</v>
      </c>
      <c r="G32" t="s">
        <v>98</v>
      </c>
      <c r="H32">
        <v>4436214</v>
      </c>
      <c r="I32">
        <v>4.8399999999999999E-2</v>
      </c>
      <c r="J32">
        <v>4.8500000000000001E-2</v>
      </c>
      <c r="K32">
        <v>57</v>
      </c>
      <c r="L32" s="5" t="b">
        <f t="shared" si="0"/>
        <v>1</v>
      </c>
      <c r="M32" s="5">
        <f t="shared" si="1"/>
        <v>-2092945</v>
      </c>
      <c r="N32" s="5" t="str">
        <f t="shared" si="2"/>
        <v>RC</v>
      </c>
      <c r="O32" s="5" t="str">
        <f t="shared" si="3"/>
        <v>52.821%</v>
      </c>
      <c r="P32" s="5">
        <f t="shared" si="4"/>
        <v>-3.2799999999999996E-2</v>
      </c>
      <c r="Q32" s="5" t="str">
        <f t="shared" si="5"/>
        <v>RC</v>
      </c>
      <c r="R32" s="5" t="str">
        <f t="shared" si="6"/>
        <v>32.231%</v>
      </c>
      <c r="S32" s="5">
        <f t="shared" si="7"/>
        <v>-3.3000000000000002E-2</v>
      </c>
      <c r="T32" s="5" t="str">
        <f t="shared" si="8"/>
        <v>RC</v>
      </c>
      <c r="U32" s="5" t="str">
        <f t="shared" si="9"/>
        <v>31.959%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/>
    </row>
    <row r="33" spans="1:30">
      <c r="A33">
        <v>77</v>
      </c>
      <c r="B33" t="s">
        <v>105</v>
      </c>
      <c r="C33">
        <v>1647089520</v>
      </c>
      <c r="D33">
        <v>18.664000000000001</v>
      </c>
      <c r="E33">
        <v>15.16</v>
      </c>
      <c r="F33">
        <v>13731</v>
      </c>
      <c r="G33" t="s">
        <v>102</v>
      </c>
      <c r="H33" t="s">
        <v>57</v>
      </c>
      <c r="I33" t="s">
        <v>57</v>
      </c>
      <c r="J33" t="s">
        <v>57</v>
      </c>
      <c r="K33" t="s">
        <v>57</v>
      </c>
      <c r="L33" s="5" t="str">
        <f t="shared" si="0"/>
        <v>--</v>
      </c>
      <c r="M33" s="5" t="str">
        <f t="shared" si="1"/>
        <v>--</v>
      </c>
      <c r="N33" s="5" t="str">
        <f t="shared" si="2"/>
        <v>RC</v>
      </c>
      <c r="O33" s="5" t="str">
        <f t="shared" si="3"/>
        <v>--</v>
      </c>
      <c r="P33" s="5" t="str">
        <f t="shared" si="4"/>
        <v>--</v>
      </c>
      <c r="Q33" s="5" t="str">
        <f t="shared" si="5"/>
        <v>RC</v>
      </c>
      <c r="R33" s="5" t="str">
        <f t="shared" si="6"/>
        <v>--</v>
      </c>
      <c r="S33" s="5" t="str">
        <f t="shared" si="7"/>
        <v>--</v>
      </c>
      <c r="T33" s="5" t="str">
        <f t="shared" si="8"/>
        <v>RC</v>
      </c>
      <c r="U33" s="5" t="str">
        <f t="shared" si="9"/>
        <v>--</v>
      </c>
      <c r="V33" s="5" t="str">
        <f t="shared" si="10"/>
        <v>--</v>
      </c>
      <c r="W33" s="5" t="str">
        <f t="shared" si="11"/>
        <v>RC</v>
      </c>
      <c r="X33" s="5" t="str">
        <f t="shared" si="12"/>
        <v>--</v>
      </c>
      <c r="Y33" s="5"/>
      <c r="Z33" t="s">
        <v>42</v>
      </c>
    </row>
    <row r="34" spans="1:30">
      <c r="A34">
        <v>78</v>
      </c>
      <c r="B34" t="s">
        <v>105</v>
      </c>
      <c r="C34">
        <v>1647444488</v>
      </c>
      <c r="D34">
        <v>18.834299999999999</v>
      </c>
      <c r="E34">
        <v>15.201599999999999</v>
      </c>
      <c r="F34">
        <v>13731</v>
      </c>
      <c r="G34" t="s">
        <v>102</v>
      </c>
      <c r="H34" t="s">
        <v>57</v>
      </c>
      <c r="I34" t="s">
        <v>57</v>
      </c>
      <c r="J34" t="s">
        <v>57</v>
      </c>
      <c r="K34" t="s">
        <v>57</v>
      </c>
      <c r="L34" s="5" t="str">
        <f t="shared" si="0"/>
        <v>--</v>
      </c>
      <c r="M34" s="5" t="str">
        <f t="shared" si="1"/>
        <v>--</v>
      </c>
      <c r="N34" s="5" t="str">
        <f t="shared" si="2"/>
        <v>RC</v>
      </c>
      <c r="O34" s="5" t="str">
        <f t="shared" si="3"/>
        <v>--</v>
      </c>
      <c r="P34" s="5" t="str">
        <f t="shared" si="4"/>
        <v>--</v>
      </c>
      <c r="Q34" s="5" t="str">
        <f t="shared" si="5"/>
        <v>RC</v>
      </c>
      <c r="R34" s="5" t="str">
        <f t="shared" si="6"/>
        <v>--</v>
      </c>
      <c r="S34" s="5" t="str">
        <f t="shared" si="7"/>
        <v>--</v>
      </c>
      <c r="T34" s="5" t="str">
        <f t="shared" si="8"/>
        <v>RC</v>
      </c>
      <c r="U34" s="5" t="str">
        <f t="shared" si="9"/>
        <v>--</v>
      </c>
      <c r="V34" s="5" t="str">
        <f t="shared" si="10"/>
        <v>--</v>
      </c>
      <c r="W34" s="5" t="str">
        <f t="shared" si="11"/>
        <v>RC</v>
      </c>
      <c r="X34" s="5" t="str">
        <f t="shared" si="12"/>
        <v>--</v>
      </c>
      <c r="Y34" s="5"/>
      <c r="Z34" t="str">
        <f>Z7&amp;": "&amp;AG7&amp;" ("&amp;TEXT(AH7,"0.00%")&amp;"), "&amp;AG14&amp;" actual ("&amp;TEXT(AH14,"0.00%")&amp;")"</f>
        <v>RC: 52 (77.61%), 10 actual (14.93%)</v>
      </c>
    </row>
    <row r="35" spans="1:30">
      <c r="A35">
        <v>79</v>
      </c>
      <c r="B35" t="s">
        <v>105</v>
      </c>
      <c r="C35">
        <v>1657907597</v>
      </c>
      <c r="D35">
        <v>18.654699999999998</v>
      </c>
      <c r="E35">
        <v>15.161799999999999</v>
      </c>
      <c r="F35">
        <v>13731</v>
      </c>
      <c r="G35" t="s">
        <v>102</v>
      </c>
      <c r="H35" t="s">
        <v>57</v>
      </c>
      <c r="I35" t="s">
        <v>57</v>
      </c>
      <c r="J35" t="s">
        <v>57</v>
      </c>
      <c r="K35" t="s">
        <v>57</v>
      </c>
      <c r="L35" s="5" t="str">
        <f t="shared" si="0"/>
        <v>--</v>
      </c>
      <c r="M35" s="5" t="str">
        <f t="shared" si="1"/>
        <v>--</v>
      </c>
      <c r="N35" s="5" t="str">
        <f t="shared" si="2"/>
        <v>RC</v>
      </c>
      <c r="O35" s="5" t="str">
        <f t="shared" si="3"/>
        <v>--</v>
      </c>
      <c r="P35" s="5" t="str">
        <f t="shared" si="4"/>
        <v>--</v>
      </c>
      <c r="Q35" s="5" t="str">
        <f t="shared" si="5"/>
        <v>RC</v>
      </c>
      <c r="R35" s="5" t="str">
        <f t="shared" si="6"/>
        <v>--</v>
      </c>
      <c r="S35" s="5" t="str">
        <f t="shared" si="7"/>
        <v>--</v>
      </c>
      <c r="T35" s="5" t="str">
        <f t="shared" si="8"/>
        <v>RC</v>
      </c>
      <c r="U35" s="5" t="str">
        <f t="shared" si="9"/>
        <v>--</v>
      </c>
      <c r="V35" s="5" t="str">
        <f t="shared" si="10"/>
        <v>--</v>
      </c>
      <c r="W35" s="5" t="str">
        <f t="shared" si="11"/>
        <v>RC</v>
      </c>
      <c r="X35" s="5" t="str">
        <f t="shared" si="12"/>
        <v>--</v>
      </c>
      <c r="Y35" s="5"/>
      <c r="Z35" t="str">
        <f>Z8&amp;": "&amp;AG8&amp;" ("&amp;TEXT(AH8,"0.00%")&amp;"), "&amp;AG15&amp;" actual ("&amp;TEXT(AH15,"0.00%")&amp;")"</f>
        <v>QE: 0 (0.00%), 0 actual (0.00%)</v>
      </c>
    </row>
    <row r="36" spans="1:30">
      <c r="A36">
        <v>80</v>
      </c>
      <c r="B36" t="s">
        <v>105</v>
      </c>
      <c r="C36">
        <v>1645744947</v>
      </c>
      <c r="D36">
        <v>18.638999999999999</v>
      </c>
      <c r="E36">
        <v>15.1632</v>
      </c>
      <c r="F36">
        <v>13731</v>
      </c>
      <c r="G36" t="s">
        <v>102</v>
      </c>
      <c r="H36" t="s">
        <v>57</v>
      </c>
      <c r="I36" t="s">
        <v>57</v>
      </c>
      <c r="J36" t="s">
        <v>57</v>
      </c>
      <c r="K36" t="s">
        <v>57</v>
      </c>
      <c r="L36" s="5" t="str">
        <f t="shared" si="0"/>
        <v>--</v>
      </c>
      <c r="M36" s="5" t="str">
        <f t="shared" si="1"/>
        <v>--</v>
      </c>
      <c r="N36" s="5" t="str">
        <f t="shared" si="2"/>
        <v>RC</v>
      </c>
      <c r="O36" s="5" t="str">
        <f t="shared" si="3"/>
        <v>--</v>
      </c>
      <c r="P36" s="5" t="str">
        <f t="shared" si="4"/>
        <v>--</v>
      </c>
      <c r="Q36" s="5" t="str">
        <f t="shared" si="5"/>
        <v>RC</v>
      </c>
      <c r="R36" s="5" t="str">
        <f t="shared" si="6"/>
        <v>--</v>
      </c>
      <c r="S36" s="5" t="str">
        <f t="shared" si="7"/>
        <v>--</v>
      </c>
      <c r="T36" s="5" t="str">
        <f t="shared" si="8"/>
        <v>RC</v>
      </c>
      <c r="U36" s="5" t="str">
        <f t="shared" si="9"/>
        <v>--</v>
      </c>
      <c r="V36" s="5" t="str">
        <f t="shared" si="10"/>
        <v>--</v>
      </c>
      <c r="W36" s="5" t="str">
        <f t="shared" si="11"/>
        <v>RC</v>
      </c>
      <c r="X36" s="5" t="str">
        <f t="shared" si="12"/>
        <v>--</v>
      </c>
      <c r="Y36" s="5"/>
    </row>
    <row r="37" spans="1:30">
      <c r="A37">
        <v>81</v>
      </c>
      <c r="B37" t="s">
        <v>98</v>
      </c>
      <c r="C37">
        <v>2343865</v>
      </c>
      <c r="D37">
        <v>1.5599999999999999E-2</v>
      </c>
      <c r="E37">
        <v>1.55E-2</v>
      </c>
      <c r="F37">
        <v>9</v>
      </c>
      <c r="G37" t="s">
        <v>98</v>
      </c>
      <c r="H37">
        <v>4435792</v>
      </c>
      <c r="I37">
        <v>5.3199999999999997E-2</v>
      </c>
      <c r="J37">
        <v>0.05</v>
      </c>
      <c r="K37">
        <v>57</v>
      </c>
      <c r="L37" s="5" t="b">
        <f t="shared" si="0"/>
        <v>1</v>
      </c>
      <c r="M37" s="5">
        <f t="shared" si="1"/>
        <v>-2091927</v>
      </c>
      <c r="N37" s="5" t="str">
        <f t="shared" si="2"/>
        <v>RC</v>
      </c>
      <c r="O37" s="5" t="str">
        <f t="shared" si="3"/>
        <v>52.840%</v>
      </c>
      <c r="P37" s="5">
        <f t="shared" si="4"/>
        <v>-3.7599999999999995E-2</v>
      </c>
      <c r="Q37" s="5" t="str">
        <f t="shared" si="5"/>
        <v>RC</v>
      </c>
      <c r="R37" s="5" t="str">
        <f t="shared" si="6"/>
        <v>29.323%</v>
      </c>
      <c r="S37" s="5">
        <f t="shared" si="7"/>
        <v>-3.4500000000000003E-2</v>
      </c>
      <c r="T37" s="5" t="str">
        <f t="shared" si="8"/>
        <v>RC</v>
      </c>
      <c r="U37" s="5" t="str">
        <f t="shared" si="9"/>
        <v>31.000%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/>
    </row>
    <row r="38" spans="1:30">
      <c r="A38">
        <v>82</v>
      </c>
      <c r="B38" t="s">
        <v>105</v>
      </c>
      <c r="C38">
        <v>1645928952</v>
      </c>
      <c r="D38">
        <v>18.7484</v>
      </c>
      <c r="E38">
        <v>15.147600000000001</v>
      </c>
      <c r="F38">
        <v>13731</v>
      </c>
      <c r="G38" t="s">
        <v>102</v>
      </c>
      <c r="H38" t="s">
        <v>57</v>
      </c>
      <c r="I38" t="s">
        <v>57</v>
      </c>
      <c r="J38" t="s">
        <v>57</v>
      </c>
      <c r="K38" t="s">
        <v>57</v>
      </c>
      <c r="L38" s="5" t="str">
        <f t="shared" si="0"/>
        <v>--</v>
      </c>
      <c r="M38" s="5" t="str">
        <f t="shared" si="1"/>
        <v>--</v>
      </c>
      <c r="N38" s="5" t="str">
        <f t="shared" si="2"/>
        <v>RC</v>
      </c>
      <c r="O38" s="5" t="str">
        <f t="shared" si="3"/>
        <v>--</v>
      </c>
      <c r="P38" s="5" t="str">
        <f t="shared" si="4"/>
        <v>--</v>
      </c>
      <c r="Q38" s="5" t="str">
        <f t="shared" si="5"/>
        <v>RC</v>
      </c>
      <c r="R38" s="5" t="str">
        <f t="shared" si="6"/>
        <v>--</v>
      </c>
      <c r="S38" s="5" t="str">
        <f t="shared" si="7"/>
        <v>--</v>
      </c>
      <c r="T38" s="5" t="str">
        <f t="shared" si="8"/>
        <v>RC</v>
      </c>
      <c r="U38" s="5" t="str">
        <f t="shared" si="9"/>
        <v>--</v>
      </c>
      <c r="V38" s="5" t="str">
        <f t="shared" si="10"/>
        <v>--</v>
      </c>
      <c r="W38" s="5" t="str">
        <f t="shared" si="11"/>
        <v>RC</v>
      </c>
      <c r="X38" s="5" t="str">
        <f t="shared" si="12"/>
        <v>--</v>
      </c>
      <c r="Y38" s="5"/>
    </row>
    <row r="39" spans="1:30">
      <c r="A39">
        <v>83</v>
      </c>
      <c r="B39" t="s">
        <v>105</v>
      </c>
      <c r="C39">
        <v>1658852918</v>
      </c>
      <c r="D39">
        <v>18.8703</v>
      </c>
      <c r="E39">
        <v>15.2272</v>
      </c>
      <c r="F39">
        <v>13731</v>
      </c>
      <c r="G39" t="s">
        <v>102</v>
      </c>
      <c r="H39" t="s">
        <v>57</v>
      </c>
      <c r="I39" t="s">
        <v>57</v>
      </c>
      <c r="J39" t="s">
        <v>57</v>
      </c>
      <c r="K39" t="s">
        <v>57</v>
      </c>
      <c r="L39" s="5" t="str">
        <f t="shared" si="0"/>
        <v>--</v>
      </c>
      <c r="M39" s="5" t="str">
        <f t="shared" si="1"/>
        <v>--</v>
      </c>
      <c r="N39" s="5" t="str">
        <f t="shared" si="2"/>
        <v>RC</v>
      </c>
      <c r="O39" s="5" t="str">
        <f t="shared" si="3"/>
        <v>--</v>
      </c>
      <c r="P39" s="5" t="str">
        <f t="shared" si="4"/>
        <v>--</v>
      </c>
      <c r="Q39" s="5" t="str">
        <f t="shared" si="5"/>
        <v>RC</v>
      </c>
      <c r="R39" s="5" t="str">
        <f t="shared" si="6"/>
        <v>--</v>
      </c>
      <c r="S39" s="5" t="str">
        <f t="shared" si="7"/>
        <v>--</v>
      </c>
      <c r="T39" s="5" t="str">
        <f t="shared" si="8"/>
        <v>RC</v>
      </c>
      <c r="U39" s="5" t="str">
        <f t="shared" si="9"/>
        <v>--</v>
      </c>
      <c r="V39" s="5" t="str">
        <f t="shared" si="10"/>
        <v>--</v>
      </c>
      <c r="W39" s="5" t="str">
        <f t="shared" si="11"/>
        <v>RC</v>
      </c>
      <c r="X39" s="5" t="str">
        <f t="shared" si="12"/>
        <v>--</v>
      </c>
      <c r="Y39" s="5"/>
    </row>
    <row r="40" spans="1:30">
      <c r="A40">
        <v>84</v>
      </c>
      <c r="B40" t="s">
        <v>105</v>
      </c>
      <c r="C40">
        <v>1659194674</v>
      </c>
      <c r="D40">
        <v>18.604700000000001</v>
      </c>
      <c r="E40">
        <v>15.1508</v>
      </c>
      <c r="F40">
        <v>13731</v>
      </c>
      <c r="G40" t="s">
        <v>102</v>
      </c>
      <c r="H40" t="s">
        <v>57</v>
      </c>
      <c r="I40" t="s">
        <v>57</v>
      </c>
      <c r="J40" t="s">
        <v>57</v>
      </c>
      <c r="K40" t="s">
        <v>57</v>
      </c>
      <c r="L40" s="5" t="str">
        <f t="shared" si="0"/>
        <v>--</v>
      </c>
      <c r="M40" s="5" t="str">
        <f t="shared" si="1"/>
        <v>--</v>
      </c>
      <c r="N40" s="5" t="str">
        <f t="shared" si="2"/>
        <v>RC</v>
      </c>
      <c r="O40" s="5" t="str">
        <f t="shared" si="3"/>
        <v>--</v>
      </c>
      <c r="P40" s="5" t="str">
        <f t="shared" si="4"/>
        <v>--</v>
      </c>
      <c r="Q40" s="5" t="str">
        <f t="shared" si="5"/>
        <v>RC</v>
      </c>
      <c r="R40" s="5" t="str">
        <f t="shared" si="6"/>
        <v>--</v>
      </c>
      <c r="S40" s="5" t="str">
        <f t="shared" si="7"/>
        <v>--</v>
      </c>
      <c r="T40" s="5" t="str">
        <f t="shared" si="8"/>
        <v>RC</v>
      </c>
      <c r="U40" s="5" t="str">
        <f t="shared" si="9"/>
        <v>--</v>
      </c>
      <c r="V40" s="5" t="str">
        <f t="shared" si="10"/>
        <v>--</v>
      </c>
      <c r="W40" s="5" t="str">
        <f t="shared" si="11"/>
        <v>RC</v>
      </c>
      <c r="X40" s="5" t="str">
        <f t="shared" si="12"/>
        <v>--</v>
      </c>
      <c r="Y40" s="5"/>
    </row>
    <row r="41" spans="1:30" ht="15" customHeight="1">
      <c r="A41">
        <v>86</v>
      </c>
      <c r="B41" t="s">
        <v>105</v>
      </c>
      <c r="C41">
        <v>6495406840</v>
      </c>
      <c r="D41">
        <v>81.003100000000003</v>
      </c>
      <c r="E41">
        <v>62.039200000000001</v>
      </c>
      <c r="F41">
        <v>57809</v>
      </c>
      <c r="G41" t="s">
        <v>102</v>
      </c>
      <c r="H41" t="s">
        <v>57</v>
      </c>
      <c r="I41" t="s">
        <v>57</v>
      </c>
      <c r="J41" t="s">
        <v>57</v>
      </c>
      <c r="K41" t="s">
        <v>57</v>
      </c>
      <c r="L41" s="5" t="str">
        <f t="shared" si="0"/>
        <v>--</v>
      </c>
      <c r="M41" s="5" t="str">
        <f t="shared" si="1"/>
        <v>--</v>
      </c>
      <c r="N41" s="5" t="str">
        <f t="shared" si="2"/>
        <v>RC</v>
      </c>
      <c r="O41" s="5" t="str">
        <f t="shared" si="3"/>
        <v>--</v>
      </c>
      <c r="P41" s="5" t="str">
        <f t="shared" si="4"/>
        <v>--</v>
      </c>
      <c r="Q41" s="5" t="str">
        <f t="shared" si="5"/>
        <v>RC</v>
      </c>
      <c r="R41" s="5" t="str">
        <f t="shared" si="6"/>
        <v>--</v>
      </c>
      <c r="S41" s="5" t="str">
        <f t="shared" si="7"/>
        <v>--</v>
      </c>
      <c r="T41" s="5" t="str">
        <f t="shared" si="8"/>
        <v>RC</v>
      </c>
      <c r="U41" s="5" t="str">
        <f t="shared" si="9"/>
        <v>--</v>
      </c>
      <c r="V41" s="5" t="str">
        <f t="shared" si="10"/>
        <v>--</v>
      </c>
      <c r="W41" s="5" t="str">
        <f t="shared" si="11"/>
        <v>RC</v>
      </c>
      <c r="X41" s="5" t="str">
        <f t="shared" si="12"/>
        <v>--</v>
      </c>
      <c r="Y41" s="5"/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</row>
    <row r="42" spans="1:30">
      <c r="A42">
        <v>88</v>
      </c>
      <c r="B42" t="s">
        <v>105</v>
      </c>
      <c r="C42">
        <v>6498986912</v>
      </c>
      <c r="D42">
        <v>80.671899999999994</v>
      </c>
      <c r="E42">
        <v>61.93</v>
      </c>
      <c r="F42">
        <v>57809</v>
      </c>
      <c r="G42" t="s">
        <v>102</v>
      </c>
      <c r="H42" t="s">
        <v>57</v>
      </c>
      <c r="I42" t="s">
        <v>57</v>
      </c>
      <c r="J42" t="s">
        <v>57</v>
      </c>
      <c r="K42" t="s">
        <v>57</v>
      </c>
      <c r="L42" s="5" t="str">
        <f t="shared" si="0"/>
        <v>--</v>
      </c>
      <c r="M42" s="5" t="str">
        <f t="shared" si="1"/>
        <v>--</v>
      </c>
      <c r="N42" s="5" t="str">
        <f t="shared" si="2"/>
        <v>RC</v>
      </c>
      <c r="O42" s="5" t="str">
        <f t="shared" si="3"/>
        <v>--</v>
      </c>
      <c r="P42" s="5" t="str">
        <f t="shared" si="4"/>
        <v>--</v>
      </c>
      <c r="Q42" s="5" t="str">
        <f t="shared" si="5"/>
        <v>RC</v>
      </c>
      <c r="R42" s="5" t="str">
        <f t="shared" si="6"/>
        <v>--</v>
      </c>
      <c r="S42" s="5" t="str">
        <f t="shared" si="7"/>
        <v>--</v>
      </c>
      <c r="T42" s="5" t="str">
        <f t="shared" si="8"/>
        <v>RC</v>
      </c>
      <c r="U42" s="5" t="str">
        <f t="shared" si="9"/>
        <v>--</v>
      </c>
      <c r="V42" s="5" t="str">
        <f t="shared" si="10"/>
        <v>--</v>
      </c>
      <c r="W42" s="5" t="str">
        <f t="shared" si="11"/>
        <v>RC</v>
      </c>
      <c r="X42" s="5" t="str">
        <f t="shared" si="12"/>
        <v>--</v>
      </c>
      <c r="Y42" s="5"/>
      <c r="Z42" s="5" t="s">
        <v>30</v>
      </c>
      <c r="AA42">
        <f>SUMIFS(C2:C68,C2:C68,"&gt;0",H2:H68,"&gt;0")</f>
        <v>42730874777</v>
      </c>
      <c r="AB42">
        <f>SUMIFS(D2:D68,D2:D68,"&gt;0",I2:I68,"&gt;0")</f>
        <v>521.48759999999993</v>
      </c>
      <c r="AC42">
        <f>SUMIFS(E2:E68,E2:E68,"&gt;0",J2:J68,"&gt;0")</f>
        <v>401.9203</v>
      </c>
      <c r="AD42">
        <f>SUMIFS(F2:F68,F2:F68,"&gt;0",K2:K68,"&gt;0")</f>
        <v>379712</v>
      </c>
    </row>
    <row r="43" spans="1:30">
      <c r="A43">
        <v>90</v>
      </c>
      <c r="B43" t="s">
        <v>105</v>
      </c>
      <c r="C43">
        <v>6506256782</v>
      </c>
      <c r="D43">
        <v>80.082800000000006</v>
      </c>
      <c r="E43">
        <v>61.937100000000001</v>
      </c>
      <c r="F43">
        <v>57809</v>
      </c>
      <c r="G43" t="s">
        <v>102</v>
      </c>
      <c r="H43" t="s">
        <v>57</v>
      </c>
      <c r="I43" t="s">
        <v>57</v>
      </c>
      <c r="J43" t="s">
        <v>57</v>
      </c>
      <c r="K43" t="s">
        <v>57</v>
      </c>
      <c r="L43" s="5" t="str">
        <f t="shared" si="0"/>
        <v>--</v>
      </c>
      <c r="M43" s="5" t="str">
        <f t="shared" si="1"/>
        <v>--</v>
      </c>
      <c r="N43" s="5" t="str">
        <f t="shared" si="2"/>
        <v>RC</v>
      </c>
      <c r="O43" s="5" t="str">
        <f t="shared" si="3"/>
        <v>--</v>
      </c>
      <c r="P43" s="5" t="str">
        <f t="shared" si="4"/>
        <v>--</v>
      </c>
      <c r="Q43" s="5" t="str">
        <f t="shared" si="5"/>
        <v>RC</v>
      </c>
      <c r="R43" s="5" t="str">
        <f t="shared" si="6"/>
        <v>--</v>
      </c>
      <c r="S43" s="5" t="str">
        <f t="shared" si="7"/>
        <v>--</v>
      </c>
      <c r="T43" s="5" t="str">
        <f t="shared" si="8"/>
        <v>RC</v>
      </c>
      <c r="U43" s="5" t="str">
        <f t="shared" si="9"/>
        <v>--</v>
      </c>
      <c r="V43" s="5" t="str">
        <f t="shared" si="10"/>
        <v>--</v>
      </c>
      <c r="W43" s="5" t="str">
        <f t="shared" si="11"/>
        <v>RC</v>
      </c>
      <c r="X43" s="5" t="str">
        <f t="shared" si="12"/>
        <v>--</v>
      </c>
      <c r="Y43" s="5"/>
      <c r="Z43" s="5" t="s">
        <v>31</v>
      </c>
      <c r="AA43">
        <f>SUMIFS(H2:H68,C2:C68,"&gt;0",H2:H68,"&gt;0")</f>
        <v>44594599962</v>
      </c>
      <c r="AB43">
        <f>SUMIFS(I2:I68,D2:D68,"&gt;0",I2:I68,"&gt;0")</f>
        <v>1037.4718</v>
      </c>
      <c r="AC43">
        <f>SUMIFS(J2:J68,E2:E68,"&gt;0",J2:J68,"&gt;0")</f>
        <v>605.7183</v>
      </c>
      <c r="AD43">
        <f>SUMIFS(K2:K68,F2:F68,"&gt;0",K2:K68,"&gt;0")</f>
        <v>380004</v>
      </c>
    </row>
    <row r="44" spans="1:30">
      <c r="A44">
        <v>92</v>
      </c>
      <c r="B44" t="s">
        <v>105</v>
      </c>
      <c r="C44">
        <v>6510016848</v>
      </c>
      <c r="D44">
        <v>81.174999999999997</v>
      </c>
      <c r="E44">
        <v>62.292400000000001</v>
      </c>
      <c r="F44">
        <v>57809</v>
      </c>
      <c r="G44" t="s">
        <v>102</v>
      </c>
      <c r="H44" t="s">
        <v>57</v>
      </c>
      <c r="I44" t="s">
        <v>57</v>
      </c>
      <c r="J44" t="s">
        <v>57</v>
      </c>
      <c r="K44" t="s">
        <v>57</v>
      </c>
      <c r="L44" s="5" t="str">
        <f t="shared" si="0"/>
        <v>--</v>
      </c>
      <c r="M44" s="5" t="str">
        <f t="shared" si="1"/>
        <v>--</v>
      </c>
      <c r="N44" s="5" t="str">
        <f t="shared" si="2"/>
        <v>RC</v>
      </c>
      <c r="O44" s="5" t="str">
        <f t="shared" si="3"/>
        <v>--</v>
      </c>
      <c r="P44" s="5" t="str">
        <f t="shared" si="4"/>
        <v>--</v>
      </c>
      <c r="Q44" s="5" t="str">
        <f t="shared" si="5"/>
        <v>RC</v>
      </c>
      <c r="R44" s="5" t="str">
        <f t="shared" si="6"/>
        <v>--</v>
      </c>
      <c r="S44" s="5" t="str">
        <f t="shared" si="7"/>
        <v>--</v>
      </c>
      <c r="T44" s="5" t="str">
        <f t="shared" si="8"/>
        <v>RC</v>
      </c>
      <c r="U44" s="5" t="str">
        <f t="shared" si="9"/>
        <v>--</v>
      </c>
      <c r="V44" s="5" t="str">
        <f t="shared" si="10"/>
        <v>--</v>
      </c>
      <c r="W44" s="5" t="str">
        <f t="shared" si="11"/>
        <v>RC</v>
      </c>
      <c r="X44" s="5" t="str">
        <f t="shared" si="12"/>
        <v>--</v>
      </c>
      <c r="Y44" s="5"/>
    </row>
    <row r="45" spans="1:30">
      <c r="A45">
        <v>93</v>
      </c>
      <c r="B45" t="s">
        <v>105</v>
      </c>
      <c r="C45">
        <v>6507050551</v>
      </c>
      <c r="D45">
        <v>80.6203</v>
      </c>
      <c r="E45">
        <v>62.118299999999998</v>
      </c>
      <c r="F45">
        <v>57809</v>
      </c>
      <c r="G45" t="s">
        <v>102</v>
      </c>
      <c r="H45" t="s">
        <v>57</v>
      </c>
      <c r="I45" t="s">
        <v>57</v>
      </c>
      <c r="J45" t="s">
        <v>57</v>
      </c>
      <c r="K45" t="s">
        <v>57</v>
      </c>
      <c r="L45" s="5" t="str">
        <f t="shared" si="0"/>
        <v>--</v>
      </c>
      <c r="M45" s="5" t="str">
        <f t="shared" si="1"/>
        <v>--</v>
      </c>
      <c r="N45" s="5" t="str">
        <f t="shared" si="2"/>
        <v>RC</v>
      </c>
      <c r="O45" s="5" t="str">
        <f t="shared" si="3"/>
        <v>--</v>
      </c>
      <c r="P45" s="5" t="str">
        <f t="shared" si="4"/>
        <v>--</v>
      </c>
      <c r="Q45" s="5" t="str">
        <f t="shared" si="5"/>
        <v>RC</v>
      </c>
      <c r="R45" s="5" t="str">
        <f t="shared" si="6"/>
        <v>--</v>
      </c>
      <c r="S45" s="5" t="str">
        <f t="shared" si="7"/>
        <v>--</v>
      </c>
      <c r="T45" s="5" t="str">
        <f t="shared" si="8"/>
        <v>RC</v>
      </c>
      <c r="U45" s="5" t="str">
        <f t="shared" si="9"/>
        <v>--</v>
      </c>
      <c r="V45" s="5" t="str">
        <f t="shared" si="10"/>
        <v>--</v>
      </c>
      <c r="W45" s="5" t="str">
        <f t="shared" si="11"/>
        <v>RC</v>
      </c>
      <c r="X45" s="5" t="str">
        <f t="shared" si="12"/>
        <v>--</v>
      </c>
      <c r="Y45" s="5"/>
    </row>
    <row r="46" spans="1:30">
      <c r="A46">
        <v>94</v>
      </c>
      <c r="B46" t="s">
        <v>105</v>
      </c>
      <c r="C46">
        <v>11307126029</v>
      </c>
      <c r="D46">
        <v>147.45779999999999</v>
      </c>
      <c r="E46">
        <v>110.25360000000001</v>
      </c>
      <c r="F46">
        <v>97187</v>
      </c>
      <c r="G46" t="s">
        <v>102</v>
      </c>
      <c r="H46" t="s">
        <v>57</v>
      </c>
      <c r="I46" t="s">
        <v>57</v>
      </c>
      <c r="J46" t="s">
        <v>57</v>
      </c>
      <c r="K46" t="s">
        <v>57</v>
      </c>
      <c r="L46" s="5" t="str">
        <f t="shared" si="0"/>
        <v>--</v>
      </c>
      <c r="M46" s="5" t="str">
        <f t="shared" si="1"/>
        <v>--</v>
      </c>
      <c r="N46" s="5" t="str">
        <f t="shared" si="2"/>
        <v>RC</v>
      </c>
      <c r="O46" s="5" t="str">
        <f t="shared" si="3"/>
        <v>--</v>
      </c>
      <c r="P46" s="5" t="str">
        <f t="shared" si="4"/>
        <v>--</v>
      </c>
      <c r="Q46" s="5" t="str">
        <f t="shared" si="5"/>
        <v>RC</v>
      </c>
      <c r="R46" s="5" t="str">
        <f t="shared" si="6"/>
        <v>--</v>
      </c>
      <c r="S46" s="5" t="str">
        <f t="shared" si="7"/>
        <v>--</v>
      </c>
      <c r="T46" s="5" t="str">
        <f t="shared" si="8"/>
        <v>RC</v>
      </c>
      <c r="U46" s="5" t="str">
        <f t="shared" si="9"/>
        <v>--</v>
      </c>
      <c r="V46" s="5" t="str">
        <f t="shared" si="10"/>
        <v>--</v>
      </c>
      <c r="W46" s="5" t="str">
        <f t="shared" si="11"/>
        <v>RC</v>
      </c>
      <c r="X46" s="5" t="str">
        <f t="shared" si="12"/>
        <v>--</v>
      </c>
      <c r="Y46" s="5"/>
      <c r="Z46" t="s">
        <v>116</v>
      </c>
      <c r="AA46" s="23">
        <f>AA42/AA43</f>
        <v>0.95820737966955372</v>
      </c>
      <c r="AB46" s="23">
        <f>AB42/AB43</f>
        <v>0.50265231305564151</v>
      </c>
      <c r="AC46" s="23">
        <f>AC42/AC43</f>
        <v>0.66354326755523152</v>
      </c>
      <c r="AD46" s="23">
        <f>AD42/AD43</f>
        <v>0.99923158703592596</v>
      </c>
    </row>
    <row r="47" spans="1:30">
      <c r="A47">
        <v>96</v>
      </c>
      <c r="B47" t="s">
        <v>105</v>
      </c>
      <c r="C47">
        <v>11307784832</v>
      </c>
      <c r="D47">
        <v>149.33279999999999</v>
      </c>
      <c r="E47">
        <v>110.32429999999999</v>
      </c>
      <c r="F47">
        <v>97187</v>
      </c>
      <c r="G47" t="s">
        <v>102</v>
      </c>
      <c r="H47" t="s">
        <v>57</v>
      </c>
      <c r="I47" t="s">
        <v>57</v>
      </c>
      <c r="J47" t="s">
        <v>57</v>
      </c>
      <c r="K47" t="s">
        <v>57</v>
      </c>
      <c r="L47" s="5" t="str">
        <f t="shared" si="0"/>
        <v>--</v>
      </c>
      <c r="M47" s="5" t="str">
        <f t="shared" si="1"/>
        <v>--</v>
      </c>
      <c r="N47" s="5" t="str">
        <f t="shared" si="2"/>
        <v>RC</v>
      </c>
      <c r="O47" s="5" t="str">
        <f t="shared" si="3"/>
        <v>--</v>
      </c>
      <c r="P47" s="5" t="str">
        <f t="shared" si="4"/>
        <v>--</v>
      </c>
      <c r="Q47" s="5" t="str">
        <f t="shared" si="5"/>
        <v>RC</v>
      </c>
      <c r="R47" s="5" t="str">
        <f t="shared" si="6"/>
        <v>--</v>
      </c>
      <c r="S47" s="5" t="str">
        <f t="shared" si="7"/>
        <v>--</v>
      </c>
      <c r="T47" s="5" t="str">
        <f t="shared" si="8"/>
        <v>RC</v>
      </c>
      <c r="U47" s="5" t="str">
        <f t="shared" si="9"/>
        <v>--</v>
      </c>
      <c r="V47" s="5" t="str">
        <f t="shared" si="10"/>
        <v>--</v>
      </c>
      <c r="W47" s="5" t="str">
        <f t="shared" si="11"/>
        <v>RC</v>
      </c>
      <c r="X47" s="5" t="str">
        <f t="shared" si="12"/>
        <v>--</v>
      </c>
      <c r="Y47" s="5"/>
      <c r="Z47" t="s">
        <v>117</v>
      </c>
      <c r="AA47" s="23">
        <f>1/AA46</f>
        <v>1.0436154231507369</v>
      </c>
      <c r="AB47" s="23">
        <f>1/AB46</f>
        <v>1.9894467289346864</v>
      </c>
      <c r="AC47" s="23">
        <f>1/AC46</f>
        <v>1.5070607282090505</v>
      </c>
      <c r="AD47" s="23">
        <f>1/AD46</f>
        <v>1.0007690038766222</v>
      </c>
    </row>
    <row r="48" spans="1:30">
      <c r="A48">
        <v>98</v>
      </c>
      <c r="B48" t="s">
        <v>105</v>
      </c>
      <c r="C48">
        <v>11314035010</v>
      </c>
      <c r="D48">
        <v>147.56870000000001</v>
      </c>
      <c r="E48">
        <v>110.38160000000001</v>
      </c>
      <c r="F48">
        <v>97187</v>
      </c>
      <c r="G48" t="s">
        <v>102</v>
      </c>
      <c r="H48" t="s">
        <v>57</v>
      </c>
      <c r="I48" t="s">
        <v>57</v>
      </c>
      <c r="J48" t="s">
        <v>57</v>
      </c>
      <c r="K48" t="s">
        <v>57</v>
      </c>
      <c r="L48" s="5" t="str">
        <f t="shared" si="0"/>
        <v>--</v>
      </c>
      <c r="M48" s="5" t="str">
        <f t="shared" si="1"/>
        <v>--</v>
      </c>
      <c r="N48" s="5" t="str">
        <f t="shared" si="2"/>
        <v>RC</v>
      </c>
      <c r="O48" s="5" t="str">
        <f t="shared" si="3"/>
        <v>--</v>
      </c>
      <c r="P48" s="5" t="str">
        <f t="shared" si="4"/>
        <v>--</v>
      </c>
      <c r="Q48" s="5" t="str">
        <f t="shared" si="5"/>
        <v>RC</v>
      </c>
      <c r="R48" s="5" t="str">
        <f t="shared" si="6"/>
        <v>--</v>
      </c>
      <c r="S48" s="5" t="str">
        <f t="shared" si="7"/>
        <v>--</v>
      </c>
      <c r="T48" s="5" t="str">
        <f t="shared" si="8"/>
        <v>RC</v>
      </c>
      <c r="U48" s="5" t="str">
        <f t="shared" si="9"/>
        <v>--</v>
      </c>
      <c r="V48" s="5" t="str">
        <f t="shared" si="10"/>
        <v>--</v>
      </c>
      <c r="W48" s="5" t="str">
        <f t="shared" si="11"/>
        <v>RC</v>
      </c>
      <c r="X48" s="5" t="str">
        <f t="shared" si="12"/>
        <v>--</v>
      </c>
      <c r="Y48" s="5"/>
    </row>
    <row r="49" spans="1:25">
      <c r="A49">
        <v>99</v>
      </c>
      <c r="B49" t="s">
        <v>105</v>
      </c>
      <c r="C49">
        <v>11316691761</v>
      </c>
      <c r="D49">
        <v>148.6328</v>
      </c>
      <c r="E49">
        <v>110.3199</v>
      </c>
      <c r="F49">
        <v>97187</v>
      </c>
      <c r="G49" t="s">
        <v>102</v>
      </c>
      <c r="H49" t="s">
        <v>57</v>
      </c>
      <c r="I49" t="s">
        <v>57</v>
      </c>
      <c r="J49" t="s">
        <v>57</v>
      </c>
      <c r="K49" t="s">
        <v>57</v>
      </c>
      <c r="L49" s="5" t="str">
        <f t="shared" si="0"/>
        <v>--</v>
      </c>
      <c r="M49" s="5" t="str">
        <f t="shared" si="1"/>
        <v>--</v>
      </c>
      <c r="N49" s="5" t="str">
        <f t="shared" si="2"/>
        <v>RC</v>
      </c>
      <c r="O49" s="5" t="str">
        <f t="shared" si="3"/>
        <v>--</v>
      </c>
      <c r="P49" s="5" t="str">
        <f t="shared" si="4"/>
        <v>--</v>
      </c>
      <c r="Q49" s="5" t="str">
        <f t="shared" si="5"/>
        <v>RC</v>
      </c>
      <c r="R49" s="5" t="str">
        <f t="shared" si="6"/>
        <v>--</v>
      </c>
      <c r="S49" s="5" t="str">
        <f t="shared" si="7"/>
        <v>--</v>
      </c>
      <c r="T49" s="5" t="str">
        <f t="shared" si="8"/>
        <v>RC</v>
      </c>
      <c r="U49" s="5" t="str">
        <f t="shared" si="9"/>
        <v>--</v>
      </c>
      <c r="V49" s="5" t="str">
        <f t="shared" si="10"/>
        <v>--</v>
      </c>
      <c r="W49" s="5" t="str">
        <f t="shared" si="11"/>
        <v>RC</v>
      </c>
      <c r="X49" s="5" t="str">
        <f t="shared" si="12"/>
        <v>--</v>
      </c>
      <c r="Y49" s="5"/>
    </row>
    <row r="50" spans="1:25">
      <c r="A50">
        <v>101</v>
      </c>
      <c r="B50" t="s">
        <v>105</v>
      </c>
      <c r="C50">
        <v>11293587685</v>
      </c>
      <c r="D50">
        <v>145.9829</v>
      </c>
      <c r="E50">
        <v>109.7555</v>
      </c>
      <c r="F50">
        <v>97187</v>
      </c>
      <c r="G50" t="s">
        <v>102</v>
      </c>
      <c r="H50" t="s">
        <v>57</v>
      </c>
      <c r="I50" t="s">
        <v>57</v>
      </c>
      <c r="J50" t="s">
        <v>57</v>
      </c>
      <c r="K50" t="s">
        <v>57</v>
      </c>
      <c r="L50" s="5" t="str">
        <f t="shared" si="0"/>
        <v>--</v>
      </c>
      <c r="M50" s="5" t="str">
        <f t="shared" si="1"/>
        <v>--</v>
      </c>
      <c r="N50" s="5" t="str">
        <f t="shared" si="2"/>
        <v>RC</v>
      </c>
      <c r="O50" s="5" t="str">
        <f t="shared" si="3"/>
        <v>--</v>
      </c>
      <c r="P50" s="5" t="str">
        <f t="shared" si="4"/>
        <v>--</v>
      </c>
      <c r="Q50" s="5" t="str">
        <f t="shared" si="5"/>
        <v>RC</v>
      </c>
      <c r="R50" s="5" t="str">
        <f t="shared" si="6"/>
        <v>--</v>
      </c>
      <c r="S50" s="5" t="str">
        <f t="shared" si="7"/>
        <v>--</v>
      </c>
      <c r="T50" s="5" t="str">
        <f t="shared" si="8"/>
        <v>RC</v>
      </c>
      <c r="U50" s="5" t="str">
        <f t="shared" si="9"/>
        <v>--</v>
      </c>
      <c r="V50" s="5" t="str">
        <f t="shared" si="10"/>
        <v>--</v>
      </c>
      <c r="W50" s="5" t="str">
        <f t="shared" si="11"/>
        <v>RC</v>
      </c>
      <c r="X50" s="5" t="str">
        <f t="shared" si="12"/>
        <v>--</v>
      </c>
      <c r="Y50" s="5"/>
    </row>
    <row r="51" spans="1:25">
      <c r="A51">
        <v>103</v>
      </c>
      <c r="B51" t="s">
        <v>105</v>
      </c>
      <c r="C51">
        <v>6502299848</v>
      </c>
      <c r="D51">
        <v>81.114099999999993</v>
      </c>
      <c r="E51">
        <v>62.009399999999999</v>
      </c>
      <c r="F51">
        <v>57809</v>
      </c>
      <c r="G51" t="s">
        <v>102</v>
      </c>
      <c r="H51" t="s">
        <v>57</v>
      </c>
      <c r="I51" t="s">
        <v>57</v>
      </c>
      <c r="J51" t="s">
        <v>57</v>
      </c>
      <c r="K51" t="s">
        <v>57</v>
      </c>
      <c r="L51" s="5" t="str">
        <f t="shared" si="0"/>
        <v>--</v>
      </c>
      <c r="M51" s="5" t="str">
        <f t="shared" si="1"/>
        <v>--</v>
      </c>
      <c r="N51" s="5" t="str">
        <f t="shared" si="2"/>
        <v>RC</v>
      </c>
      <c r="O51" s="5" t="str">
        <f t="shared" si="3"/>
        <v>--</v>
      </c>
      <c r="P51" s="5" t="str">
        <f t="shared" si="4"/>
        <v>--</v>
      </c>
      <c r="Q51" s="5" t="str">
        <f t="shared" si="5"/>
        <v>RC</v>
      </c>
      <c r="R51" s="5" t="str">
        <f t="shared" si="6"/>
        <v>--</v>
      </c>
      <c r="S51" s="5" t="str">
        <f t="shared" si="7"/>
        <v>--</v>
      </c>
      <c r="T51" s="5" t="str">
        <f t="shared" si="8"/>
        <v>RC</v>
      </c>
      <c r="U51" s="5" t="str">
        <f t="shared" si="9"/>
        <v>--</v>
      </c>
      <c r="V51" s="5" t="str">
        <f t="shared" si="10"/>
        <v>--</v>
      </c>
      <c r="W51" s="5" t="str">
        <f t="shared" si="11"/>
        <v>RC</v>
      </c>
      <c r="X51" s="5" t="str">
        <f t="shared" si="12"/>
        <v>--</v>
      </c>
      <c r="Y51" s="5"/>
    </row>
    <row r="52" spans="1:25">
      <c r="A52">
        <v>105</v>
      </c>
      <c r="B52" t="s">
        <v>105</v>
      </c>
      <c r="C52">
        <v>15906593261</v>
      </c>
      <c r="D52">
        <v>219.52969999999999</v>
      </c>
      <c r="E52">
        <v>158.08709999999999</v>
      </c>
      <c r="F52">
        <v>134735</v>
      </c>
      <c r="G52" t="s">
        <v>102</v>
      </c>
      <c r="H52" t="s">
        <v>57</v>
      </c>
      <c r="I52" t="s">
        <v>57</v>
      </c>
      <c r="J52" t="s">
        <v>57</v>
      </c>
      <c r="K52" t="s">
        <v>57</v>
      </c>
      <c r="L52" s="5" t="str">
        <f t="shared" si="0"/>
        <v>--</v>
      </c>
      <c r="M52" s="5" t="str">
        <f t="shared" si="1"/>
        <v>--</v>
      </c>
      <c r="N52" s="5" t="str">
        <f t="shared" si="2"/>
        <v>RC</v>
      </c>
      <c r="O52" s="5" t="str">
        <f t="shared" si="3"/>
        <v>--</v>
      </c>
      <c r="P52" s="5" t="str">
        <f t="shared" si="4"/>
        <v>--</v>
      </c>
      <c r="Q52" s="5" t="str">
        <f t="shared" si="5"/>
        <v>RC</v>
      </c>
      <c r="R52" s="5" t="str">
        <f t="shared" si="6"/>
        <v>--</v>
      </c>
      <c r="S52" s="5" t="str">
        <f t="shared" si="7"/>
        <v>--</v>
      </c>
      <c r="T52" s="5" t="str">
        <f t="shared" si="8"/>
        <v>RC</v>
      </c>
      <c r="U52" s="5" t="str">
        <f t="shared" si="9"/>
        <v>--</v>
      </c>
      <c r="V52" s="5" t="str">
        <f t="shared" si="10"/>
        <v>--</v>
      </c>
      <c r="W52" s="5" t="str">
        <f t="shared" si="11"/>
        <v>RC</v>
      </c>
      <c r="X52" s="5" t="str">
        <f t="shared" si="12"/>
        <v>--</v>
      </c>
      <c r="Y52" s="5"/>
    </row>
    <row r="53" spans="1:25">
      <c r="A53">
        <v>106</v>
      </c>
      <c r="B53" t="s">
        <v>105</v>
      </c>
      <c r="C53">
        <v>7255285878</v>
      </c>
      <c r="D53">
        <v>91.573400000000007</v>
      </c>
      <c r="E53">
        <v>71.008200000000002</v>
      </c>
      <c r="F53">
        <v>64429</v>
      </c>
      <c r="G53" t="s">
        <v>102</v>
      </c>
      <c r="H53" t="s">
        <v>57</v>
      </c>
      <c r="I53" t="s">
        <v>57</v>
      </c>
      <c r="J53" t="s">
        <v>57</v>
      </c>
      <c r="K53" t="s">
        <v>57</v>
      </c>
      <c r="L53" s="5" t="str">
        <f t="shared" si="0"/>
        <v>--</v>
      </c>
      <c r="M53" s="5" t="str">
        <f t="shared" si="1"/>
        <v>--</v>
      </c>
      <c r="N53" s="5" t="str">
        <f t="shared" si="2"/>
        <v>RC</v>
      </c>
      <c r="O53" s="5" t="str">
        <f t="shared" si="3"/>
        <v>--</v>
      </c>
      <c r="P53" s="5" t="str">
        <f t="shared" si="4"/>
        <v>--</v>
      </c>
      <c r="Q53" s="5" t="str">
        <f t="shared" si="5"/>
        <v>RC</v>
      </c>
      <c r="R53" s="5" t="str">
        <f t="shared" si="6"/>
        <v>--</v>
      </c>
      <c r="S53" s="5" t="str">
        <f t="shared" si="7"/>
        <v>--</v>
      </c>
      <c r="T53" s="5" t="str">
        <f t="shared" si="8"/>
        <v>RC</v>
      </c>
      <c r="U53" s="5" t="str">
        <f t="shared" si="9"/>
        <v>--</v>
      </c>
      <c r="V53" s="5" t="str">
        <f t="shared" si="10"/>
        <v>--</v>
      </c>
      <c r="W53" s="5" t="str">
        <f t="shared" si="11"/>
        <v>RC</v>
      </c>
      <c r="X53" s="5" t="str">
        <f t="shared" si="12"/>
        <v>--</v>
      </c>
      <c r="Y53" s="5"/>
    </row>
    <row r="54" spans="1:25">
      <c r="A54">
        <v>108</v>
      </c>
      <c r="B54" t="s">
        <v>105</v>
      </c>
      <c r="C54">
        <v>15914077781</v>
      </c>
      <c r="D54">
        <v>224.70939999999999</v>
      </c>
      <c r="E54">
        <v>162.65940000000001</v>
      </c>
      <c r="F54">
        <v>134735</v>
      </c>
      <c r="G54" t="s">
        <v>102</v>
      </c>
      <c r="H54" t="s">
        <v>57</v>
      </c>
      <c r="I54" t="s">
        <v>57</v>
      </c>
      <c r="J54" t="s">
        <v>57</v>
      </c>
      <c r="K54" t="s">
        <v>57</v>
      </c>
      <c r="L54" s="5" t="str">
        <f t="shared" si="0"/>
        <v>--</v>
      </c>
      <c r="M54" s="5" t="str">
        <f t="shared" si="1"/>
        <v>--</v>
      </c>
      <c r="N54" s="5" t="str">
        <f t="shared" si="2"/>
        <v>RC</v>
      </c>
      <c r="O54" s="5" t="str">
        <f t="shared" si="3"/>
        <v>--</v>
      </c>
      <c r="P54" s="5" t="str">
        <f t="shared" si="4"/>
        <v>--</v>
      </c>
      <c r="Q54" s="5" t="str">
        <f t="shared" si="5"/>
        <v>RC</v>
      </c>
      <c r="R54" s="5" t="str">
        <f t="shared" si="6"/>
        <v>--</v>
      </c>
      <c r="S54" s="5" t="str">
        <f t="shared" si="7"/>
        <v>--</v>
      </c>
      <c r="T54" s="5" t="str">
        <f t="shared" si="8"/>
        <v>RC</v>
      </c>
      <c r="U54" s="5" t="str">
        <f t="shared" si="9"/>
        <v>--</v>
      </c>
      <c r="V54" s="5" t="str">
        <f t="shared" si="10"/>
        <v>--</v>
      </c>
      <c r="W54" s="5" t="str">
        <f t="shared" si="11"/>
        <v>RC</v>
      </c>
      <c r="X54" s="5" t="str">
        <f t="shared" si="12"/>
        <v>--</v>
      </c>
      <c r="Y54" s="5"/>
    </row>
    <row r="55" spans="1:25">
      <c r="A55">
        <v>109</v>
      </c>
      <c r="B55" t="s">
        <v>105</v>
      </c>
      <c r="C55">
        <v>15806662313</v>
      </c>
      <c r="D55">
        <v>224.75620000000001</v>
      </c>
      <c r="E55">
        <v>158.9813</v>
      </c>
      <c r="F55">
        <v>134735</v>
      </c>
      <c r="G55" t="s">
        <v>102</v>
      </c>
      <c r="H55" t="s">
        <v>57</v>
      </c>
      <c r="I55" t="s">
        <v>57</v>
      </c>
      <c r="J55" t="s">
        <v>57</v>
      </c>
      <c r="K55" t="s">
        <v>57</v>
      </c>
      <c r="L55" s="5" t="str">
        <f t="shared" si="0"/>
        <v>--</v>
      </c>
      <c r="M55" s="5" t="str">
        <f t="shared" si="1"/>
        <v>--</v>
      </c>
      <c r="N55" s="5" t="str">
        <f t="shared" si="2"/>
        <v>RC</v>
      </c>
      <c r="O55" s="5" t="str">
        <f t="shared" si="3"/>
        <v>--</v>
      </c>
      <c r="P55" s="5" t="str">
        <f t="shared" si="4"/>
        <v>--</v>
      </c>
      <c r="Q55" s="5" t="str">
        <f t="shared" si="5"/>
        <v>RC</v>
      </c>
      <c r="R55" s="5" t="str">
        <f t="shared" si="6"/>
        <v>--</v>
      </c>
      <c r="S55" s="5" t="str">
        <f t="shared" si="7"/>
        <v>--</v>
      </c>
      <c r="T55" s="5" t="str">
        <f t="shared" si="8"/>
        <v>RC</v>
      </c>
      <c r="U55" s="5" t="str">
        <f t="shared" si="9"/>
        <v>--</v>
      </c>
      <c r="V55" s="5" t="str">
        <f t="shared" si="10"/>
        <v>--</v>
      </c>
      <c r="W55" s="5" t="str">
        <f t="shared" si="11"/>
        <v>RC</v>
      </c>
      <c r="X55" s="5" t="str">
        <f t="shared" si="12"/>
        <v>--</v>
      </c>
      <c r="Y55" s="5"/>
    </row>
    <row r="56" spans="1:25">
      <c r="A56">
        <v>112</v>
      </c>
      <c r="B56" t="s">
        <v>105</v>
      </c>
      <c r="C56">
        <v>7252096048</v>
      </c>
      <c r="D56">
        <v>89.335899999999995</v>
      </c>
      <c r="E56">
        <v>69.156599999999997</v>
      </c>
      <c r="F56">
        <v>64429</v>
      </c>
      <c r="G56" t="s">
        <v>102</v>
      </c>
      <c r="H56" t="s">
        <v>57</v>
      </c>
      <c r="I56" t="s">
        <v>57</v>
      </c>
      <c r="J56" t="s">
        <v>57</v>
      </c>
      <c r="K56" t="s">
        <v>57</v>
      </c>
      <c r="L56" s="5" t="str">
        <f t="shared" si="0"/>
        <v>--</v>
      </c>
      <c r="M56" s="5" t="str">
        <f t="shared" si="1"/>
        <v>--</v>
      </c>
      <c r="N56" s="5" t="str">
        <f t="shared" si="2"/>
        <v>RC</v>
      </c>
      <c r="O56" s="5" t="str">
        <f t="shared" si="3"/>
        <v>--</v>
      </c>
      <c r="P56" s="5" t="str">
        <f t="shared" si="4"/>
        <v>--</v>
      </c>
      <c r="Q56" s="5" t="str">
        <f t="shared" si="5"/>
        <v>RC</v>
      </c>
      <c r="R56" s="5" t="str">
        <f t="shared" si="6"/>
        <v>--</v>
      </c>
      <c r="S56" s="5" t="str">
        <f t="shared" si="7"/>
        <v>--</v>
      </c>
      <c r="T56" s="5" t="str">
        <f t="shared" si="8"/>
        <v>RC</v>
      </c>
      <c r="U56" s="5" t="str">
        <f t="shared" si="9"/>
        <v>--</v>
      </c>
      <c r="V56" s="5" t="str">
        <f t="shared" si="10"/>
        <v>--</v>
      </c>
      <c r="W56" s="5" t="str">
        <f t="shared" si="11"/>
        <v>RC</v>
      </c>
      <c r="X56" s="5" t="str">
        <f t="shared" si="12"/>
        <v>--</v>
      </c>
      <c r="Y56" s="5"/>
    </row>
    <row r="57" spans="1:25">
      <c r="A57">
        <v>114</v>
      </c>
      <c r="B57" t="s">
        <v>105</v>
      </c>
      <c r="C57">
        <v>15930695036</v>
      </c>
      <c r="D57">
        <v>225.1266</v>
      </c>
      <c r="E57">
        <v>158.8938</v>
      </c>
      <c r="F57">
        <v>134735</v>
      </c>
      <c r="G57" t="s">
        <v>102</v>
      </c>
      <c r="H57" t="s">
        <v>57</v>
      </c>
      <c r="I57" t="s">
        <v>57</v>
      </c>
      <c r="J57" t="s">
        <v>57</v>
      </c>
      <c r="K57" t="s">
        <v>57</v>
      </c>
      <c r="L57" s="5" t="str">
        <f t="shared" si="0"/>
        <v>--</v>
      </c>
      <c r="M57" s="5" t="str">
        <f t="shared" si="1"/>
        <v>--</v>
      </c>
      <c r="N57" s="5" t="str">
        <f t="shared" si="2"/>
        <v>RC</v>
      </c>
      <c r="O57" s="5" t="str">
        <f t="shared" si="3"/>
        <v>--</v>
      </c>
      <c r="P57" s="5" t="str">
        <f t="shared" si="4"/>
        <v>--</v>
      </c>
      <c r="Q57" s="5" t="str">
        <f t="shared" si="5"/>
        <v>RC</v>
      </c>
      <c r="R57" s="5" t="str">
        <f t="shared" si="6"/>
        <v>--</v>
      </c>
      <c r="S57" s="5" t="str">
        <f t="shared" si="7"/>
        <v>--</v>
      </c>
      <c r="T57" s="5" t="str">
        <f t="shared" si="8"/>
        <v>RC</v>
      </c>
      <c r="U57" s="5" t="str">
        <f t="shared" si="9"/>
        <v>--</v>
      </c>
      <c r="V57" s="5" t="str">
        <f t="shared" si="10"/>
        <v>--</v>
      </c>
      <c r="W57" s="5" t="str">
        <f t="shared" si="11"/>
        <v>RC</v>
      </c>
      <c r="X57" s="5" t="str">
        <f t="shared" si="12"/>
        <v>--</v>
      </c>
      <c r="Y57" s="5"/>
    </row>
    <row r="58" spans="1:25">
      <c r="A58">
        <v>115</v>
      </c>
      <c r="B58" t="s">
        <v>105</v>
      </c>
      <c r="C58">
        <v>15930579834</v>
      </c>
      <c r="D58">
        <v>229.31569999999999</v>
      </c>
      <c r="E58">
        <v>165.5068</v>
      </c>
      <c r="F58">
        <v>134735</v>
      </c>
      <c r="G58" t="s">
        <v>102</v>
      </c>
      <c r="H58" t="s">
        <v>57</v>
      </c>
      <c r="I58" t="s">
        <v>57</v>
      </c>
      <c r="J58" t="s">
        <v>57</v>
      </c>
      <c r="K58" t="s">
        <v>57</v>
      </c>
      <c r="L58" s="5" t="str">
        <f t="shared" si="0"/>
        <v>--</v>
      </c>
      <c r="M58" s="5" t="str">
        <f t="shared" si="1"/>
        <v>--</v>
      </c>
      <c r="N58" s="5" t="str">
        <f t="shared" si="2"/>
        <v>RC</v>
      </c>
      <c r="O58" s="5" t="str">
        <f t="shared" si="3"/>
        <v>--</v>
      </c>
      <c r="P58" s="5" t="str">
        <f t="shared" si="4"/>
        <v>--</v>
      </c>
      <c r="Q58" s="5" t="str">
        <f t="shared" si="5"/>
        <v>RC</v>
      </c>
      <c r="R58" s="5" t="str">
        <f t="shared" si="6"/>
        <v>--</v>
      </c>
      <c r="S58" s="5" t="str">
        <f t="shared" si="7"/>
        <v>--</v>
      </c>
      <c r="T58" s="5" t="str">
        <f t="shared" si="8"/>
        <v>RC</v>
      </c>
      <c r="U58" s="5" t="str">
        <f t="shared" si="9"/>
        <v>--</v>
      </c>
      <c r="V58" s="5" t="str">
        <f t="shared" si="10"/>
        <v>--</v>
      </c>
      <c r="W58" s="5" t="str">
        <f t="shared" si="11"/>
        <v>RC</v>
      </c>
      <c r="X58" s="5" t="str">
        <f t="shared" si="12"/>
        <v>--</v>
      </c>
      <c r="Y58" s="5"/>
    </row>
    <row r="59" spans="1:25">
      <c r="A59">
        <v>118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102</v>
      </c>
      <c r="H59" t="s">
        <v>57</v>
      </c>
      <c r="I59" t="s">
        <v>57</v>
      </c>
      <c r="J59" t="s">
        <v>57</v>
      </c>
      <c r="K59" t="s">
        <v>57</v>
      </c>
      <c r="L59" s="5" t="str">
        <f t="shared" si="0"/>
        <v>--</v>
      </c>
      <c r="M59" s="5" t="str">
        <f t="shared" si="1"/>
        <v>--</v>
      </c>
      <c r="N59" s="5" t="str">
        <f t="shared" si="2"/>
        <v>--</v>
      </c>
      <c r="O59" s="5" t="str">
        <f t="shared" si="3"/>
        <v>--</v>
      </c>
      <c r="P59" s="5" t="str">
        <f t="shared" si="4"/>
        <v>--</v>
      </c>
      <c r="Q59" s="5" t="str">
        <f t="shared" si="5"/>
        <v>--</v>
      </c>
      <c r="R59" s="5" t="str">
        <f t="shared" si="6"/>
        <v>--</v>
      </c>
      <c r="S59" s="5" t="str">
        <f t="shared" si="7"/>
        <v>--</v>
      </c>
      <c r="T59" s="5" t="str">
        <f t="shared" si="8"/>
        <v>--</v>
      </c>
      <c r="U59" s="5" t="str">
        <f t="shared" si="9"/>
        <v>--</v>
      </c>
      <c r="V59" s="5" t="str">
        <f t="shared" si="10"/>
        <v>--</v>
      </c>
      <c r="W59" s="5" t="str">
        <f t="shared" si="11"/>
        <v>--</v>
      </c>
      <c r="X59" s="5" t="str">
        <f t="shared" si="12"/>
        <v>--</v>
      </c>
      <c r="Y59" s="5"/>
    </row>
    <row r="60" spans="1:25">
      <c r="A60">
        <v>119</v>
      </c>
      <c r="B60" t="s">
        <v>105</v>
      </c>
      <c r="C60">
        <v>15928427313</v>
      </c>
      <c r="D60">
        <v>221.3562</v>
      </c>
      <c r="E60">
        <v>158.3528</v>
      </c>
      <c r="F60">
        <v>134735</v>
      </c>
      <c r="G60" t="s">
        <v>102</v>
      </c>
      <c r="H60" t="s">
        <v>57</v>
      </c>
      <c r="I60" t="s">
        <v>57</v>
      </c>
      <c r="J60" t="s">
        <v>57</v>
      </c>
      <c r="K60" t="s">
        <v>57</v>
      </c>
      <c r="L60" s="5" t="str">
        <f t="shared" si="0"/>
        <v>--</v>
      </c>
      <c r="M60" s="5" t="str">
        <f t="shared" si="1"/>
        <v>--</v>
      </c>
      <c r="N60" s="5" t="str">
        <f t="shared" si="2"/>
        <v>RC</v>
      </c>
      <c r="O60" s="5" t="str">
        <f t="shared" si="3"/>
        <v>--</v>
      </c>
      <c r="P60" s="5" t="str">
        <f t="shared" si="4"/>
        <v>--</v>
      </c>
      <c r="Q60" s="5" t="str">
        <f t="shared" si="5"/>
        <v>RC</v>
      </c>
      <c r="R60" s="5" t="str">
        <f t="shared" si="6"/>
        <v>--</v>
      </c>
      <c r="S60" s="5" t="str">
        <f t="shared" si="7"/>
        <v>--</v>
      </c>
      <c r="T60" s="5" t="str">
        <f t="shared" si="8"/>
        <v>RC</v>
      </c>
      <c r="U60" s="5" t="str">
        <f t="shared" si="9"/>
        <v>--</v>
      </c>
      <c r="V60" s="5" t="str">
        <f t="shared" si="10"/>
        <v>--</v>
      </c>
      <c r="W60" s="5" t="str">
        <f t="shared" si="11"/>
        <v>RC</v>
      </c>
      <c r="X60" s="5" t="str">
        <f t="shared" si="12"/>
        <v>--</v>
      </c>
      <c r="Y60" s="5"/>
    </row>
    <row r="61" spans="1:25">
      <c r="A61">
        <v>121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102</v>
      </c>
      <c r="H61" t="s">
        <v>57</v>
      </c>
      <c r="I61" t="s">
        <v>57</v>
      </c>
      <c r="J61" t="s">
        <v>57</v>
      </c>
      <c r="K61" t="s">
        <v>57</v>
      </c>
      <c r="L61" s="5" t="str">
        <f t="shared" si="0"/>
        <v>--</v>
      </c>
      <c r="M61" s="5" t="str">
        <f t="shared" si="1"/>
        <v>--</v>
      </c>
      <c r="N61" s="5" t="str">
        <f t="shared" si="2"/>
        <v>--</v>
      </c>
      <c r="O61" s="5" t="str">
        <f t="shared" si="3"/>
        <v>--</v>
      </c>
      <c r="P61" s="5" t="str">
        <f t="shared" si="4"/>
        <v>--</v>
      </c>
      <c r="Q61" s="5" t="str">
        <f t="shared" si="5"/>
        <v>--</v>
      </c>
      <c r="R61" s="5" t="str">
        <f t="shared" si="6"/>
        <v>--</v>
      </c>
      <c r="S61" s="5" t="str">
        <f t="shared" si="7"/>
        <v>--</v>
      </c>
      <c r="T61" s="5" t="str">
        <f t="shared" si="8"/>
        <v>--</v>
      </c>
      <c r="U61" s="5" t="str">
        <f t="shared" si="9"/>
        <v>--</v>
      </c>
      <c r="V61" s="5" t="str">
        <f t="shared" si="10"/>
        <v>--</v>
      </c>
      <c r="W61" s="5" t="str">
        <f t="shared" si="11"/>
        <v>--</v>
      </c>
      <c r="X61" s="5" t="str">
        <f t="shared" si="12"/>
        <v>--</v>
      </c>
      <c r="Y61" s="5"/>
    </row>
    <row r="62" spans="1:25">
      <c r="A62">
        <v>123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102</v>
      </c>
      <c r="H62" t="s">
        <v>57</v>
      </c>
      <c r="I62" t="s">
        <v>57</v>
      </c>
      <c r="J62" t="s">
        <v>57</v>
      </c>
      <c r="K62" t="s">
        <v>57</v>
      </c>
      <c r="L62" s="5" t="str">
        <f t="shared" si="0"/>
        <v>--</v>
      </c>
      <c r="M62" s="5" t="str">
        <f t="shared" si="1"/>
        <v>--</v>
      </c>
      <c r="N62" s="5" t="str">
        <f t="shared" si="2"/>
        <v>--</v>
      </c>
      <c r="O62" s="5" t="str">
        <f t="shared" si="3"/>
        <v>--</v>
      </c>
      <c r="P62" s="5" t="str">
        <f t="shared" si="4"/>
        <v>--</v>
      </c>
      <c r="Q62" s="5" t="str">
        <f t="shared" si="5"/>
        <v>--</v>
      </c>
      <c r="R62" s="5" t="str">
        <f t="shared" si="6"/>
        <v>--</v>
      </c>
      <c r="S62" s="5" t="str">
        <f t="shared" si="7"/>
        <v>--</v>
      </c>
      <c r="T62" s="5" t="str">
        <f t="shared" si="8"/>
        <v>--</v>
      </c>
      <c r="U62" s="5" t="str">
        <f t="shared" si="9"/>
        <v>--</v>
      </c>
      <c r="V62" s="5" t="str">
        <f t="shared" si="10"/>
        <v>--</v>
      </c>
      <c r="W62" s="5" t="str">
        <f t="shared" si="11"/>
        <v>--</v>
      </c>
      <c r="X62" s="5" t="str">
        <f t="shared" si="12"/>
        <v>--</v>
      </c>
      <c r="Y62" s="5"/>
    </row>
    <row r="63" spans="1:25">
      <c r="A63">
        <v>125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102</v>
      </c>
      <c r="H63" t="s">
        <v>57</v>
      </c>
      <c r="I63" t="s">
        <v>57</v>
      </c>
      <c r="J63" t="s">
        <v>57</v>
      </c>
      <c r="K63" t="s">
        <v>57</v>
      </c>
      <c r="L63" s="5" t="str">
        <f t="shared" si="0"/>
        <v>--</v>
      </c>
      <c r="M63" s="5" t="str">
        <f t="shared" si="1"/>
        <v>--</v>
      </c>
      <c r="N63" s="5" t="str">
        <f t="shared" si="2"/>
        <v>--</v>
      </c>
      <c r="O63" s="5" t="str">
        <f t="shared" si="3"/>
        <v>--</v>
      </c>
      <c r="P63" s="5" t="str">
        <f t="shared" si="4"/>
        <v>--</v>
      </c>
      <c r="Q63" s="5" t="str">
        <f t="shared" si="5"/>
        <v>--</v>
      </c>
      <c r="R63" s="5" t="str">
        <f t="shared" si="6"/>
        <v>--</v>
      </c>
      <c r="S63" s="5" t="str">
        <f t="shared" si="7"/>
        <v>--</v>
      </c>
      <c r="T63" s="5" t="str">
        <f t="shared" si="8"/>
        <v>--</v>
      </c>
      <c r="U63" s="5" t="str">
        <f t="shared" si="9"/>
        <v>--</v>
      </c>
      <c r="V63" s="5" t="str">
        <f t="shared" si="10"/>
        <v>--</v>
      </c>
      <c r="W63" s="5" t="str">
        <f t="shared" si="11"/>
        <v>--</v>
      </c>
      <c r="X63" s="5" t="str">
        <f t="shared" si="12"/>
        <v>--</v>
      </c>
      <c r="Y63" s="5"/>
    </row>
    <row r="64" spans="1:25">
      <c r="A64">
        <v>126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102</v>
      </c>
      <c r="H64" t="s">
        <v>57</v>
      </c>
      <c r="I64" t="s">
        <v>57</v>
      </c>
      <c r="J64" t="s">
        <v>57</v>
      </c>
      <c r="K64" t="s">
        <v>57</v>
      </c>
      <c r="L64" s="5" t="str">
        <f t="shared" si="0"/>
        <v>--</v>
      </c>
      <c r="M64" s="5" t="str">
        <f t="shared" si="1"/>
        <v>--</v>
      </c>
      <c r="N64" s="5" t="str">
        <f t="shared" si="2"/>
        <v>--</v>
      </c>
      <c r="O64" s="5" t="str">
        <f t="shared" si="3"/>
        <v>--</v>
      </c>
      <c r="P64" s="5" t="str">
        <f t="shared" si="4"/>
        <v>--</v>
      </c>
      <c r="Q64" s="5" t="str">
        <f t="shared" si="5"/>
        <v>--</v>
      </c>
      <c r="R64" s="5" t="str">
        <f t="shared" si="6"/>
        <v>--</v>
      </c>
      <c r="S64" s="5" t="str">
        <f t="shared" si="7"/>
        <v>--</v>
      </c>
      <c r="T64" s="5" t="str">
        <f t="shared" si="8"/>
        <v>--</v>
      </c>
      <c r="U64" s="5" t="str">
        <f t="shared" si="9"/>
        <v>--</v>
      </c>
      <c r="V64" s="5" t="str">
        <f t="shared" si="10"/>
        <v>--</v>
      </c>
      <c r="W64" s="5" t="str">
        <f t="shared" si="11"/>
        <v>--</v>
      </c>
      <c r="X64" s="5" t="str">
        <f t="shared" si="12"/>
        <v>--</v>
      </c>
      <c r="Y64" s="5"/>
    </row>
    <row r="65" spans="1:25">
      <c r="A65">
        <v>128</v>
      </c>
      <c r="B65" t="s">
        <v>106</v>
      </c>
      <c r="C65">
        <v>10514737643</v>
      </c>
      <c r="D65">
        <v>129.63749999999999</v>
      </c>
      <c r="E65">
        <v>99.775599999999997</v>
      </c>
      <c r="F65">
        <v>93723</v>
      </c>
      <c r="G65" t="s">
        <v>106</v>
      </c>
      <c r="H65">
        <v>11090095376</v>
      </c>
      <c r="I65">
        <v>293.10309999999998</v>
      </c>
      <c r="J65">
        <v>156.52440000000001</v>
      </c>
      <c r="K65">
        <v>93737</v>
      </c>
      <c r="L65" s="5" t="b">
        <f t="shared" si="0"/>
        <v>1</v>
      </c>
      <c r="M65" s="5">
        <f t="shared" si="1"/>
        <v>-575357733</v>
      </c>
      <c r="N65" s="5" t="str">
        <f t="shared" si="2"/>
        <v>RC</v>
      </c>
      <c r="O65" s="5" t="str">
        <f t="shared" si="3"/>
        <v>94.812%</v>
      </c>
      <c r="P65" s="5">
        <f t="shared" si="4"/>
        <v>-163.46559999999999</v>
      </c>
      <c r="Q65" s="5" t="str">
        <f t="shared" si="5"/>
        <v>RC</v>
      </c>
      <c r="R65" s="5" t="str">
        <f t="shared" si="6"/>
        <v>44.229%</v>
      </c>
      <c r="S65" s="5">
        <f t="shared" si="7"/>
        <v>-56.748800000000017</v>
      </c>
      <c r="T65" s="5" t="str">
        <f t="shared" si="8"/>
        <v>RC</v>
      </c>
      <c r="U65" s="5" t="str">
        <f t="shared" si="9"/>
        <v>63.744%</v>
      </c>
      <c r="V65" s="5">
        <f t="shared" si="10"/>
        <v>-14</v>
      </c>
      <c r="W65" s="5" t="str">
        <f t="shared" si="11"/>
        <v>RC</v>
      </c>
      <c r="X65" s="5" t="str">
        <f t="shared" si="12"/>
        <v>99.985%</v>
      </c>
      <c r="Y65" s="5"/>
    </row>
    <row r="66" spans="1:25">
      <c r="A66">
        <v>129</v>
      </c>
      <c r="B66" t="s">
        <v>106</v>
      </c>
      <c r="C66">
        <v>3868008688</v>
      </c>
      <c r="D66">
        <v>45.85</v>
      </c>
      <c r="E66">
        <v>36.1205</v>
      </c>
      <c r="F66">
        <v>35729</v>
      </c>
      <c r="G66" t="s">
        <v>106</v>
      </c>
      <c r="H66">
        <v>3541556996</v>
      </c>
      <c r="I66">
        <v>67.013999999999996</v>
      </c>
      <c r="J66">
        <v>45.384900000000002</v>
      </c>
      <c r="K66">
        <v>35743</v>
      </c>
      <c r="L66" s="5" t="b">
        <f t="shared" si="0"/>
        <v>1</v>
      </c>
      <c r="M66" s="5">
        <f t="shared" si="1"/>
        <v>326451692</v>
      </c>
      <c r="N66" s="5" t="str">
        <f t="shared" si="2"/>
        <v>QE</v>
      </c>
      <c r="O66" s="5" t="str">
        <f t="shared" si="3"/>
        <v>91.560%</v>
      </c>
      <c r="P66" s="5">
        <f t="shared" si="4"/>
        <v>-21.163999999999994</v>
      </c>
      <c r="Q66" s="5" t="str">
        <f t="shared" si="5"/>
        <v>RC</v>
      </c>
      <c r="R66" s="5" t="str">
        <f t="shared" si="6"/>
        <v>68.419%</v>
      </c>
      <c r="S66" s="5">
        <f t="shared" si="7"/>
        <v>-9.264400000000002</v>
      </c>
      <c r="T66" s="5" t="str">
        <f t="shared" si="8"/>
        <v>RC</v>
      </c>
      <c r="U66" s="5" t="str">
        <f t="shared" si="9"/>
        <v>79.587%</v>
      </c>
      <c r="V66" s="5">
        <f t="shared" si="10"/>
        <v>-14</v>
      </c>
      <c r="W66" s="5" t="str">
        <f t="shared" si="11"/>
        <v>RC</v>
      </c>
      <c r="X66" s="5" t="str">
        <f t="shared" si="12"/>
        <v>99.961%</v>
      </c>
      <c r="Y66" s="5"/>
    </row>
    <row r="67" spans="1:25">
      <c r="A67">
        <v>131</v>
      </c>
      <c r="B67" t="s">
        <v>106</v>
      </c>
      <c r="C67">
        <v>10521251546</v>
      </c>
      <c r="D67">
        <v>132.69059999999999</v>
      </c>
      <c r="E67">
        <v>99.921000000000006</v>
      </c>
      <c r="F67">
        <v>93723</v>
      </c>
      <c r="G67" t="s">
        <v>106</v>
      </c>
      <c r="H67">
        <v>11075530076</v>
      </c>
      <c r="I67">
        <v>289.12810000000002</v>
      </c>
      <c r="J67">
        <v>155.61779999999999</v>
      </c>
      <c r="K67">
        <v>93737</v>
      </c>
      <c r="L67" s="5" t="b">
        <f>IF(OR(ISNUMBER(SEARCH("ERROR", B67)), ISNUMBER(SEARCH("ERROR", G67)), ISNUMBER(SEARCH("TIME OUT", B67)), ISNUMBER(SEARCH("TIME OUT", G67))), "--", B67=G67)</f>
        <v>1</v>
      </c>
      <c r="M67" s="5">
        <f>IF(OR(ISNUMBER(SEARCH("ERROR", C67)), ISNUMBER(SEARCH("ERROR", H67)), ISNUMBER(SEARCH("TIME OUT", C67)), ISNUMBER(SEARCH("TIME OUT", H67))),"--",C67-H67)</f>
        <v>-554278530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RC</v>
      </c>
      <c r="O67" s="5" t="str">
        <f>IF(M67="--","--",TEXT(MIN(C67,H67)/MAX(C67,H67),"0.000%"))</f>
        <v>94.995%</v>
      </c>
      <c r="P67" s="5">
        <f>IF(OR(ISNUMBER(SEARCH("ERROR", D67)), ISNUMBER(SEARCH("ERROR", I67)), ISNUMBER(SEARCH("TIME OUT", D67)), ISNUMBER(SEARCH("TIME OUT", I67))),"--",D67-I67)</f>
        <v>-156.43750000000003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RC</v>
      </c>
      <c r="R67" s="5" t="str">
        <f>IF(P67="--","--",TEXT(MIN(D67,I67)/MAX(D67,I67),"0.000%"))</f>
        <v>45.893%</v>
      </c>
      <c r="S67" s="5">
        <f>IF(OR(ISNUMBER(SEARCH("ERROR", E67)), ISNUMBER(SEARCH("ERROR", J67)), ISNUMBER(SEARCH("TIME OUT", E67)), ISNUMBER(SEARCH("TIME OUT", J67))),"--",E67-J67)</f>
        <v>-55.696799999999982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RC</v>
      </c>
      <c r="U67" s="5" t="str">
        <f>IF(S67="--","--",TEXT(MIN(E67,J67)/MAX(E67,J67),"0.000%"))</f>
        <v>64.209%</v>
      </c>
      <c r="V67" s="5">
        <f>IF(OR(ISNUMBER(SEARCH("ERROR", F67)), ISNUMBER(SEARCH("ERROR", K67)), ISNUMBER(SEARCH("TIME OUT", F67)), ISNUMBER(SEARCH("TIME OUT", K67))),"--",F67-K67)</f>
        <v>-14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RC</v>
      </c>
      <c r="X67" s="5" t="str">
        <f>IF(V67="--","--",TEXT(MIN(F67,K67)/MAX(F67,K67),"0.000%"))</f>
        <v>99.985%</v>
      </c>
      <c r="Y67" s="5"/>
    </row>
    <row r="68" spans="1:25">
      <c r="A68">
        <v>132</v>
      </c>
      <c r="B68" t="s">
        <v>106</v>
      </c>
      <c r="C68">
        <v>3869397816</v>
      </c>
      <c r="D68">
        <v>45.831299999999999</v>
      </c>
      <c r="E68">
        <v>36.038800000000002</v>
      </c>
      <c r="F68">
        <v>35729</v>
      </c>
      <c r="G68" t="s">
        <v>106</v>
      </c>
      <c r="H68">
        <v>3484084736</v>
      </c>
      <c r="I68">
        <v>55.237499999999997</v>
      </c>
      <c r="J68">
        <v>43.664400000000001</v>
      </c>
      <c r="K68">
        <v>35743</v>
      </c>
      <c r="L68" s="5" t="b">
        <f>IF(OR(ISNUMBER(SEARCH("ERROR", B68)), ISNUMBER(SEARCH("ERROR", G68)), ISNUMBER(SEARCH("TIME OUT", B68)), ISNUMBER(SEARCH("TIME OUT", G68))), "--", B68=G68)</f>
        <v>1</v>
      </c>
      <c r="M68" s="5">
        <f>IF(OR(ISNUMBER(SEARCH("ERROR", C68)), ISNUMBER(SEARCH("ERROR", H68)), ISNUMBER(SEARCH("TIME OUT", C68)), ISNUMBER(SEARCH("TIME OUT", H68))),"--",C68-H68)</f>
        <v>385313080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QE</v>
      </c>
      <c r="O68" s="5" t="str">
        <f>IF(M68="--","--",TEXT(MIN(C68,H68)/MAX(C68,H68),"0.000%"))</f>
        <v>90.042%</v>
      </c>
      <c r="P68" s="5">
        <f>IF(OR(ISNUMBER(SEARCH("ERROR", D68)), ISNUMBER(SEARCH("ERROR", I68)), ISNUMBER(SEARCH("TIME OUT", D68)), ISNUMBER(SEARCH("TIME OUT", I68))),"--",D68-I68)</f>
        <v>-9.4061999999999983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RC</v>
      </c>
      <c r="R68" s="5" t="str">
        <f>IF(P68="--","--",TEXT(MIN(D68,I68)/MAX(D68,I68),"0.000%"))</f>
        <v>82.971%</v>
      </c>
      <c r="S68" s="5">
        <f>IF(OR(ISNUMBER(SEARCH("ERROR", E68)), ISNUMBER(SEARCH("ERROR", J68)), ISNUMBER(SEARCH("TIME OUT", E68)), ISNUMBER(SEARCH("TIME OUT", J68))),"--",E68-J68)</f>
        <v>-7.6255999999999986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RC</v>
      </c>
      <c r="U68" s="5" t="str">
        <f>IF(S68="--","--",TEXT(MIN(E68,J68)/MAX(E68,J68),"0.000%"))</f>
        <v>82.536%</v>
      </c>
      <c r="V68" s="5">
        <f>IF(OR(ISNUMBER(SEARCH("ERROR", F68)), ISNUMBER(SEARCH("ERROR", K68)), ISNUMBER(SEARCH("TIME OUT", F68)), ISNUMBER(SEARCH("TIME OUT", K68))),"--",F68-K68)</f>
        <v>-14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RC</v>
      </c>
      <c r="X68" s="5" t="str">
        <f>IF(V68="--","--",TEXT(MIN(F68,K68)/MAX(F68,K68),"0.000%"))</f>
        <v>99.961%</v>
      </c>
      <c r="Y68" s="5"/>
    </row>
    <row r="70" spans="1: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46" priority="9" operator="containsText" text="ERROR">
      <formula>NOT(ISERROR(SEARCH("ERROR",A1)))</formula>
    </cfRule>
    <cfRule type="containsText" dxfId="45" priority="15" operator="containsText" text="TIME OUT">
      <formula>NOT(ISERROR(SEARCH("TIME OUT",A1)))</formula>
    </cfRule>
  </conditionalFormatting>
  <conditionalFormatting sqref="L2:L69 L71:L1048576">
    <cfRule type="cellIs" dxfId="44" priority="11" operator="equal">
      <formula>TRUE</formula>
    </cfRule>
  </conditionalFormatting>
  <conditionalFormatting sqref="L1:S1 X1:AG1">
    <cfRule type="containsText" dxfId="43" priority="10" operator="containsText" text="TIME OUT">
      <formula>NOT(ISERROR(SEARCH("TIME OUT",L1)))</formula>
    </cfRule>
  </conditionalFormatting>
  <conditionalFormatting sqref="Z41:AD41">
    <cfRule type="containsText" dxfId="42" priority="1" operator="containsText" text="TIME OUT">
      <formula>NOT(ISERROR(SEARCH("TIME OUT",Z41)))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7B1A-E9F7-447C-B375-5B13F86E01CF}">
  <dimension ref="A1:AQ70"/>
  <sheetViews>
    <sheetView zoomScale="80" zoomScaleNormal="8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100</v>
      </c>
      <c r="C2">
        <v>25532180</v>
      </c>
      <c r="D2">
        <v>0.25159999999999999</v>
      </c>
      <c r="E2">
        <v>0.25009999999999999</v>
      </c>
      <c r="F2">
        <v>177</v>
      </c>
      <c r="G2" t="s">
        <v>100</v>
      </c>
      <c r="H2">
        <v>11889032</v>
      </c>
      <c r="I2">
        <v>0.1421</v>
      </c>
      <c r="J2">
        <v>0.13869999999999999</v>
      </c>
      <c r="K2">
        <v>177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13643148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QE</v>
      </c>
      <c r="O2" s="5" t="str">
        <f>IF(M2="--","--",TEXT(MIN(C2,H2)/MAX(C2,H2),"0.000%"))</f>
        <v>46.565%</v>
      </c>
      <c r="P2" s="5">
        <f>IF(OR(ISNUMBER(SEARCH("ERROR", D2)), ISNUMBER(SEARCH("ERROR", I2)), ISNUMBER(SEARCH("TIME OUT", D2)), ISNUMBER(SEARCH("TIME OUT", I2))),"--",D2-I2)</f>
        <v>0.10949999999999999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QE</v>
      </c>
      <c r="R2" s="5" t="str">
        <f>IF(P2="--","--",TEXT(MIN(D2,I2)/MAX(D2,I2),"0.000%"))</f>
        <v>56.479%</v>
      </c>
      <c r="S2" s="5">
        <f>IF(OR(ISNUMBER(SEARCH("ERROR", E2)), ISNUMBER(SEARCH("ERROR", J2)), ISNUMBER(SEARCH("TIME OUT", E2)), ISNUMBER(SEARCH("TIME OUT", J2))),"--",E2-J2)</f>
        <v>0.1114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QE</v>
      </c>
      <c r="U2" s="5" t="str">
        <f>IF(S2="--","--",TEXT(MIN(E2,J2)/MAX(E2,J2),"0.000%"))</f>
        <v>55.458%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str">
        <f>IF(V2="--","--",TEXT(MIN(F2,K2)/MAX(F2,K2),"0.000%"))</f>
        <v>100.000%</v>
      </c>
      <c r="Y2" s="5"/>
      <c r="Z2">
        <f>AVERAGE(C:C)</f>
        <v>651316160.86567163</v>
      </c>
      <c r="AA2">
        <f>AVERAGE(D:D)</f>
        <v>6.9945268656716415</v>
      </c>
      <c r="AB2">
        <f>AVERAGE(E:E)</f>
        <v>5.9427268656716423</v>
      </c>
      <c r="AC2">
        <f>AVERAGE(F:F)</f>
        <v>4962.0447761194027</v>
      </c>
      <c r="AD2">
        <f>AVERAGE(H:H)</f>
        <v>531674553.7846154</v>
      </c>
      <c r="AE2">
        <f>AVERAGE(I:I)</f>
        <v>7.7694415384615372</v>
      </c>
      <c r="AF2">
        <f>AVERAGE(J:J)</f>
        <v>6.3771415384615384</v>
      </c>
      <c r="AG2">
        <f>AVERAGE(K:K)</f>
        <v>4736.4769230769234</v>
      </c>
      <c r="AH2">
        <f>AVERAGE(M:M)</f>
        <v>89806966.799999997</v>
      </c>
      <c r="AI2">
        <f>AVERAGE(P:P)</f>
        <v>-1.1218153846153847</v>
      </c>
      <c r="AJ2">
        <f>AVERAGE(S:S)</f>
        <v>-0.70676769230769232</v>
      </c>
      <c r="AK2">
        <f>AVERAGE(V:V)</f>
        <v>-5.6615384615384619</v>
      </c>
    </row>
    <row r="3" spans="1:43">
      <c r="A3">
        <v>19</v>
      </c>
      <c r="B3" t="s">
        <v>100</v>
      </c>
      <c r="C3">
        <v>25530265</v>
      </c>
      <c r="D3">
        <v>0.25319999999999998</v>
      </c>
      <c r="E3">
        <v>0.25219999999999998</v>
      </c>
      <c r="F3">
        <v>177</v>
      </c>
      <c r="G3" t="s">
        <v>100</v>
      </c>
      <c r="H3">
        <v>11887664</v>
      </c>
      <c r="I3">
        <v>0.1484</v>
      </c>
      <c r="J3">
        <v>0.1447</v>
      </c>
      <c r="K3">
        <v>177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13642601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QE</v>
      </c>
      <c r="O3" s="5" t="str">
        <f t="shared" ref="O3:O66" si="3">IF(M3="--","--",TEXT(MIN(C3,H3)/MAX(C3,H3),"0.000%"))</f>
        <v>46.563%</v>
      </c>
      <c r="P3" s="5">
        <f t="shared" ref="P3:P66" si="4">IF(OR(ISNUMBER(SEARCH("ERROR", D3)), ISNUMBER(SEARCH("ERROR", I3)), ISNUMBER(SEARCH("TIME OUT", D3)), ISNUMBER(SEARCH("TIME OUT", I3))),"--",D3-I3)</f>
        <v>0.10479999999999998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QE</v>
      </c>
      <c r="R3" s="5" t="str">
        <f t="shared" ref="R3:R66" si="6">IF(P3="--","--",TEXT(MIN(D3,I3)/MAX(D3,I3),"0.000%"))</f>
        <v>58.610%</v>
      </c>
      <c r="S3" s="5">
        <f t="shared" ref="S3:S66" si="7">IF(OR(ISNUMBER(SEARCH("ERROR", E3)), ISNUMBER(SEARCH("ERROR", J3)), ISNUMBER(SEARCH("TIME OUT", E3)), ISNUMBER(SEARCH("TIME OUT", J3))),"--",E3-J3)</f>
        <v>0.10749999999999998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QE</v>
      </c>
      <c r="U3" s="5" t="str">
        <f t="shared" ref="U3:U66" si="9">IF(S3="--","--",TEXT(MIN(E3,J3)/MAX(E3,J3),"0.000%"))</f>
        <v>57.375%</v>
      </c>
      <c r="V3" s="5">
        <f t="shared" ref="V3:V66" si="10">IF(OR(ISNUMBER(SEARCH("ERROR", F3)), ISNUMBER(SEARCH("ERROR", K3)), ISNUMBER(SEARCH("TIME OUT", F3)), ISNUMBER(SEARCH("TIME OUT", K3))),"--",F3-K3)</f>
        <v>0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TIE</v>
      </c>
      <c r="X3" s="5" t="str">
        <f t="shared" ref="X3:X66" si="12">IF(V3="--","--",TEXT(MIN(F3,K3)/MAX(F3,K3),"0.000%"))</f>
        <v>100.000%</v>
      </c>
      <c r="Y3" s="5"/>
    </row>
    <row r="4" spans="1:43">
      <c r="A4">
        <v>20</v>
      </c>
      <c r="B4" t="s">
        <v>100</v>
      </c>
      <c r="C4">
        <v>47962111</v>
      </c>
      <c r="D4">
        <v>0.45619999999999999</v>
      </c>
      <c r="E4">
        <v>0.44519999999999998</v>
      </c>
      <c r="F4">
        <v>327</v>
      </c>
      <c r="G4" t="s">
        <v>100</v>
      </c>
      <c r="H4">
        <v>21874802</v>
      </c>
      <c r="I4">
        <v>0.27500000000000002</v>
      </c>
      <c r="J4">
        <v>0.26960000000000001</v>
      </c>
      <c r="K4">
        <v>327</v>
      </c>
      <c r="L4" s="5" t="b">
        <f t="shared" si="0"/>
        <v>1</v>
      </c>
      <c r="M4" s="5">
        <f t="shared" si="1"/>
        <v>26087309</v>
      </c>
      <c r="N4" s="5" t="str">
        <f t="shared" si="2"/>
        <v>QE</v>
      </c>
      <c r="O4" s="5" t="str">
        <f t="shared" si="3"/>
        <v>45.609%</v>
      </c>
      <c r="P4" s="5">
        <f t="shared" si="4"/>
        <v>0.18119999999999997</v>
      </c>
      <c r="Q4" s="5" t="str">
        <f t="shared" si="5"/>
        <v>QE</v>
      </c>
      <c r="R4" s="5" t="str">
        <f t="shared" si="6"/>
        <v>60.281%</v>
      </c>
      <c r="S4" s="5">
        <f t="shared" si="7"/>
        <v>0.17559999999999998</v>
      </c>
      <c r="T4" s="5" t="str">
        <f t="shared" si="8"/>
        <v>QE</v>
      </c>
      <c r="U4" s="5" t="str">
        <f t="shared" si="9"/>
        <v>60.557%</v>
      </c>
      <c r="V4" s="5">
        <f t="shared" si="10"/>
        <v>0</v>
      </c>
      <c r="W4" s="5" t="str">
        <f t="shared" si="11"/>
        <v>TIE</v>
      </c>
      <c r="X4" s="5" t="str">
        <f t="shared" si="12"/>
        <v>100.000%</v>
      </c>
      <c r="Y4" s="5"/>
    </row>
    <row r="5" spans="1:43">
      <c r="A5">
        <v>22</v>
      </c>
      <c r="B5" t="s">
        <v>100</v>
      </c>
      <c r="C5">
        <v>47107885</v>
      </c>
      <c r="D5">
        <v>0.57189999999999996</v>
      </c>
      <c r="E5">
        <v>0.56689999999999996</v>
      </c>
      <c r="F5">
        <v>327</v>
      </c>
      <c r="G5" t="s">
        <v>100</v>
      </c>
      <c r="H5">
        <v>21885479</v>
      </c>
      <c r="I5">
        <v>0.25</v>
      </c>
      <c r="J5">
        <v>0.24690000000000001</v>
      </c>
      <c r="K5">
        <v>327</v>
      </c>
      <c r="L5" s="5" t="b">
        <f t="shared" si="0"/>
        <v>1</v>
      </c>
      <c r="M5" s="5">
        <f t="shared" si="1"/>
        <v>25222406</v>
      </c>
      <c r="N5" s="5" t="str">
        <f t="shared" si="2"/>
        <v>QE</v>
      </c>
      <c r="O5" s="5" t="str">
        <f t="shared" si="3"/>
        <v>46.458%</v>
      </c>
      <c r="P5" s="5">
        <f t="shared" si="4"/>
        <v>0.32189999999999996</v>
      </c>
      <c r="Q5" s="5" t="str">
        <f t="shared" si="5"/>
        <v>QE</v>
      </c>
      <c r="R5" s="5" t="str">
        <f t="shared" si="6"/>
        <v>43.714%</v>
      </c>
      <c r="S5" s="5">
        <f t="shared" si="7"/>
        <v>0.31999999999999995</v>
      </c>
      <c r="T5" s="5" t="str">
        <f t="shared" si="8"/>
        <v>QE</v>
      </c>
      <c r="U5" s="5" t="str">
        <f t="shared" si="9"/>
        <v>43.553%</v>
      </c>
      <c r="V5" s="5">
        <f t="shared" si="10"/>
        <v>0</v>
      </c>
      <c r="W5" s="5" t="str">
        <f t="shared" si="11"/>
        <v>TIE</v>
      </c>
      <c r="X5" s="5" t="str">
        <f t="shared" si="12"/>
        <v>100.000%</v>
      </c>
      <c r="Y5" s="5"/>
    </row>
    <row r="6" spans="1:43">
      <c r="A6">
        <v>23</v>
      </c>
      <c r="B6" t="s">
        <v>100</v>
      </c>
      <c r="C6">
        <v>47136368</v>
      </c>
      <c r="D6">
        <v>0.43440000000000001</v>
      </c>
      <c r="E6">
        <v>0.42430000000000001</v>
      </c>
      <c r="F6">
        <v>327</v>
      </c>
      <c r="G6" t="s">
        <v>100</v>
      </c>
      <c r="H6">
        <v>21906325</v>
      </c>
      <c r="I6">
        <v>0.24210000000000001</v>
      </c>
      <c r="J6">
        <v>0.23749999999999999</v>
      </c>
      <c r="K6">
        <v>327</v>
      </c>
      <c r="L6" s="5" t="b">
        <f t="shared" si="0"/>
        <v>1</v>
      </c>
      <c r="M6" s="5">
        <f t="shared" si="1"/>
        <v>25230043</v>
      </c>
      <c r="N6" s="5" t="str">
        <f t="shared" si="2"/>
        <v>QE</v>
      </c>
      <c r="O6" s="5" t="str">
        <f t="shared" si="3"/>
        <v>46.474%</v>
      </c>
      <c r="P6" s="5">
        <f t="shared" si="4"/>
        <v>0.1923</v>
      </c>
      <c r="Q6" s="5" t="str">
        <f t="shared" si="5"/>
        <v>QE</v>
      </c>
      <c r="R6" s="5" t="str">
        <f t="shared" si="6"/>
        <v>55.732%</v>
      </c>
      <c r="S6" s="5">
        <f t="shared" si="7"/>
        <v>0.18680000000000002</v>
      </c>
      <c r="T6" s="5" t="str">
        <f t="shared" si="8"/>
        <v>QE</v>
      </c>
      <c r="U6" s="5" t="str">
        <f t="shared" si="9"/>
        <v>55.975%</v>
      </c>
      <c r="V6" s="5">
        <f t="shared" si="10"/>
        <v>0</v>
      </c>
      <c r="W6" s="5" t="str">
        <f t="shared" si="11"/>
        <v>TIE</v>
      </c>
      <c r="X6" s="5" t="str">
        <f t="shared" si="12"/>
        <v>100.000%</v>
      </c>
      <c r="Y6" s="5"/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107</v>
      </c>
      <c r="C7">
        <v>492365251</v>
      </c>
      <c r="D7">
        <v>5.2766000000000002</v>
      </c>
      <c r="E7">
        <v>4.6673</v>
      </c>
      <c r="F7">
        <v>3849</v>
      </c>
      <c r="G7" t="s">
        <v>107</v>
      </c>
      <c r="H7">
        <v>386839115</v>
      </c>
      <c r="I7">
        <v>5.4203000000000001</v>
      </c>
      <c r="J7">
        <v>4.7055999999999996</v>
      </c>
      <c r="K7">
        <v>3851</v>
      </c>
      <c r="L7" s="5" t="b">
        <f t="shared" si="0"/>
        <v>1</v>
      </c>
      <c r="M7" s="5">
        <f t="shared" si="1"/>
        <v>105526136</v>
      </c>
      <c r="N7" s="5" t="str">
        <f t="shared" si="2"/>
        <v>QE</v>
      </c>
      <c r="O7" s="5" t="str">
        <f t="shared" si="3"/>
        <v>78.568%</v>
      </c>
      <c r="P7" s="5">
        <f t="shared" si="4"/>
        <v>-0.14369999999999994</v>
      </c>
      <c r="Q7" s="5" t="str">
        <f t="shared" si="5"/>
        <v>RC</v>
      </c>
      <c r="R7" s="5" t="str">
        <f t="shared" si="6"/>
        <v>97.349%</v>
      </c>
      <c r="S7" s="5">
        <f t="shared" si="7"/>
        <v>-3.8299999999999557E-2</v>
      </c>
      <c r="T7" s="5" t="str">
        <f t="shared" si="8"/>
        <v>RC</v>
      </c>
      <c r="U7" s="5" t="str">
        <f t="shared" si="9"/>
        <v>99.186%</v>
      </c>
      <c r="V7" s="5">
        <f t="shared" si="10"/>
        <v>-2</v>
      </c>
      <c r="W7" s="5" t="str">
        <f t="shared" si="11"/>
        <v>RC</v>
      </c>
      <c r="X7" s="5" t="str">
        <f t="shared" si="12"/>
        <v>99.948%</v>
      </c>
      <c r="Y7" s="5"/>
      <c r="Z7" s="5" t="s">
        <v>30</v>
      </c>
      <c r="AA7">
        <f>COUNTIF(N:N,$Z7)</f>
        <v>8</v>
      </c>
      <c r="AB7" s="6">
        <f>AA7/AA$11</f>
        <v>0.11940298507462686</v>
      </c>
      <c r="AC7">
        <f>COUNTIF(Q:Q,$Z7)</f>
        <v>57</v>
      </c>
      <c r="AD7" s="6">
        <f>AC7/AC$11</f>
        <v>0.85074626865671643</v>
      </c>
      <c r="AE7">
        <f>COUNTIF(T:T,$Z7)</f>
        <v>57</v>
      </c>
      <c r="AF7" s="6">
        <f>AE7/AE$11</f>
        <v>0.85074626865671643</v>
      </c>
      <c r="AG7">
        <f>COUNTIF(W:W,$Z7)</f>
        <v>57</v>
      </c>
      <c r="AH7" s="6">
        <f>AG7/AG$11</f>
        <v>0.85074626865671643</v>
      </c>
      <c r="AJ7">
        <f>COUNTA(B2:B68)-COUNTIF(B2:B68,"*TIME OUT*")-COUNTIF(B2:B68,"*ERROR*")</f>
        <v>67</v>
      </c>
      <c r="AK7" s="6">
        <f>AJ7/67</f>
        <v>1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2329112</v>
      </c>
      <c r="D8">
        <v>1.5599999999999999E-2</v>
      </c>
      <c r="E8">
        <v>1.6400000000000001E-2</v>
      </c>
      <c r="F8">
        <v>9</v>
      </c>
      <c r="G8" t="s">
        <v>96</v>
      </c>
      <c r="H8">
        <v>4433572</v>
      </c>
      <c r="I8">
        <v>5.3199999999999997E-2</v>
      </c>
      <c r="J8">
        <v>5.04E-2</v>
      </c>
      <c r="K8">
        <v>57</v>
      </c>
      <c r="L8" s="5" t="b">
        <f t="shared" si="0"/>
        <v>1</v>
      </c>
      <c r="M8" s="5">
        <f t="shared" si="1"/>
        <v>-2104460</v>
      </c>
      <c r="N8" s="5" t="str">
        <f t="shared" si="2"/>
        <v>RC</v>
      </c>
      <c r="O8" s="5" t="str">
        <f t="shared" si="3"/>
        <v>52.534%</v>
      </c>
      <c r="P8" s="5">
        <f t="shared" si="4"/>
        <v>-3.7599999999999995E-2</v>
      </c>
      <c r="Q8" s="5" t="str">
        <f t="shared" si="5"/>
        <v>RC</v>
      </c>
      <c r="R8" s="5" t="str">
        <f t="shared" si="6"/>
        <v>29.323%</v>
      </c>
      <c r="S8" s="5">
        <f t="shared" si="7"/>
        <v>-3.4000000000000002E-2</v>
      </c>
      <c r="T8" s="5" t="str">
        <f t="shared" si="8"/>
        <v>RC</v>
      </c>
      <c r="U8" s="5" t="str">
        <f t="shared" si="9"/>
        <v>32.540%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/>
      <c r="Z8" s="5" t="s">
        <v>31</v>
      </c>
      <c r="AA8">
        <f>COUNTIF(N:N,$Z8)</f>
        <v>59</v>
      </c>
      <c r="AB8" s="6">
        <f>AA8/AA$11</f>
        <v>0.88059701492537312</v>
      </c>
      <c r="AC8">
        <f>COUNTIF(Q:Q,$Z8)</f>
        <v>10</v>
      </c>
      <c r="AD8" s="6">
        <f>AC8/AC$11</f>
        <v>0.14925373134328357</v>
      </c>
      <c r="AE8">
        <f>COUNTIF(T:T,$Z8)</f>
        <v>10</v>
      </c>
      <c r="AF8" s="6">
        <f>AE8/AE$11</f>
        <v>0.14925373134328357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65</v>
      </c>
      <c r="AK8" s="6">
        <f>AJ8/67</f>
        <v>0.97014925373134331</v>
      </c>
      <c r="AL8">
        <f>COUNTIF(G2:G68,"*TIME OUT*")</f>
        <v>2</v>
      </c>
      <c r="AM8" s="6">
        <f>AL8/67</f>
        <v>2.9850746268656716E-2</v>
      </c>
      <c r="AN8">
        <f>COUNTIF(G2:G68,"*ERROR*")</f>
        <v>0</v>
      </c>
      <c r="AO8" s="6">
        <f>AN8/67</f>
        <v>0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107</v>
      </c>
      <c r="C9">
        <v>490675956</v>
      </c>
      <c r="D9">
        <v>5.0484999999999998</v>
      </c>
      <c r="E9">
        <v>4.5224000000000002</v>
      </c>
      <c r="F9">
        <v>3849</v>
      </c>
      <c r="G9" t="s">
        <v>107</v>
      </c>
      <c r="H9">
        <v>393316707</v>
      </c>
      <c r="I9">
        <v>5.2328000000000001</v>
      </c>
      <c r="J9">
        <v>4.6288999999999998</v>
      </c>
      <c r="K9">
        <v>3851</v>
      </c>
      <c r="L9" s="5" t="b">
        <f t="shared" si="0"/>
        <v>1</v>
      </c>
      <c r="M9" s="5">
        <f t="shared" si="1"/>
        <v>97359249</v>
      </c>
      <c r="N9" s="5" t="str">
        <f t="shared" si="2"/>
        <v>QE</v>
      </c>
      <c r="O9" s="5" t="str">
        <f t="shared" si="3"/>
        <v>80.158%</v>
      </c>
      <c r="P9" s="5">
        <f t="shared" si="4"/>
        <v>-0.18430000000000035</v>
      </c>
      <c r="Q9" s="5" t="str">
        <f t="shared" si="5"/>
        <v>RC</v>
      </c>
      <c r="R9" s="5" t="str">
        <f t="shared" si="6"/>
        <v>96.478%</v>
      </c>
      <c r="S9" s="5">
        <f t="shared" si="7"/>
        <v>-0.10649999999999959</v>
      </c>
      <c r="T9" s="5" t="str">
        <f t="shared" si="8"/>
        <v>RC</v>
      </c>
      <c r="U9" s="5" t="str">
        <f t="shared" si="9"/>
        <v>97.699%</v>
      </c>
      <c r="V9" s="5">
        <f t="shared" si="10"/>
        <v>-2</v>
      </c>
      <c r="W9" s="5" t="str">
        <f t="shared" si="11"/>
        <v>RC</v>
      </c>
      <c r="X9" s="5" t="str">
        <f t="shared" si="12"/>
        <v>99.948%</v>
      </c>
      <c r="Y9" s="5"/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10</v>
      </c>
      <c r="AH9" s="6">
        <f>AG9/AG$11</f>
        <v>0.14925373134328357</v>
      </c>
    </row>
    <row r="10" spans="1:43">
      <c r="A10">
        <v>28</v>
      </c>
      <c r="B10" t="s">
        <v>100</v>
      </c>
      <c r="C10">
        <v>393064172</v>
      </c>
      <c r="D10">
        <v>3.9468999999999999</v>
      </c>
      <c r="E10">
        <v>3.5935999999999999</v>
      </c>
      <c r="F10">
        <v>2987</v>
      </c>
      <c r="G10" t="s">
        <v>100</v>
      </c>
      <c r="H10">
        <v>299892051</v>
      </c>
      <c r="I10">
        <v>4.0890000000000004</v>
      </c>
      <c r="J10">
        <v>3.6352000000000002</v>
      </c>
      <c r="K10">
        <v>2991</v>
      </c>
      <c r="L10" s="5" t="b">
        <f t="shared" si="0"/>
        <v>1</v>
      </c>
      <c r="M10" s="5">
        <f t="shared" si="1"/>
        <v>93172121</v>
      </c>
      <c r="N10" s="5" t="str">
        <f t="shared" si="2"/>
        <v>QE</v>
      </c>
      <c r="O10" s="5" t="str">
        <f t="shared" si="3"/>
        <v>76.296%</v>
      </c>
      <c r="P10" s="5">
        <f t="shared" si="4"/>
        <v>-0.14210000000000056</v>
      </c>
      <c r="Q10" s="5" t="str">
        <f t="shared" si="5"/>
        <v>RC</v>
      </c>
      <c r="R10" s="5" t="str">
        <f t="shared" si="6"/>
        <v>96.525%</v>
      </c>
      <c r="S10" s="5">
        <f t="shared" si="7"/>
        <v>-4.1600000000000303E-2</v>
      </c>
      <c r="T10" s="5" t="str">
        <f t="shared" si="8"/>
        <v>RC</v>
      </c>
      <c r="U10" s="5" t="str">
        <f t="shared" si="9"/>
        <v>98.856%</v>
      </c>
      <c r="V10" s="5">
        <f t="shared" si="10"/>
        <v>-4</v>
      </c>
      <c r="W10" s="5" t="str">
        <f t="shared" si="11"/>
        <v>RC</v>
      </c>
      <c r="X10" s="5" t="str">
        <f t="shared" si="12"/>
        <v>99.866%</v>
      </c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>
      <c r="A11">
        <v>29</v>
      </c>
      <c r="B11" t="s">
        <v>100</v>
      </c>
      <c r="C11">
        <v>392964663</v>
      </c>
      <c r="D11">
        <v>3.8984000000000001</v>
      </c>
      <c r="E11">
        <v>3.5266000000000002</v>
      </c>
      <c r="F11">
        <v>2987</v>
      </c>
      <c r="G11" t="s">
        <v>100</v>
      </c>
      <c r="H11">
        <v>297065152</v>
      </c>
      <c r="I11">
        <v>4.1139999999999999</v>
      </c>
      <c r="J11">
        <v>3.6734</v>
      </c>
      <c r="K11">
        <v>2991</v>
      </c>
      <c r="L11" s="5" t="b">
        <f t="shared" si="0"/>
        <v>1</v>
      </c>
      <c r="M11" s="5">
        <f t="shared" si="1"/>
        <v>95899511</v>
      </c>
      <c r="N11" s="5" t="str">
        <f t="shared" si="2"/>
        <v>QE</v>
      </c>
      <c r="O11" s="5" t="str">
        <f t="shared" si="3"/>
        <v>75.596%</v>
      </c>
      <c r="P11" s="5">
        <f t="shared" si="4"/>
        <v>-0.21559999999999979</v>
      </c>
      <c r="Q11" s="5" t="str">
        <f t="shared" si="5"/>
        <v>RC</v>
      </c>
      <c r="R11" s="5" t="str">
        <f t="shared" si="6"/>
        <v>94.759%</v>
      </c>
      <c r="S11" s="5">
        <f t="shared" si="7"/>
        <v>-0.14679999999999982</v>
      </c>
      <c r="T11" s="5" t="str">
        <f t="shared" si="8"/>
        <v>RC</v>
      </c>
      <c r="U11" s="5" t="str">
        <f t="shared" si="9"/>
        <v>96.004%</v>
      </c>
      <c r="V11" s="5">
        <f t="shared" si="10"/>
        <v>-4</v>
      </c>
      <c r="W11" s="5" t="str">
        <f t="shared" si="11"/>
        <v>RC</v>
      </c>
      <c r="X11" s="5" t="str">
        <f t="shared" si="12"/>
        <v>99.866%</v>
      </c>
      <c r="Y11" s="5"/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107</v>
      </c>
      <c r="C12">
        <v>490831049</v>
      </c>
      <c r="D12">
        <v>5.1265999999999998</v>
      </c>
      <c r="E12">
        <v>4.5629</v>
      </c>
      <c r="F12">
        <v>3849</v>
      </c>
      <c r="G12" t="s">
        <v>107</v>
      </c>
      <c r="H12">
        <v>388758989</v>
      </c>
      <c r="I12">
        <v>5.3813000000000004</v>
      </c>
      <c r="J12">
        <v>4.6417999999999999</v>
      </c>
      <c r="K12">
        <v>3851</v>
      </c>
      <c r="L12" s="5" t="b">
        <f t="shared" si="0"/>
        <v>1</v>
      </c>
      <c r="M12" s="5">
        <f t="shared" si="1"/>
        <v>102072060</v>
      </c>
      <c r="N12" s="5" t="str">
        <f t="shared" si="2"/>
        <v>QE</v>
      </c>
      <c r="O12" s="5" t="str">
        <f t="shared" si="3"/>
        <v>79.204%</v>
      </c>
      <c r="P12" s="5">
        <f t="shared" si="4"/>
        <v>-0.25470000000000059</v>
      </c>
      <c r="Q12" s="5" t="str">
        <f t="shared" si="5"/>
        <v>RC</v>
      </c>
      <c r="R12" s="5" t="str">
        <f t="shared" si="6"/>
        <v>95.267%</v>
      </c>
      <c r="S12" s="5">
        <f t="shared" si="7"/>
        <v>-7.889999999999997E-2</v>
      </c>
      <c r="T12" s="5" t="str">
        <f t="shared" si="8"/>
        <v>RC</v>
      </c>
      <c r="U12" s="5" t="str">
        <f t="shared" si="9"/>
        <v>98.300%</v>
      </c>
      <c r="V12" s="5">
        <f t="shared" si="10"/>
        <v>-2</v>
      </c>
      <c r="W12" s="5" t="str">
        <f t="shared" si="11"/>
        <v>RC</v>
      </c>
      <c r="X12" s="5" t="str">
        <f t="shared" si="12"/>
        <v>99.948%</v>
      </c>
      <c r="Y12" s="5"/>
    </row>
    <row r="13" spans="1:43">
      <c r="A13">
        <v>31</v>
      </c>
      <c r="B13" t="s">
        <v>96</v>
      </c>
      <c r="C13">
        <v>2330120</v>
      </c>
      <c r="D13">
        <v>1.5599999999999999E-2</v>
      </c>
      <c r="E13">
        <v>1.6299999999999999E-2</v>
      </c>
      <c r="F13">
        <v>9</v>
      </c>
      <c r="G13" t="s">
        <v>96</v>
      </c>
      <c r="H13">
        <v>4434458</v>
      </c>
      <c r="I13">
        <v>0.05</v>
      </c>
      <c r="J13">
        <v>4.9000000000000002E-2</v>
      </c>
      <c r="K13">
        <v>57</v>
      </c>
      <c r="L13" s="5" t="b">
        <f t="shared" si="0"/>
        <v>1</v>
      </c>
      <c r="M13" s="5">
        <f t="shared" si="1"/>
        <v>-2104338</v>
      </c>
      <c r="N13" s="5" t="str">
        <f t="shared" si="2"/>
        <v>RC</v>
      </c>
      <c r="O13" s="5" t="str">
        <f t="shared" si="3"/>
        <v>52.546%</v>
      </c>
      <c r="P13" s="5">
        <f t="shared" si="4"/>
        <v>-3.44E-2</v>
      </c>
      <c r="Q13" s="5" t="str">
        <f t="shared" si="5"/>
        <v>RC</v>
      </c>
      <c r="R13" s="5" t="str">
        <f t="shared" si="6"/>
        <v>31.200%</v>
      </c>
      <c r="S13" s="5">
        <f t="shared" si="7"/>
        <v>-3.2700000000000007E-2</v>
      </c>
      <c r="T13" s="5" t="str">
        <f t="shared" si="8"/>
        <v>RC</v>
      </c>
      <c r="U13" s="5" t="str">
        <f t="shared" si="9"/>
        <v>33.265%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/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107</v>
      </c>
      <c r="C14">
        <v>490787649</v>
      </c>
      <c r="D14">
        <v>5.0843999999999996</v>
      </c>
      <c r="E14">
        <v>4.5111999999999997</v>
      </c>
      <c r="F14">
        <v>3849</v>
      </c>
      <c r="G14" t="s">
        <v>107</v>
      </c>
      <c r="H14">
        <v>394916766</v>
      </c>
      <c r="I14">
        <v>5.7172000000000001</v>
      </c>
      <c r="J14">
        <v>5.1158000000000001</v>
      </c>
      <c r="K14">
        <v>3851</v>
      </c>
      <c r="L14" s="5" t="b">
        <f t="shared" si="0"/>
        <v>1</v>
      </c>
      <c r="M14" s="5">
        <f t="shared" si="1"/>
        <v>95870883</v>
      </c>
      <c r="N14" s="5" t="str">
        <f t="shared" si="2"/>
        <v>QE</v>
      </c>
      <c r="O14" s="5" t="str">
        <f t="shared" si="3"/>
        <v>80.466%</v>
      </c>
      <c r="P14" s="5">
        <f t="shared" si="4"/>
        <v>-0.63280000000000047</v>
      </c>
      <c r="Q14" s="5" t="str">
        <f t="shared" si="5"/>
        <v>RC</v>
      </c>
      <c r="R14" s="5" t="str">
        <f t="shared" si="6"/>
        <v>88.932%</v>
      </c>
      <c r="S14" s="5">
        <f t="shared" si="7"/>
        <v>-0.60460000000000047</v>
      </c>
      <c r="T14" s="5" t="str">
        <f t="shared" si="8"/>
        <v>RC</v>
      </c>
      <c r="U14" s="5" t="str">
        <f t="shared" si="9"/>
        <v>88.182%</v>
      </c>
      <c r="V14" s="5">
        <f t="shared" si="10"/>
        <v>-2</v>
      </c>
      <c r="W14" s="5" t="str">
        <f t="shared" si="11"/>
        <v>RC</v>
      </c>
      <c r="X14" s="5" t="str">
        <f t="shared" si="12"/>
        <v>99.948%</v>
      </c>
      <c r="Y14" s="5"/>
      <c r="Z14" s="5" t="s">
        <v>30</v>
      </c>
      <c r="AA14">
        <f>COUNTIF(N:N,$Z7)-COUNTIFS(N:N,$Z7,O:O,"--")</f>
        <v>6</v>
      </c>
      <c r="AB14" s="6">
        <f>AA14/AA$11</f>
        <v>8.9552238805970144E-2</v>
      </c>
      <c r="AC14">
        <f>COUNTIF(Q:Q,$Z7)-COUNTIFS(Q:Q,$Z7,R:R,"--")</f>
        <v>55</v>
      </c>
      <c r="AD14" s="6">
        <f>AC14/AC$11</f>
        <v>0.82089552238805974</v>
      </c>
      <c r="AE14">
        <f>COUNTIF(T:T,$Z7)-COUNTIFS(T:T,$Z7,U:U,"--")</f>
        <v>55</v>
      </c>
      <c r="AF14" s="6">
        <f>AE14/AE$11</f>
        <v>0.82089552238805974</v>
      </c>
      <c r="AG14">
        <f>COUNTIF(W:W,$Z7)-COUNTIFS(W:W,$Z7,X:X,"--")</f>
        <v>55</v>
      </c>
      <c r="AH14" s="6">
        <f>AG14/AG$11</f>
        <v>0.82089552238805974</v>
      </c>
    </row>
    <row r="15" spans="1:43">
      <c r="A15">
        <v>33</v>
      </c>
      <c r="B15" t="s">
        <v>107</v>
      </c>
      <c r="C15">
        <v>490708779</v>
      </c>
      <c r="D15">
        <v>5.0233999999999996</v>
      </c>
      <c r="E15">
        <v>4.4866999999999999</v>
      </c>
      <c r="F15">
        <v>3849</v>
      </c>
      <c r="G15" t="s">
        <v>107</v>
      </c>
      <c r="H15">
        <v>386862640</v>
      </c>
      <c r="I15">
        <v>5.1967999999999996</v>
      </c>
      <c r="J15">
        <v>4.6025999999999998</v>
      </c>
      <c r="K15">
        <v>3851</v>
      </c>
      <c r="L15" s="5" t="b">
        <f t="shared" si="0"/>
        <v>1</v>
      </c>
      <c r="M15" s="5">
        <f t="shared" si="1"/>
        <v>103846139</v>
      </c>
      <c r="N15" s="5" t="str">
        <f t="shared" si="2"/>
        <v>QE</v>
      </c>
      <c r="O15" s="5" t="str">
        <f t="shared" si="3"/>
        <v>78.838%</v>
      </c>
      <c r="P15" s="5">
        <f t="shared" si="4"/>
        <v>-0.1734</v>
      </c>
      <c r="Q15" s="5" t="str">
        <f t="shared" si="5"/>
        <v>RC</v>
      </c>
      <c r="R15" s="5" t="str">
        <f t="shared" si="6"/>
        <v>96.663%</v>
      </c>
      <c r="S15" s="5">
        <f t="shared" si="7"/>
        <v>-0.11589999999999989</v>
      </c>
      <c r="T15" s="5" t="str">
        <f t="shared" si="8"/>
        <v>RC</v>
      </c>
      <c r="U15" s="5" t="str">
        <f t="shared" si="9"/>
        <v>97.482%</v>
      </c>
      <c r="V15" s="5">
        <f t="shared" si="10"/>
        <v>-2</v>
      </c>
      <c r="W15" s="5" t="str">
        <f t="shared" si="11"/>
        <v>RC</v>
      </c>
      <c r="X15" s="5" t="str">
        <f t="shared" si="12"/>
        <v>99.948%</v>
      </c>
      <c r="Y15" s="5"/>
      <c r="Z15" s="5" t="s">
        <v>31</v>
      </c>
      <c r="AA15">
        <f>COUNTIF(N:N,$Z8)-COUNTIFS(N:N,$Z8,O:O,"--")</f>
        <v>59</v>
      </c>
      <c r="AB15" s="6">
        <f>AA15/AA$11</f>
        <v>0.88059701492537312</v>
      </c>
      <c r="AC15">
        <f>COUNTIF(Q:Q,$Z8)-COUNTIFS(Q:Q,$Z8,R:R,"--")</f>
        <v>10</v>
      </c>
      <c r="AD15" s="6">
        <f>AC15/AC$11</f>
        <v>0.14925373134328357</v>
      </c>
      <c r="AE15">
        <f>COUNTIF(T:T,$Z8)-COUNTIFS(T:T,$Z8,U:U,"--")</f>
        <v>10</v>
      </c>
      <c r="AF15" s="6">
        <f>AE15/AE$11</f>
        <v>0.14925373134328357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107</v>
      </c>
      <c r="C16">
        <v>493054828</v>
      </c>
      <c r="D16">
        <v>5.0734000000000004</v>
      </c>
      <c r="E16">
        <v>4.4897999999999998</v>
      </c>
      <c r="F16">
        <v>3849</v>
      </c>
      <c r="G16" t="s">
        <v>107</v>
      </c>
      <c r="H16">
        <v>388503547</v>
      </c>
      <c r="I16">
        <v>5.1952999999999996</v>
      </c>
      <c r="J16">
        <v>4.5865999999999998</v>
      </c>
      <c r="K16">
        <v>3851</v>
      </c>
      <c r="L16" s="5" t="b">
        <f t="shared" si="0"/>
        <v>1</v>
      </c>
      <c r="M16" s="5">
        <f t="shared" si="1"/>
        <v>104551281</v>
      </c>
      <c r="N16" s="5" t="str">
        <f t="shared" si="2"/>
        <v>QE</v>
      </c>
      <c r="O16" s="5" t="str">
        <f t="shared" si="3"/>
        <v>78.795%</v>
      </c>
      <c r="P16" s="5">
        <f t="shared" si="4"/>
        <v>-0.12189999999999923</v>
      </c>
      <c r="Q16" s="5" t="str">
        <f t="shared" si="5"/>
        <v>RC</v>
      </c>
      <c r="R16" s="5" t="str">
        <f t="shared" si="6"/>
        <v>97.654%</v>
      </c>
      <c r="S16" s="5">
        <f t="shared" si="7"/>
        <v>-9.6799999999999997E-2</v>
      </c>
      <c r="T16" s="5" t="str">
        <f t="shared" si="8"/>
        <v>RC</v>
      </c>
      <c r="U16" s="5" t="str">
        <f t="shared" si="9"/>
        <v>97.890%</v>
      </c>
      <c r="V16" s="5">
        <f t="shared" si="10"/>
        <v>-2</v>
      </c>
      <c r="W16" s="5" t="str">
        <f t="shared" si="11"/>
        <v>RC</v>
      </c>
      <c r="X16" s="5" t="str">
        <f t="shared" si="12"/>
        <v>99.948%</v>
      </c>
      <c r="Y16" s="5"/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10</v>
      </c>
      <c r="AH16" s="6">
        <f>AG16/AG$11</f>
        <v>0.14925373134328357</v>
      </c>
    </row>
    <row r="17" spans="1:34">
      <c r="A17">
        <v>36</v>
      </c>
      <c r="B17" t="s">
        <v>100</v>
      </c>
      <c r="C17">
        <v>657682196</v>
      </c>
      <c r="D17">
        <v>6.9813000000000001</v>
      </c>
      <c r="E17">
        <v>6.1308999999999996</v>
      </c>
      <c r="F17">
        <v>5001</v>
      </c>
      <c r="G17" t="s">
        <v>100</v>
      </c>
      <c r="H17">
        <v>572629847</v>
      </c>
      <c r="I17">
        <v>8.1906999999999996</v>
      </c>
      <c r="J17">
        <v>6.8158000000000003</v>
      </c>
      <c r="K17">
        <v>5005</v>
      </c>
      <c r="L17" s="5" t="b">
        <f t="shared" si="0"/>
        <v>1</v>
      </c>
      <c r="M17" s="5">
        <f t="shared" si="1"/>
        <v>85052349</v>
      </c>
      <c r="N17" s="5" t="str">
        <f t="shared" si="2"/>
        <v>QE</v>
      </c>
      <c r="O17" s="5" t="str">
        <f t="shared" si="3"/>
        <v>87.068%</v>
      </c>
      <c r="P17" s="5">
        <f t="shared" si="4"/>
        <v>-1.2093999999999996</v>
      </c>
      <c r="Q17" s="5" t="str">
        <f t="shared" si="5"/>
        <v>RC</v>
      </c>
      <c r="R17" s="5" t="str">
        <f t="shared" si="6"/>
        <v>85.234%</v>
      </c>
      <c r="S17" s="5">
        <f t="shared" si="7"/>
        <v>-0.68490000000000073</v>
      </c>
      <c r="T17" s="5" t="str">
        <f t="shared" si="8"/>
        <v>RC</v>
      </c>
      <c r="U17" s="5" t="str">
        <f t="shared" si="9"/>
        <v>89.951%</v>
      </c>
      <c r="V17" s="5">
        <f t="shared" si="10"/>
        <v>-4</v>
      </c>
      <c r="W17" s="5" t="str">
        <f t="shared" si="11"/>
        <v>RC</v>
      </c>
      <c r="X17" s="5" t="str">
        <f t="shared" si="12"/>
        <v>99.920%</v>
      </c>
      <c r="Y17" s="5"/>
      <c r="Z17" s="7" t="s">
        <v>34</v>
      </c>
      <c r="AA17">
        <f>COUNTIF(O:O,"--")</f>
        <v>2</v>
      </c>
      <c r="AB17" s="6">
        <f>AA17/AA$11</f>
        <v>2.9850746268656716E-2</v>
      </c>
      <c r="AC17">
        <f>COUNTIF(R:R,"--")</f>
        <v>2</v>
      </c>
      <c r="AD17" s="6">
        <f>AC17/AC$11</f>
        <v>2.9850746268656716E-2</v>
      </c>
      <c r="AE17">
        <f>COUNTIF(U:U,"--")</f>
        <v>2</v>
      </c>
      <c r="AF17" s="6">
        <f>AE17/AE$11</f>
        <v>2.9850746268656716E-2</v>
      </c>
      <c r="AG17">
        <f>COUNTIF(X:X,"--")</f>
        <v>2</v>
      </c>
      <c r="AH17" s="6">
        <f>AG17/AG$11</f>
        <v>2.9850746268656716E-2</v>
      </c>
    </row>
    <row r="18" spans="1:34">
      <c r="A18">
        <v>38</v>
      </c>
      <c r="B18" t="s">
        <v>100</v>
      </c>
      <c r="C18">
        <v>658612650</v>
      </c>
      <c r="D18">
        <v>6.9733999999999998</v>
      </c>
      <c r="E18">
        <v>6.0464000000000002</v>
      </c>
      <c r="F18">
        <v>5001</v>
      </c>
      <c r="G18" t="s">
        <v>100</v>
      </c>
      <c r="H18">
        <v>569647223</v>
      </c>
      <c r="I18">
        <v>8.0749999999999993</v>
      </c>
      <c r="J18">
        <v>6.76</v>
      </c>
      <c r="K18">
        <v>5005</v>
      </c>
      <c r="L18" s="5" t="b">
        <f t="shared" si="0"/>
        <v>1</v>
      </c>
      <c r="M18" s="5">
        <f t="shared" si="1"/>
        <v>88965427</v>
      </c>
      <c r="N18" s="5" t="str">
        <f t="shared" si="2"/>
        <v>QE</v>
      </c>
      <c r="O18" s="5" t="str">
        <f t="shared" si="3"/>
        <v>86.492%</v>
      </c>
      <c r="P18" s="5">
        <f t="shared" si="4"/>
        <v>-1.1015999999999995</v>
      </c>
      <c r="Q18" s="5" t="str">
        <f t="shared" si="5"/>
        <v>RC</v>
      </c>
      <c r="R18" s="5" t="str">
        <f t="shared" si="6"/>
        <v>86.358%</v>
      </c>
      <c r="S18" s="5">
        <f t="shared" si="7"/>
        <v>-0.71359999999999957</v>
      </c>
      <c r="T18" s="5" t="str">
        <f t="shared" si="8"/>
        <v>RC</v>
      </c>
      <c r="U18" s="5" t="str">
        <f t="shared" si="9"/>
        <v>89.444%</v>
      </c>
      <c r="V18" s="5">
        <f t="shared" si="10"/>
        <v>-4</v>
      </c>
      <c r="W18" s="5" t="str">
        <f t="shared" si="11"/>
        <v>RC</v>
      </c>
      <c r="X18" s="5" t="str">
        <f t="shared" si="12"/>
        <v>99.920%</v>
      </c>
      <c r="Y18" s="5"/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107</v>
      </c>
      <c r="C19">
        <v>791101550</v>
      </c>
      <c r="D19">
        <v>8.6187000000000005</v>
      </c>
      <c r="E19">
        <v>7.3254000000000001</v>
      </c>
      <c r="F19">
        <v>6037</v>
      </c>
      <c r="G19" t="s">
        <v>107</v>
      </c>
      <c r="H19">
        <v>659463408</v>
      </c>
      <c r="I19">
        <v>9.5702999999999996</v>
      </c>
      <c r="J19">
        <v>7.9222999999999999</v>
      </c>
      <c r="K19">
        <v>6039</v>
      </c>
      <c r="L19" s="5" t="b">
        <f t="shared" si="0"/>
        <v>1</v>
      </c>
      <c r="M19" s="5">
        <f t="shared" si="1"/>
        <v>131638142</v>
      </c>
      <c r="N19" s="5" t="str">
        <f t="shared" si="2"/>
        <v>QE</v>
      </c>
      <c r="O19" s="5" t="str">
        <f t="shared" si="3"/>
        <v>83.360%</v>
      </c>
      <c r="P19" s="5">
        <f t="shared" si="4"/>
        <v>-0.95159999999999911</v>
      </c>
      <c r="Q19" s="5" t="str">
        <f t="shared" si="5"/>
        <v>RC</v>
      </c>
      <c r="R19" s="5" t="str">
        <f t="shared" si="6"/>
        <v>90.057%</v>
      </c>
      <c r="S19" s="5">
        <f t="shared" si="7"/>
        <v>-0.59689999999999976</v>
      </c>
      <c r="T19" s="5" t="str">
        <f t="shared" si="8"/>
        <v>RC</v>
      </c>
      <c r="U19" s="5" t="str">
        <f t="shared" si="9"/>
        <v>92.466%</v>
      </c>
      <c r="V19" s="5">
        <f t="shared" si="10"/>
        <v>-2</v>
      </c>
      <c r="W19" s="5" t="str">
        <f t="shared" si="11"/>
        <v>RC</v>
      </c>
      <c r="X19" s="5" t="str">
        <f t="shared" si="12"/>
        <v>99.967%</v>
      </c>
      <c r="Y19" s="5"/>
      <c r="AD19">
        <f>COUNTIF(W:W,$Z8)-COUNTIFS(W:W,$Z8,V:V,"--")</f>
        <v>0</v>
      </c>
    </row>
    <row r="20" spans="1:34">
      <c r="A20">
        <v>41</v>
      </c>
      <c r="B20" t="s">
        <v>107</v>
      </c>
      <c r="C20">
        <v>790929148</v>
      </c>
      <c r="D20">
        <v>8.4421999999999997</v>
      </c>
      <c r="E20">
        <v>7.2686000000000002</v>
      </c>
      <c r="F20">
        <v>6037</v>
      </c>
      <c r="G20" t="s">
        <v>107</v>
      </c>
      <c r="H20">
        <v>654395377</v>
      </c>
      <c r="I20">
        <v>9.4844000000000008</v>
      </c>
      <c r="J20">
        <v>7.8570000000000002</v>
      </c>
      <c r="K20">
        <v>6039</v>
      </c>
      <c r="L20" s="5" t="b">
        <f t="shared" si="0"/>
        <v>1</v>
      </c>
      <c r="M20" s="5">
        <f t="shared" si="1"/>
        <v>136533771</v>
      </c>
      <c r="N20" s="5" t="str">
        <f t="shared" si="2"/>
        <v>QE</v>
      </c>
      <c r="O20" s="5" t="str">
        <f t="shared" si="3"/>
        <v>82.738%</v>
      </c>
      <c r="P20" s="5">
        <f t="shared" si="4"/>
        <v>-1.0422000000000011</v>
      </c>
      <c r="Q20" s="5" t="str">
        <f t="shared" si="5"/>
        <v>RC</v>
      </c>
      <c r="R20" s="5" t="str">
        <f t="shared" si="6"/>
        <v>89.011%</v>
      </c>
      <c r="S20" s="5">
        <f t="shared" si="7"/>
        <v>-0.58840000000000003</v>
      </c>
      <c r="T20" s="5" t="str">
        <f t="shared" si="8"/>
        <v>RC</v>
      </c>
      <c r="U20" s="5" t="str">
        <f t="shared" si="9"/>
        <v>92.511%</v>
      </c>
      <c r="V20" s="5">
        <f t="shared" si="10"/>
        <v>-2</v>
      </c>
      <c r="W20" s="5" t="str">
        <f t="shared" si="11"/>
        <v>RC</v>
      </c>
      <c r="X20" s="5" t="str">
        <f t="shared" si="12"/>
        <v>99.967%</v>
      </c>
      <c r="Y20" s="5"/>
    </row>
    <row r="21" spans="1:34">
      <c r="A21">
        <v>43</v>
      </c>
      <c r="B21" t="s">
        <v>100</v>
      </c>
      <c r="C21">
        <v>657487349</v>
      </c>
      <c r="D21">
        <v>6.8061999999999996</v>
      </c>
      <c r="E21">
        <v>5.9955999999999996</v>
      </c>
      <c r="F21">
        <v>5001</v>
      </c>
      <c r="G21" t="s">
        <v>100</v>
      </c>
      <c r="H21">
        <v>564101828</v>
      </c>
      <c r="I21">
        <v>7.9203000000000001</v>
      </c>
      <c r="J21">
        <v>6.6997</v>
      </c>
      <c r="K21">
        <v>5005</v>
      </c>
      <c r="L21" s="5" t="b">
        <f t="shared" si="0"/>
        <v>1</v>
      </c>
      <c r="M21" s="5">
        <f t="shared" si="1"/>
        <v>93385521</v>
      </c>
      <c r="N21" s="5" t="str">
        <f t="shared" si="2"/>
        <v>QE</v>
      </c>
      <c r="O21" s="5" t="str">
        <f t="shared" si="3"/>
        <v>85.797%</v>
      </c>
      <c r="P21" s="5">
        <f t="shared" si="4"/>
        <v>-1.1141000000000005</v>
      </c>
      <c r="Q21" s="5" t="str">
        <f t="shared" si="5"/>
        <v>RC</v>
      </c>
      <c r="R21" s="5" t="str">
        <f t="shared" si="6"/>
        <v>85.934%</v>
      </c>
      <c r="S21" s="5">
        <f t="shared" si="7"/>
        <v>-0.70410000000000039</v>
      </c>
      <c r="T21" s="5" t="str">
        <f t="shared" si="8"/>
        <v>RC</v>
      </c>
      <c r="U21" s="5" t="str">
        <f t="shared" si="9"/>
        <v>89.491%</v>
      </c>
      <c r="V21" s="5">
        <f t="shared" si="10"/>
        <v>-4</v>
      </c>
      <c r="W21" s="5" t="str">
        <f t="shared" si="11"/>
        <v>RC</v>
      </c>
      <c r="X21" s="5" t="str">
        <f t="shared" si="12"/>
        <v>99.920%</v>
      </c>
      <c r="Y21" s="5"/>
    </row>
    <row r="22" spans="1:34">
      <c r="A22">
        <v>45</v>
      </c>
      <c r="B22" t="s">
        <v>100</v>
      </c>
      <c r="C22">
        <v>1620984705</v>
      </c>
      <c r="D22">
        <v>18.278199999999998</v>
      </c>
      <c r="E22">
        <v>14.7918</v>
      </c>
      <c r="F22">
        <v>12477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s="5" t="str">
        <f t="shared" si="0"/>
        <v>--</v>
      </c>
      <c r="M22" s="5" t="str">
        <f t="shared" si="1"/>
        <v>--</v>
      </c>
      <c r="N22" s="5" t="str">
        <f t="shared" si="2"/>
        <v>RC</v>
      </c>
      <c r="O22" s="5" t="str">
        <f t="shared" si="3"/>
        <v>--</v>
      </c>
      <c r="P22" s="5" t="str">
        <f t="shared" si="4"/>
        <v>--</v>
      </c>
      <c r="Q22" s="5" t="str">
        <f t="shared" si="5"/>
        <v>RC</v>
      </c>
      <c r="R22" s="5" t="str">
        <f t="shared" si="6"/>
        <v>--</v>
      </c>
      <c r="S22" s="5" t="str">
        <f t="shared" si="7"/>
        <v>--</v>
      </c>
      <c r="T22" s="5" t="str">
        <f t="shared" si="8"/>
        <v>RC</v>
      </c>
      <c r="U22" s="5" t="str">
        <f t="shared" si="9"/>
        <v>--</v>
      </c>
      <c r="V22" s="5" t="str">
        <f t="shared" si="10"/>
        <v>--</v>
      </c>
      <c r="W22" s="5" t="str">
        <f t="shared" si="11"/>
        <v>RC</v>
      </c>
      <c r="X22" s="5" t="str">
        <f t="shared" si="12"/>
        <v>--</v>
      </c>
      <c r="Y22" s="5"/>
    </row>
    <row r="23" spans="1:34">
      <c r="A23">
        <v>46</v>
      </c>
      <c r="B23" t="s">
        <v>100</v>
      </c>
      <c r="C23">
        <v>712035380</v>
      </c>
      <c r="D23">
        <v>7.5688000000000004</v>
      </c>
      <c r="E23">
        <v>6.5429000000000004</v>
      </c>
      <c r="F23">
        <v>5413</v>
      </c>
      <c r="G23" t="s">
        <v>100</v>
      </c>
      <c r="H23">
        <v>601637279</v>
      </c>
      <c r="I23">
        <v>8.6187000000000005</v>
      </c>
      <c r="J23">
        <v>7.2263999999999999</v>
      </c>
      <c r="K23">
        <v>5417</v>
      </c>
      <c r="L23" s="5" t="b">
        <f t="shared" si="0"/>
        <v>1</v>
      </c>
      <c r="M23" s="5">
        <f t="shared" si="1"/>
        <v>110398101</v>
      </c>
      <c r="N23" s="5" t="str">
        <f t="shared" si="2"/>
        <v>QE</v>
      </c>
      <c r="O23" s="5" t="str">
        <f t="shared" si="3"/>
        <v>84.495%</v>
      </c>
      <c r="P23" s="5">
        <f t="shared" si="4"/>
        <v>-1.0499000000000001</v>
      </c>
      <c r="Q23" s="5" t="str">
        <f t="shared" si="5"/>
        <v>RC</v>
      </c>
      <c r="R23" s="5" t="str">
        <f t="shared" si="6"/>
        <v>87.818%</v>
      </c>
      <c r="S23" s="5">
        <f t="shared" si="7"/>
        <v>-0.68349999999999955</v>
      </c>
      <c r="T23" s="5" t="str">
        <f t="shared" si="8"/>
        <v>RC</v>
      </c>
      <c r="U23" s="5" t="str">
        <f t="shared" si="9"/>
        <v>90.542%</v>
      </c>
      <c r="V23" s="5">
        <f t="shared" si="10"/>
        <v>-4</v>
      </c>
      <c r="W23" s="5" t="str">
        <f t="shared" si="11"/>
        <v>RC</v>
      </c>
      <c r="X23" s="5" t="str">
        <f t="shared" si="12"/>
        <v>99.926%</v>
      </c>
      <c r="Y23" s="5"/>
    </row>
    <row r="24" spans="1:34">
      <c r="A24">
        <v>48</v>
      </c>
      <c r="B24" t="s">
        <v>100</v>
      </c>
      <c r="C24">
        <v>1620899235</v>
      </c>
      <c r="D24">
        <v>18.259399999999999</v>
      </c>
      <c r="E24">
        <v>14.7966</v>
      </c>
      <c r="F24">
        <v>12477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s="5" t="str">
        <f t="shared" si="0"/>
        <v>--</v>
      </c>
      <c r="M24" s="5" t="str">
        <f t="shared" si="1"/>
        <v>--</v>
      </c>
      <c r="N24" s="5" t="str">
        <f t="shared" si="2"/>
        <v>RC</v>
      </c>
      <c r="O24" s="5" t="str">
        <f t="shared" si="3"/>
        <v>--</v>
      </c>
      <c r="P24" s="5" t="str">
        <f t="shared" si="4"/>
        <v>--</v>
      </c>
      <c r="Q24" s="5" t="str">
        <f t="shared" si="5"/>
        <v>RC</v>
      </c>
      <c r="R24" s="5" t="str">
        <f t="shared" si="6"/>
        <v>--</v>
      </c>
      <c r="S24" s="5" t="str">
        <f t="shared" si="7"/>
        <v>--</v>
      </c>
      <c r="T24" s="5" t="str">
        <f t="shared" si="8"/>
        <v>RC</v>
      </c>
      <c r="U24" s="5" t="str">
        <f t="shared" si="9"/>
        <v>--</v>
      </c>
      <c r="V24" s="5" t="str">
        <f t="shared" si="10"/>
        <v>--</v>
      </c>
      <c r="W24" s="5" t="str">
        <f t="shared" si="11"/>
        <v>RC</v>
      </c>
      <c r="X24" s="5" t="str">
        <f t="shared" si="12"/>
        <v>--</v>
      </c>
      <c r="Y24" s="5"/>
    </row>
    <row r="25" spans="1:34">
      <c r="A25">
        <v>49</v>
      </c>
      <c r="B25" t="s">
        <v>100</v>
      </c>
      <c r="C25">
        <v>711876253</v>
      </c>
      <c r="D25">
        <v>7.5968</v>
      </c>
      <c r="E25">
        <v>6.5110999999999999</v>
      </c>
      <c r="F25">
        <v>5413</v>
      </c>
      <c r="G25" t="s">
        <v>100</v>
      </c>
      <c r="H25">
        <v>600293944</v>
      </c>
      <c r="I25">
        <v>8.8843999999999994</v>
      </c>
      <c r="J25">
        <v>7.2660999999999998</v>
      </c>
      <c r="K25">
        <v>5417</v>
      </c>
      <c r="L25" s="5" t="b">
        <f t="shared" si="0"/>
        <v>1</v>
      </c>
      <c r="M25" s="5">
        <f t="shared" si="1"/>
        <v>111582309</v>
      </c>
      <c r="N25" s="5" t="str">
        <f t="shared" si="2"/>
        <v>QE</v>
      </c>
      <c r="O25" s="5" t="str">
        <f t="shared" si="3"/>
        <v>84.326%</v>
      </c>
      <c r="P25" s="5">
        <f t="shared" si="4"/>
        <v>-1.2875999999999994</v>
      </c>
      <c r="Q25" s="5" t="str">
        <f t="shared" si="5"/>
        <v>RC</v>
      </c>
      <c r="R25" s="5" t="str">
        <f t="shared" si="6"/>
        <v>85.507%</v>
      </c>
      <c r="S25" s="5">
        <f t="shared" si="7"/>
        <v>-0.75499999999999989</v>
      </c>
      <c r="T25" s="5" t="str">
        <f t="shared" si="8"/>
        <v>RC</v>
      </c>
      <c r="U25" s="5" t="str">
        <f t="shared" si="9"/>
        <v>89.609%</v>
      </c>
      <c r="V25" s="5">
        <f t="shared" si="10"/>
        <v>-4</v>
      </c>
      <c r="W25" s="5" t="str">
        <f t="shared" si="11"/>
        <v>RC</v>
      </c>
      <c r="X25" s="5" t="str">
        <f t="shared" si="12"/>
        <v>99.926%</v>
      </c>
      <c r="Y25" s="5"/>
      <c r="Z25" t="s">
        <v>40</v>
      </c>
    </row>
    <row r="26" spans="1:34">
      <c r="A26">
        <v>67</v>
      </c>
      <c r="B26" t="s">
        <v>104</v>
      </c>
      <c r="C26">
        <v>25532321</v>
      </c>
      <c r="D26">
        <v>0.21870000000000001</v>
      </c>
      <c r="E26">
        <v>0.21440000000000001</v>
      </c>
      <c r="F26">
        <v>177</v>
      </c>
      <c r="G26" t="s">
        <v>104</v>
      </c>
      <c r="H26">
        <v>11882740</v>
      </c>
      <c r="I26">
        <v>0.1265</v>
      </c>
      <c r="J26">
        <v>0.1231</v>
      </c>
      <c r="K26">
        <v>177</v>
      </c>
      <c r="L26" s="5" t="b">
        <f t="shared" si="0"/>
        <v>1</v>
      </c>
      <c r="M26" s="5">
        <f t="shared" si="1"/>
        <v>13649581</v>
      </c>
      <c r="N26" s="5" t="str">
        <f t="shared" si="2"/>
        <v>QE</v>
      </c>
      <c r="O26" s="5" t="str">
        <f t="shared" si="3"/>
        <v>46.540%</v>
      </c>
      <c r="P26" s="5">
        <f t="shared" si="4"/>
        <v>9.2200000000000004E-2</v>
      </c>
      <c r="Q26" s="5" t="str">
        <f t="shared" si="5"/>
        <v>QE</v>
      </c>
      <c r="R26" s="5" t="str">
        <f t="shared" si="6"/>
        <v>57.842%</v>
      </c>
      <c r="S26" s="5">
        <f t="shared" si="7"/>
        <v>9.1300000000000006E-2</v>
      </c>
      <c r="T26" s="5" t="str">
        <f t="shared" si="8"/>
        <v>QE</v>
      </c>
      <c r="U26" s="5" t="str">
        <f t="shared" si="9"/>
        <v>57.416%</v>
      </c>
      <c r="V26" s="5">
        <f t="shared" si="10"/>
        <v>0</v>
      </c>
      <c r="W26" s="5" t="str">
        <f t="shared" si="11"/>
        <v>TIE</v>
      </c>
      <c r="X26" s="5" t="str">
        <f t="shared" si="12"/>
        <v>100.000%</v>
      </c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67 Successes (100.00%), 0 Timeouts (0.00%), 0 Errors (0.00%).</v>
      </c>
    </row>
    <row r="27" spans="1:34">
      <c r="A27">
        <v>69</v>
      </c>
      <c r="B27" t="s">
        <v>104</v>
      </c>
      <c r="C27">
        <v>25532337</v>
      </c>
      <c r="D27">
        <v>0.2172</v>
      </c>
      <c r="E27">
        <v>0.21390000000000001</v>
      </c>
      <c r="F27">
        <v>177</v>
      </c>
      <c r="G27" t="s">
        <v>104</v>
      </c>
      <c r="H27">
        <v>11887716</v>
      </c>
      <c r="I27">
        <v>0.1265</v>
      </c>
      <c r="J27">
        <v>0.1227</v>
      </c>
      <c r="K27">
        <v>177</v>
      </c>
      <c r="L27" s="5" t="b">
        <f t="shared" si="0"/>
        <v>1</v>
      </c>
      <c r="M27" s="5">
        <f t="shared" si="1"/>
        <v>13644621</v>
      </c>
      <c r="N27" s="5" t="str">
        <f t="shared" si="2"/>
        <v>QE</v>
      </c>
      <c r="O27" s="5" t="str">
        <f t="shared" si="3"/>
        <v>46.559%</v>
      </c>
      <c r="P27" s="5">
        <f t="shared" si="4"/>
        <v>9.0700000000000003E-2</v>
      </c>
      <c r="Q27" s="5" t="str">
        <f t="shared" si="5"/>
        <v>QE</v>
      </c>
      <c r="R27" s="5" t="str">
        <f t="shared" si="6"/>
        <v>58.241%</v>
      </c>
      <c r="S27" s="5">
        <f t="shared" si="7"/>
        <v>9.1200000000000003E-2</v>
      </c>
      <c r="T27" s="5" t="str">
        <f t="shared" si="8"/>
        <v>QE</v>
      </c>
      <c r="U27" s="5" t="str">
        <f t="shared" si="9"/>
        <v>57.363%</v>
      </c>
      <c r="V27" s="5">
        <f t="shared" si="10"/>
        <v>0</v>
      </c>
      <c r="W27" s="5" t="str">
        <f t="shared" si="11"/>
        <v>TIE</v>
      </c>
      <c r="X27" s="5" t="str">
        <f t="shared" si="12"/>
        <v>100.000%</v>
      </c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65 Successes (97.01%), 2 Timeouts (2.99%), 0 Errors (0.00%).</v>
      </c>
    </row>
    <row r="28" spans="1:34">
      <c r="A28">
        <v>70</v>
      </c>
      <c r="B28" t="s">
        <v>104</v>
      </c>
      <c r="C28">
        <v>47962239</v>
      </c>
      <c r="D28">
        <v>0.40620000000000001</v>
      </c>
      <c r="E28">
        <v>0.40389999999999998</v>
      </c>
      <c r="F28">
        <v>327</v>
      </c>
      <c r="G28" t="s">
        <v>104</v>
      </c>
      <c r="H28">
        <v>21881108</v>
      </c>
      <c r="I28">
        <v>0.2344</v>
      </c>
      <c r="J28">
        <v>0.23139999999999999</v>
      </c>
      <c r="K28">
        <v>327</v>
      </c>
      <c r="L28" s="5" t="b">
        <f t="shared" si="0"/>
        <v>1</v>
      </c>
      <c r="M28" s="5">
        <f t="shared" si="1"/>
        <v>26081131</v>
      </c>
      <c r="N28" s="5" t="str">
        <f t="shared" si="2"/>
        <v>QE</v>
      </c>
      <c r="O28" s="5" t="str">
        <f t="shared" si="3"/>
        <v>45.622%</v>
      </c>
      <c r="P28" s="5">
        <f t="shared" si="4"/>
        <v>0.17180000000000001</v>
      </c>
      <c r="Q28" s="5" t="str">
        <f t="shared" si="5"/>
        <v>QE</v>
      </c>
      <c r="R28" s="5" t="str">
        <f t="shared" si="6"/>
        <v>57.706%</v>
      </c>
      <c r="S28" s="5">
        <f t="shared" si="7"/>
        <v>0.17249999999999999</v>
      </c>
      <c r="T28" s="5" t="str">
        <f t="shared" si="8"/>
        <v>QE</v>
      </c>
      <c r="U28" s="5" t="str">
        <f t="shared" si="9"/>
        <v>57.291%</v>
      </c>
      <c r="V28" s="5">
        <f t="shared" si="10"/>
        <v>0</v>
      </c>
      <c r="W28" s="5" t="str">
        <f t="shared" si="11"/>
        <v>TIE</v>
      </c>
      <c r="X28" s="5" t="str">
        <f t="shared" si="12"/>
        <v>100.000%</v>
      </c>
      <c r="Y28" s="5"/>
    </row>
    <row r="29" spans="1:34">
      <c r="A29">
        <v>72</v>
      </c>
      <c r="B29" t="s">
        <v>104</v>
      </c>
      <c r="C29">
        <v>47965074</v>
      </c>
      <c r="D29">
        <v>0.4078</v>
      </c>
      <c r="E29">
        <v>0.40110000000000001</v>
      </c>
      <c r="F29">
        <v>327</v>
      </c>
      <c r="G29" t="s">
        <v>104</v>
      </c>
      <c r="H29">
        <v>21888524</v>
      </c>
      <c r="I29">
        <v>0.23280000000000001</v>
      </c>
      <c r="J29">
        <v>0.23069999999999999</v>
      </c>
      <c r="K29">
        <v>327</v>
      </c>
      <c r="L29" s="5" t="b">
        <f t="shared" si="0"/>
        <v>1</v>
      </c>
      <c r="M29" s="5">
        <f t="shared" si="1"/>
        <v>26076550</v>
      </c>
      <c r="N29" s="5" t="str">
        <f t="shared" si="2"/>
        <v>QE</v>
      </c>
      <c r="O29" s="5" t="str">
        <f t="shared" si="3"/>
        <v>45.634%</v>
      </c>
      <c r="P29" s="5">
        <f t="shared" si="4"/>
        <v>0.17499999999999999</v>
      </c>
      <c r="Q29" s="5" t="str">
        <f t="shared" si="5"/>
        <v>QE</v>
      </c>
      <c r="R29" s="5" t="str">
        <f t="shared" si="6"/>
        <v>57.087%</v>
      </c>
      <c r="S29" s="5">
        <f t="shared" si="7"/>
        <v>0.17040000000000002</v>
      </c>
      <c r="T29" s="5" t="str">
        <f t="shared" si="8"/>
        <v>QE</v>
      </c>
      <c r="U29" s="5" t="str">
        <f t="shared" si="9"/>
        <v>57.517%</v>
      </c>
      <c r="V29" s="5">
        <f t="shared" si="10"/>
        <v>0</v>
      </c>
      <c r="W29" s="5" t="str">
        <f t="shared" si="11"/>
        <v>TIE</v>
      </c>
      <c r="X29" s="5" t="str">
        <f t="shared" si="12"/>
        <v>100.000%</v>
      </c>
      <c r="Y29" s="5"/>
      <c r="Z29" t="s">
        <v>41</v>
      </c>
    </row>
    <row r="30" spans="1:34">
      <c r="A30">
        <v>73</v>
      </c>
      <c r="B30" t="s">
        <v>104</v>
      </c>
      <c r="C30">
        <v>47949214</v>
      </c>
      <c r="D30">
        <v>0.40629999999999999</v>
      </c>
      <c r="E30">
        <v>0.39989999999999998</v>
      </c>
      <c r="F30">
        <v>327</v>
      </c>
      <c r="G30" t="s">
        <v>104</v>
      </c>
      <c r="H30">
        <v>21903345</v>
      </c>
      <c r="I30">
        <v>0.23280000000000001</v>
      </c>
      <c r="J30">
        <v>0.23039999999999999</v>
      </c>
      <c r="K30">
        <v>327</v>
      </c>
      <c r="L30" s="5" t="b">
        <f t="shared" si="0"/>
        <v>1</v>
      </c>
      <c r="M30" s="5">
        <f t="shared" si="1"/>
        <v>26045869</v>
      </c>
      <c r="N30" s="5" t="str">
        <f t="shared" si="2"/>
        <v>QE</v>
      </c>
      <c r="O30" s="5" t="str">
        <f t="shared" si="3"/>
        <v>45.680%</v>
      </c>
      <c r="P30" s="5">
        <f t="shared" si="4"/>
        <v>0.17349999999999999</v>
      </c>
      <c r="Q30" s="5" t="str">
        <f t="shared" si="5"/>
        <v>QE</v>
      </c>
      <c r="R30" s="5" t="str">
        <f t="shared" si="6"/>
        <v>57.298%</v>
      </c>
      <c r="S30" s="5">
        <f t="shared" si="7"/>
        <v>0.16949999999999998</v>
      </c>
      <c r="T30" s="5" t="str">
        <f t="shared" si="8"/>
        <v>QE</v>
      </c>
      <c r="U30" s="5" t="str">
        <f t="shared" si="9"/>
        <v>57.614%</v>
      </c>
      <c r="V30" s="5">
        <f t="shared" si="10"/>
        <v>0</v>
      </c>
      <c r="W30" s="5" t="str">
        <f t="shared" si="11"/>
        <v>TIE</v>
      </c>
      <c r="X30" s="5" t="str">
        <f t="shared" si="12"/>
        <v>100.000%</v>
      </c>
      <c r="Y30" s="5"/>
      <c r="Z30" t="str">
        <f>Z7&amp;": "&amp;AC7&amp;" ("&amp;TEXT(AD7,"0.00%")&amp;"), "&amp;AC14&amp;" actual ("&amp;TEXT(AD14,"0.00%")&amp;")"</f>
        <v>RC: 57 (85.07%), 55 actual (82.09%)</v>
      </c>
    </row>
    <row r="31" spans="1:34">
      <c r="A31">
        <v>75</v>
      </c>
      <c r="B31" t="s">
        <v>108</v>
      </c>
      <c r="C31">
        <v>492786391</v>
      </c>
      <c r="D31">
        <v>4.9936999999999996</v>
      </c>
      <c r="E31">
        <v>4.4978999999999996</v>
      </c>
      <c r="F31">
        <v>3849</v>
      </c>
      <c r="G31" t="s">
        <v>108</v>
      </c>
      <c r="H31">
        <v>395746929</v>
      </c>
      <c r="I31">
        <v>5.4234999999999998</v>
      </c>
      <c r="J31">
        <v>4.6749999999999998</v>
      </c>
      <c r="K31">
        <v>3851</v>
      </c>
      <c r="L31" s="5" t="b">
        <f t="shared" si="0"/>
        <v>1</v>
      </c>
      <c r="M31" s="5">
        <f t="shared" si="1"/>
        <v>97039462</v>
      </c>
      <c r="N31" s="5" t="str">
        <f t="shared" si="2"/>
        <v>QE</v>
      </c>
      <c r="O31" s="5" t="str">
        <f t="shared" si="3"/>
        <v>80.308%</v>
      </c>
      <c r="P31" s="5">
        <f t="shared" si="4"/>
        <v>-0.42980000000000018</v>
      </c>
      <c r="Q31" s="5" t="str">
        <f t="shared" si="5"/>
        <v>RC</v>
      </c>
      <c r="R31" s="5" t="str">
        <f t="shared" si="6"/>
        <v>92.075%</v>
      </c>
      <c r="S31" s="5">
        <f t="shared" si="7"/>
        <v>-0.17710000000000026</v>
      </c>
      <c r="T31" s="5" t="str">
        <f t="shared" si="8"/>
        <v>RC</v>
      </c>
      <c r="U31" s="5" t="str">
        <f t="shared" si="9"/>
        <v>96.212%</v>
      </c>
      <c r="V31" s="5">
        <f t="shared" si="10"/>
        <v>-2</v>
      </c>
      <c r="W31" s="5" t="str">
        <f t="shared" si="11"/>
        <v>RC</v>
      </c>
      <c r="X31" s="5" t="str">
        <f t="shared" si="12"/>
        <v>99.948%</v>
      </c>
      <c r="Y31" s="5"/>
      <c r="Z31" t="str">
        <f>Z8&amp;": "&amp;AC8&amp;" ("&amp;TEXT(AD8,"0.00%")&amp;"), "&amp;AC15&amp;" actual ("&amp;TEXT(AD15,"0.00%")&amp;")"</f>
        <v>QE: 10 (14.93%), 10 actual (14.93%)</v>
      </c>
    </row>
    <row r="32" spans="1:34">
      <c r="A32">
        <v>76</v>
      </c>
      <c r="B32" t="s">
        <v>98</v>
      </c>
      <c r="C32">
        <v>2330187</v>
      </c>
      <c r="D32">
        <v>1.72E-2</v>
      </c>
      <c r="E32">
        <v>1.66E-2</v>
      </c>
      <c r="F32">
        <v>9</v>
      </c>
      <c r="G32" t="s">
        <v>98</v>
      </c>
      <c r="H32">
        <v>4432006</v>
      </c>
      <c r="I32">
        <v>5.16E-2</v>
      </c>
      <c r="J32">
        <v>4.9599999999999998E-2</v>
      </c>
      <c r="K32">
        <v>57</v>
      </c>
      <c r="L32" s="5" t="b">
        <f t="shared" si="0"/>
        <v>1</v>
      </c>
      <c r="M32" s="5">
        <f t="shared" si="1"/>
        <v>-2101819</v>
      </c>
      <c r="N32" s="5" t="str">
        <f t="shared" si="2"/>
        <v>RC</v>
      </c>
      <c r="O32" s="5" t="str">
        <f t="shared" si="3"/>
        <v>52.576%</v>
      </c>
      <c r="P32" s="5">
        <f t="shared" si="4"/>
        <v>-3.44E-2</v>
      </c>
      <c r="Q32" s="5" t="str">
        <f t="shared" si="5"/>
        <v>RC</v>
      </c>
      <c r="R32" s="5" t="str">
        <f t="shared" si="6"/>
        <v>33.333%</v>
      </c>
      <c r="S32" s="5">
        <f t="shared" si="7"/>
        <v>-3.3000000000000002E-2</v>
      </c>
      <c r="T32" s="5" t="str">
        <f t="shared" si="8"/>
        <v>RC</v>
      </c>
      <c r="U32" s="5" t="str">
        <f t="shared" si="9"/>
        <v>33.468%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/>
    </row>
    <row r="33" spans="1:30">
      <c r="A33">
        <v>77</v>
      </c>
      <c r="B33" t="s">
        <v>108</v>
      </c>
      <c r="C33">
        <v>492570154</v>
      </c>
      <c r="D33">
        <v>5.0250000000000004</v>
      </c>
      <c r="E33">
        <v>4.4585999999999997</v>
      </c>
      <c r="F33">
        <v>3849</v>
      </c>
      <c r="G33" t="s">
        <v>108</v>
      </c>
      <c r="H33">
        <v>391624374</v>
      </c>
      <c r="I33">
        <v>5.2968999999999999</v>
      </c>
      <c r="J33">
        <v>4.5999999999999996</v>
      </c>
      <c r="K33">
        <v>3851</v>
      </c>
      <c r="L33" s="5" t="b">
        <f t="shared" si="0"/>
        <v>1</v>
      </c>
      <c r="M33" s="5">
        <f t="shared" si="1"/>
        <v>100945780</v>
      </c>
      <c r="N33" s="5" t="str">
        <f t="shared" si="2"/>
        <v>QE</v>
      </c>
      <c r="O33" s="5" t="str">
        <f t="shared" si="3"/>
        <v>79.506%</v>
      </c>
      <c r="P33" s="5">
        <f t="shared" si="4"/>
        <v>-0.27189999999999959</v>
      </c>
      <c r="Q33" s="5" t="str">
        <f t="shared" si="5"/>
        <v>RC</v>
      </c>
      <c r="R33" s="5" t="str">
        <f t="shared" si="6"/>
        <v>94.867%</v>
      </c>
      <c r="S33" s="5">
        <f t="shared" si="7"/>
        <v>-0.14139999999999997</v>
      </c>
      <c r="T33" s="5" t="str">
        <f t="shared" si="8"/>
        <v>RC</v>
      </c>
      <c r="U33" s="5" t="str">
        <f t="shared" si="9"/>
        <v>96.926%</v>
      </c>
      <c r="V33" s="5">
        <f t="shared" si="10"/>
        <v>-2</v>
      </c>
      <c r="W33" s="5" t="str">
        <f t="shared" si="11"/>
        <v>RC</v>
      </c>
      <c r="X33" s="5" t="str">
        <f t="shared" si="12"/>
        <v>99.948%</v>
      </c>
      <c r="Y33" s="5"/>
      <c r="Z33" t="s">
        <v>42</v>
      </c>
    </row>
    <row r="34" spans="1:30">
      <c r="A34">
        <v>78</v>
      </c>
      <c r="B34" t="s">
        <v>104</v>
      </c>
      <c r="C34">
        <v>392686852</v>
      </c>
      <c r="D34">
        <v>3.9171999999999998</v>
      </c>
      <c r="E34">
        <v>3.5217000000000001</v>
      </c>
      <c r="F34">
        <v>2987</v>
      </c>
      <c r="G34" t="s">
        <v>104</v>
      </c>
      <c r="H34">
        <v>296147904</v>
      </c>
      <c r="I34">
        <v>4.0061999999999998</v>
      </c>
      <c r="J34">
        <v>3.5829</v>
      </c>
      <c r="K34">
        <v>2991</v>
      </c>
      <c r="L34" s="5" t="b">
        <f t="shared" si="0"/>
        <v>1</v>
      </c>
      <c r="M34" s="5">
        <f t="shared" si="1"/>
        <v>96538948</v>
      </c>
      <c r="N34" s="5" t="str">
        <f t="shared" si="2"/>
        <v>QE</v>
      </c>
      <c r="O34" s="5" t="str">
        <f t="shared" si="3"/>
        <v>75.416%</v>
      </c>
      <c r="P34" s="5">
        <f t="shared" si="4"/>
        <v>-8.8999999999999968E-2</v>
      </c>
      <c r="Q34" s="5" t="str">
        <f t="shared" si="5"/>
        <v>RC</v>
      </c>
      <c r="R34" s="5" t="str">
        <f t="shared" si="6"/>
        <v>97.778%</v>
      </c>
      <c r="S34" s="5">
        <f t="shared" si="7"/>
        <v>-6.1199999999999921E-2</v>
      </c>
      <c r="T34" s="5" t="str">
        <f t="shared" si="8"/>
        <v>RC</v>
      </c>
      <c r="U34" s="5" t="str">
        <f t="shared" si="9"/>
        <v>98.292%</v>
      </c>
      <c r="V34" s="5">
        <f t="shared" si="10"/>
        <v>-4</v>
      </c>
      <c r="W34" s="5" t="str">
        <f t="shared" si="11"/>
        <v>RC</v>
      </c>
      <c r="X34" s="5" t="str">
        <f t="shared" si="12"/>
        <v>99.866%</v>
      </c>
      <c r="Y34" s="5"/>
      <c r="Z34" t="str">
        <f>Z7&amp;": "&amp;AG7&amp;" ("&amp;TEXT(AH7,"0.00%")&amp;"), "&amp;AG14&amp;" actual ("&amp;TEXT(AH14,"0.00%")&amp;")"</f>
        <v>RC: 57 (85.07%), 55 actual (82.09%)</v>
      </c>
    </row>
    <row r="35" spans="1:30">
      <c r="A35">
        <v>79</v>
      </c>
      <c r="B35" t="s">
        <v>104</v>
      </c>
      <c r="C35">
        <v>389628540</v>
      </c>
      <c r="D35">
        <v>3.9108999999999998</v>
      </c>
      <c r="E35">
        <v>3.5427</v>
      </c>
      <c r="F35">
        <v>2987</v>
      </c>
      <c r="G35" t="s">
        <v>104</v>
      </c>
      <c r="H35">
        <v>298477974</v>
      </c>
      <c r="I35">
        <v>3.9889999999999999</v>
      </c>
      <c r="J35">
        <v>3.5928</v>
      </c>
      <c r="K35">
        <v>2991</v>
      </c>
      <c r="L35" s="5" t="b">
        <f t="shared" si="0"/>
        <v>1</v>
      </c>
      <c r="M35" s="5">
        <f t="shared" si="1"/>
        <v>91150566</v>
      </c>
      <c r="N35" s="5" t="str">
        <f t="shared" si="2"/>
        <v>QE</v>
      </c>
      <c r="O35" s="5" t="str">
        <f t="shared" si="3"/>
        <v>76.606%</v>
      </c>
      <c r="P35" s="5">
        <f t="shared" si="4"/>
        <v>-7.8100000000000058E-2</v>
      </c>
      <c r="Q35" s="5" t="str">
        <f t="shared" si="5"/>
        <v>RC</v>
      </c>
      <c r="R35" s="5" t="str">
        <f t="shared" si="6"/>
        <v>98.042%</v>
      </c>
      <c r="S35" s="5">
        <f t="shared" si="7"/>
        <v>-5.0100000000000033E-2</v>
      </c>
      <c r="T35" s="5" t="str">
        <f t="shared" si="8"/>
        <v>RC</v>
      </c>
      <c r="U35" s="5" t="str">
        <f t="shared" si="9"/>
        <v>98.606%</v>
      </c>
      <c r="V35" s="5">
        <f t="shared" si="10"/>
        <v>-4</v>
      </c>
      <c r="W35" s="5" t="str">
        <f t="shared" si="11"/>
        <v>RC</v>
      </c>
      <c r="X35" s="5" t="str">
        <f t="shared" si="12"/>
        <v>99.866%</v>
      </c>
      <c r="Y35" s="5"/>
      <c r="Z35" t="str">
        <f>Z8&amp;": "&amp;AG8&amp;" ("&amp;TEXT(AH8,"0.00%")&amp;"), "&amp;AG15&amp;" actual ("&amp;TEXT(AH15,"0.00%")&amp;")"</f>
        <v>QE: 0 (0.00%), 0 actual (0.00%)</v>
      </c>
    </row>
    <row r="36" spans="1:30">
      <c r="A36">
        <v>80</v>
      </c>
      <c r="B36" t="s">
        <v>108</v>
      </c>
      <c r="C36">
        <v>490885546</v>
      </c>
      <c r="D36">
        <v>4.9859999999999998</v>
      </c>
      <c r="E36">
        <v>4.4606000000000003</v>
      </c>
      <c r="F36">
        <v>3849</v>
      </c>
      <c r="G36" t="s">
        <v>108</v>
      </c>
      <c r="H36">
        <v>392131352</v>
      </c>
      <c r="I36">
        <v>5.3391000000000002</v>
      </c>
      <c r="J36">
        <v>4.6401000000000003</v>
      </c>
      <c r="K36">
        <v>3851</v>
      </c>
      <c r="L36" s="5" t="b">
        <f t="shared" si="0"/>
        <v>1</v>
      </c>
      <c r="M36" s="5">
        <f t="shared" si="1"/>
        <v>98754194</v>
      </c>
      <c r="N36" s="5" t="str">
        <f t="shared" si="2"/>
        <v>QE</v>
      </c>
      <c r="O36" s="5" t="str">
        <f t="shared" si="3"/>
        <v>79.882%</v>
      </c>
      <c r="P36" s="5">
        <f t="shared" si="4"/>
        <v>-0.35310000000000041</v>
      </c>
      <c r="Q36" s="5" t="str">
        <f t="shared" si="5"/>
        <v>RC</v>
      </c>
      <c r="R36" s="5" t="str">
        <f t="shared" si="6"/>
        <v>93.387%</v>
      </c>
      <c r="S36" s="5">
        <f t="shared" si="7"/>
        <v>-0.17949999999999999</v>
      </c>
      <c r="T36" s="5" t="str">
        <f t="shared" si="8"/>
        <v>RC</v>
      </c>
      <c r="U36" s="5" t="str">
        <f t="shared" si="9"/>
        <v>96.132%</v>
      </c>
      <c r="V36" s="5">
        <f t="shared" si="10"/>
        <v>-2</v>
      </c>
      <c r="W36" s="5" t="str">
        <f t="shared" si="11"/>
        <v>RC</v>
      </c>
      <c r="X36" s="5" t="str">
        <f t="shared" si="12"/>
        <v>99.948%</v>
      </c>
      <c r="Y36" s="5"/>
    </row>
    <row r="37" spans="1:30">
      <c r="A37">
        <v>81</v>
      </c>
      <c r="B37" t="s">
        <v>98</v>
      </c>
      <c r="C37">
        <v>2329136</v>
      </c>
      <c r="D37">
        <v>1.72E-2</v>
      </c>
      <c r="E37">
        <v>1.6799999999999999E-2</v>
      </c>
      <c r="F37">
        <v>9</v>
      </c>
      <c r="G37" t="s">
        <v>98</v>
      </c>
      <c r="H37">
        <v>4435032</v>
      </c>
      <c r="I37">
        <v>0.05</v>
      </c>
      <c r="J37">
        <v>4.8399999999999999E-2</v>
      </c>
      <c r="K37">
        <v>57</v>
      </c>
      <c r="L37" s="5" t="b">
        <f t="shared" si="0"/>
        <v>1</v>
      </c>
      <c r="M37" s="5">
        <f t="shared" si="1"/>
        <v>-2105896</v>
      </c>
      <c r="N37" s="5" t="str">
        <f t="shared" si="2"/>
        <v>RC</v>
      </c>
      <c r="O37" s="5" t="str">
        <f t="shared" si="3"/>
        <v>52.517%</v>
      </c>
      <c r="P37" s="5">
        <f t="shared" si="4"/>
        <v>-3.2800000000000003E-2</v>
      </c>
      <c r="Q37" s="5" t="str">
        <f t="shared" si="5"/>
        <v>RC</v>
      </c>
      <c r="R37" s="5" t="str">
        <f t="shared" si="6"/>
        <v>34.400%</v>
      </c>
      <c r="S37" s="5">
        <f t="shared" si="7"/>
        <v>-3.1600000000000003E-2</v>
      </c>
      <c r="T37" s="5" t="str">
        <f t="shared" si="8"/>
        <v>RC</v>
      </c>
      <c r="U37" s="5" t="str">
        <f t="shared" si="9"/>
        <v>34.711%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/>
    </row>
    <row r="38" spans="1:30">
      <c r="A38">
        <v>82</v>
      </c>
      <c r="B38" t="s">
        <v>108</v>
      </c>
      <c r="C38">
        <v>492919503</v>
      </c>
      <c r="D38">
        <v>5.0719000000000003</v>
      </c>
      <c r="E38">
        <v>4.4812000000000003</v>
      </c>
      <c r="F38">
        <v>3849</v>
      </c>
      <c r="G38" t="s">
        <v>108</v>
      </c>
      <c r="H38">
        <v>389529253</v>
      </c>
      <c r="I38">
        <v>5.2297000000000002</v>
      </c>
      <c r="J38">
        <v>4.6154000000000002</v>
      </c>
      <c r="K38">
        <v>3851</v>
      </c>
      <c r="L38" s="5" t="b">
        <f t="shared" si="0"/>
        <v>1</v>
      </c>
      <c r="M38" s="5">
        <f t="shared" si="1"/>
        <v>103390250</v>
      </c>
      <c r="N38" s="5" t="str">
        <f t="shared" si="2"/>
        <v>QE</v>
      </c>
      <c r="O38" s="5" t="str">
        <f t="shared" si="3"/>
        <v>79.025%</v>
      </c>
      <c r="P38" s="5">
        <f t="shared" si="4"/>
        <v>-0.15779999999999994</v>
      </c>
      <c r="Q38" s="5" t="str">
        <f t="shared" si="5"/>
        <v>RC</v>
      </c>
      <c r="R38" s="5" t="str">
        <f t="shared" si="6"/>
        <v>96.983%</v>
      </c>
      <c r="S38" s="5">
        <f t="shared" si="7"/>
        <v>-0.13419999999999987</v>
      </c>
      <c r="T38" s="5" t="str">
        <f t="shared" si="8"/>
        <v>RC</v>
      </c>
      <c r="U38" s="5" t="str">
        <f t="shared" si="9"/>
        <v>97.092%</v>
      </c>
      <c r="V38" s="5">
        <f t="shared" si="10"/>
        <v>-2</v>
      </c>
      <c r="W38" s="5" t="str">
        <f t="shared" si="11"/>
        <v>RC</v>
      </c>
      <c r="X38" s="5" t="str">
        <f t="shared" si="12"/>
        <v>99.948%</v>
      </c>
      <c r="Y38" s="5"/>
    </row>
    <row r="39" spans="1:30">
      <c r="A39">
        <v>83</v>
      </c>
      <c r="B39" t="s">
        <v>108</v>
      </c>
      <c r="C39">
        <v>490837864</v>
      </c>
      <c r="D39">
        <v>5.0141</v>
      </c>
      <c r="E39">
        <v>4.484</v>
      </c>
      <c r="F39">
        <v>3849</v>
      </c>
      <c r="G39" t="s">
        <v>108</v>
      </c>
      <c r="H39">
        <v>392647608</v>
      </c>
      <c r="I39">
        <v>5.3266</v>
      </c>
      <c r="J39">
        <v>4.6714000000000002</v>
      </c>
      <c r="K39">
        <v>3851</v>
      </c>
      <c r="L39" s="5" t="b">
        <f t="shared" si="0"/>
        <v>1</v>
      </c>
      <c r="M39" s="5">
        <f t="shared" si="1"/>
        <v>98190256</v>
      </c>
      <c r="N39" s="5" t="str">
        <f t="shared" si="2"/>
        <v>QE</v>
      </c>
      <c r="O39" s="5" t="str">
        <f t="shared" si="3"/>
        <v>79.995%</v>
      </c>
      <c r="P39" s="5">
        <f t="shared" si="4"/>
        <v>-0.3125</v>
      </c>
      <c r="Q39" s="5" t="str">
        <f t="shared" si="5"/>
        <v>RC</v>
      </c>
      <c r="R39" s="5" t="str">
        <f t="shared" si="6"/>
        <v>94.133%</v>
      </c>
      <c r="S39" s="5">
        <f t="shared" si="7"/>
        <v>-0.18740000000000023</v>
      </c>
      <c r="T39" s="5" t="str">
        <f t="shared" si="8"/>
        <v>RC</v>
      </c>
      <c r="U39" s="5" t="str">
        <f t="shared" si="9"/>
        <v>95.988%</v>
      </c>
      <c r="V39" s="5">
        <f t="shared" si="10"/>
        <v>-2</v>
      </c>
      <c r="W39" s="5" t="str">
        <f t="shared" si="11"/>
        <v>RC</v>
      </c>
      <c r="X39" s="5" t="str">
        <f t="shared" si="12"/>
        <v>99.948%</v>
      </c>
      <c r="Y39" s="5"/>
    </row>
    <row r="40" spans="1:30">
      <c r="A40">
        <v>84</v>
      </c>
      <c r="B40" t="s">
        <v>108</v>
      </c>
      <c r="C40">
        <v>490833905</v>
      </c>
      <c r="D40">
        <v>5</v>
      </c>
      <c r="E40">
        <v>4.4858000000000002</v>
      </c>
      <c r="F40">
        <v>3849</v>
      </c>
      <c r="G40" t="s">
        <v>108</v>
      </c>
      <c r="H40">
        <v>383757066</v>
      </c>
      <c r="I40">
        <v>5.1734999999999998</v>
      </c>
      <c r="J40">
        <v>4.5602</v>
      </c>
      <c r="K40">
        <v>3851</v>
      </c>
      <c r="L40" s="5" t="b">
        <f t="shared" si="0"/>
        <v>1</v>
      </c>
      <c r="M40" s="5">
        <f t="shared" si="1"/>
        <v>107076839</v>
      </c>
      <c r="N40" s="5" t="str">
        <f t="shared" si="2"/>
        <v>QE</v>
      </c>
      <c r="O40" s="5" t="str">
        <f t="shared" si="3"/>
        <v>78.185%</v>
      </c>
      <c r="P40" s="5">
        <f t="shared" si="4"/>
        <v>-0.17349999999999977</v>
      </c>
      <c r="Q40" s="5" t="str">
        <f t="shared" si="5"/>
        <v>RC</v>
      </c>
      <c r="R40" s="5" t="str">
        <f t="shared" si="6"/>
        <v>96.646%</v>
      </c>
      <c r="S40" s="5">
        <f t="shared" si="7"/>
        <v>-7.43999999999998E-2</v>
      </c>
      <c r="T40" s="5" t="str">
        <f t="shared" si="8"/>
        <v>RC</v>
      </c>
      <c r="U40" s="5" t="str">
        <f t="shared" si="9"/>
        <v>98.368%</v>
      </c>
      <c r="V40" s="5">
        <f t="shared" si="10"/>
        <v>-2</v>
      </c>
      <c r="W40" s="5" t="str">
        <f t="shared" si="11"/>
        <v>RC</v>
      </c>
      <c r="X40" s="5" t="str">
        <f t="shared" si="12"/>
        <v>99.948%</v>
      </c>
      <c r="Y40" s="5"/>
    </row>
    <row r="41" spans="1:30" ht="30">
      <c r="A41">
        <v>86</v>
      </c>
      <c r="B41" t="s">
        <v>104</v>
      </c>
      <c r="C41">
        <v>651797553</v>
      </c>
      <c r="D41">
        <v>6.8563000000000001</v>
      </c>
      <c r="E41">
        <v>5.9916999999999998</v>
      </c>
      <c r="F41">
        <v>5037</v>
      </c>
      <c r="G41" t="s">
        <v>104</v>
      </c>
      <c r="H41">
        <v>542568048</v>
      </c>
      <c r="I41">
        <v>7.6828000000000003</v>
      </c>
      <c r="J41">
        <v>6.4634999999999998</v>
      </c>
      <c r="K41">
        <v>5041</v>
      </c>
      <c r="L41" s="5" t="b">
        <f t="shared" si="0"/>
        <v>1</v>
      </c>
      <c r="M41" s="5">
        <f t="shared" si="1"/>
        <v>109229505</v>
      </c>
      <c r="N41" s="5" t="str">
        <f t="shared" si="2"/>
        <v>QE</v>
      </c>
      <c r="O41" s="5" t="str">
        <f t="shared" si="3"/>
        <v>83.242%</v>
      </c>
      <c r="P41" s="5">
        <f t="shared" si="4"/>
        <v>-0.82650000000000023</v>
      </c>
      <c r="Q41" s="5" t="str">
        <f t="shared" si="5"/>
        <v>RC</v>
      </c>
      <c r="R41" s="5" t="str">
        <f t="shared" si="6"/>
        <v>89.242%</v>
      </c>
      <c r="S41" s="5">
        <f t="shared" si="7"/>
        <v>-0.4718</v>
      </c>
      <c r="T41" s="5" t="str">
        <f t="shared" si="8"/>
        <v>RC</v>
      </c>
      <c r="U41" s="5" t="str">
        <f t="shared" si="9"/>
        <v>92.701%</v>
      </c>
      <c r="V41" s="5">
        <f t="shared" si="10"/>
        <v>-4</v>
      </c>
      <c r="W41" s="5" t="str">
        <f t="shared" si="11"/>
        <v>RC</v>
      </c>
      <c r="X41" s="5" t="str">
        <f t="shared" si="12"/>
        <v>99.921%</v>
      </c>
      <c r="Y41" s="5"/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</row>
    <row r="42" spans="1:30">
      <c r="A42">
        <v>88</v>
      </c>
      <c r="B42" t="s">
        <v>104</v>
      </c>
      <c r="C42">
        <v>652087878</v>
      </c>
      <c r="D42">
        <v>6.7718999999999996</v>
      </c>
      <c r="E42">
        <v>5.8926999999999996</v>
      </c>
      <c r="F42">
        <v>5037</v>
      </c>
      <c r="G42" t="s">
        <v>104</v>
      </c>
      <c r="H42">
        <v>537527224</v>
      </c>
      <c r="I42">
        <v>7.6608999999999998</v>
      </c>
      <c r="J42">
        <v>6.3517000000000001</v>
      </c>
      <c r="K42">
        <v>5041</v>
      </c>
      <c r="L42" s="5" t="b">
        <f t="shared" si="0"/>
        <v>1</v>
      </c>
      <c r="M42" s="5">
        <f t="shared" si="1"/>
        <v>114560654</v>
      </c>
      <c r="N42" s="5" t="str">
        <f t="shared" si="2"/>
        <v>QE</v>
      </c>
      <c r="O42" s="5" t="str">
        <f t="shared" si="3"/>
        <v>82.432%</v>
      </c>
      <c r="P42" s="5">
        <f t="shared" si="4"/>
        <v>-0.88900000000000023</v>
      </c>
      <c r="Q42" s="5" t="str">
        <f t="shared" si="5"/>
        <v>RC</v>
      </c>
      <c r="R42" s="5" t="str">
        <f t="shared" si="6"/>
        <v>88.396%</v>
      </c>
      <c r="S42" s="5">
        <f t="shared" si="7"/>
        <v>-0.45900000000000052</v>
      </c>
      <c r="T42" s="5" t="str">
        <f t="shared" si="8"/>
        <v>RC</v>
      </c>
      <c r="U42" s="5" t="str">
        <f t="shared" si="9"/>
        <v>92.774%</v>
      </c>
      <c r="V42" s="5">
        <f t="shared" si="10"/>
        <v>-4</v>
      </c>
      <c r="W42" s="5" t="str">
        <f t="shared" si="11"/>
        <v>RC</v>
      </c>
      <c r="X42" s="5" t="str">
        <f t="shared" si="12"/>
        <v>99.921%</v>
      </c>
      <c r="Y42" s="5"/>
      <c r="Z42" s="5" t="s">
        <v>30</v>
      </c>
      <c r="AA42">
        <f>SUMIFS(C2:C68,C2:C68,"&gt;0",H2:H68,"&gt;0")</f>
        <v>40396298838</v>
      </c>
      <c r="AB42">
        <f>SUMIFS(D2:D68,D2:D68,"&gt;0",I2:I68,"&gt;0")</f>
        <v>432.09569999999997</v>
      </c>
      <c r="AC42">
        <f>SUMIFS(E2:E68,E2:E68,"&gt;0",J2:J68,"&gt;0")</f>
        <v>368.57430000000005</v>
      </c>
      <c r="AD42">
        <f>SUMIFS(F2:F68,F2:F68,"&gt;0",K2:K68,"&gt;0")</f>
        <v>307503</v>
      </c>
    </row>
    <row r="43" spans="1:30">
      <c r="A43">
        <v>90</v>
      </c>
      <c r="B43" t="s">
        <v>104</v>
      </c>
      <c r="C43">
        <v>651221607</v>
      </c>
      <c r="D43">
        <v>6.6718999999999999</v>
      </c>
      <c r="E43">
        <v>5.8956999999999997</v>
      </c>
      <c r="F43">
        <v>5037</v>
      </c>
      <c r="G43" t="s">
        <v>104</v>
      </c>
      <c r="H43">
        <v>541129642</v>
      </c>
      <c r="I43">
        <v>7.5171999999999999</v>
      </c>
      <c r="J43">
        <v>6.3533999999999997</v>
      </c>
      <c r="K43">
        <v>5041</v>
      </c>
      <c r="L43" s="5" t="b">
        <f t="shared" si="0"/>
        <v>1</v>
      </c>
      <c r="M43" s="5">
        <f t="shared" si="1"/>
        <v>110091965</v>
      </c>
      <c r="N43" s="5" t="str">
        <f t="shared" si="2"/>
        <v>QE</v>
      </c>
      <c r="O43" s="5" t="str">
        <f t="shared" si="3"/>
        <v>83.095%</v>
      </c>
      <c r="P43" s="5">
        <f t="shared" si="4"/>
        <v>-0.84529999999999994</v>
      </c>
      <c r="Q43" s="5" t="str">
        <f t="shared" si="5"/>
        <v>RC</v>
      </c>
      <c r="R43" s="5" t="str">
        <f t="shared" si="6"/>
        <v>88.755%</v>
      </c>
      <c r="S43" s="5">
        <f t="shared" si="7"/>
        <v>-0.4577</v>
      </c>
      <c r="T43" s="5" t="str">
        <f t="shared" si="8"/>
        <v>RC</v>
      </c>
      <c r="U43" s="5" t="str">
        <f t="shared" si="9"/>
        <v>92.796%</v>
      </c>
      <c r="V43" s="5">
        <f t="shared" si="10"/>
        <v>-4</v>
      </c>
      <c r="W43" s="5" t="str">
        <f t="shared" si="11"/>
        <v>RC</v>
      </c>
      <c r="X43" s="5" t="str">
        <f t="shared" si="12"/>
        <v>99.921%</v>
      </c>
      <c r="Y43" s="5"/>
      <c r="Z43" s="5" t="s">
        <v>31</v>
      </c>
      <c r="AA43">
        <f>SUMIFS(H2:H68,C2:C68,"&gt;0",H2:H68,"&gt;0")</f>
        <v>34558845996</v>
      </c>
      <c r="AB43">
        <f>SUMIFS(I2:I68,D2:D68,"&gt;0",I2:I68,"&gt;0")</f>
        <v>505.01369999999991</v>
      </c>
      <c r="AC43">
        <f>SUMIFS(J2:J68,E2:E68,"&gt;0",J2:J68,"&gt;0")</f>
        <v>414.51420000000002</v>
      </c>
      <c r="AD43">
        <f>SUMIFS(K2:K68,F2:F68,"&gt;0",K2:K68,"&gt;0")</f>
        <v>307871</v>
      </c>
    </row>
    <row r="44" spans="1:30">
      <c r="A44">
        <v>92</v>
      </c>
      <c r="B44" t="s">
        <v>104</v>
      </c>
      <c r="C44">
        <v>651431485</v>
      </c>
      <c r="D44">
        <v>6.8562000000000003</v>
      </c>
      <c r="E44">
        <v>5.9032999999999998</v>
      </c>
      <c r="F44">
        <v>5037</v>
      </c>
      <c r="G44" t="s">
        <v>104</v>
      </c>
      <c r="H44">
        <v>543582405</v>
      </c>
      <c r="I44">
        <v>7.6921999999999997</v>
      </c>
      <c r="J44">
        <v>6.3613</v>
      </c>
      <c r="K44">
        <v>5041</v>
      </c>
      <c r="L44" s="5" t="b">
        <f t="shared" si="0"/>
        <v>1</v>
      </c>
      <c r="M44" s="5">
        <f t="shared" si="1"/>
        <v>107849080</v>
      </c>
      <c r="N44" s="5" t="str">
        <f t="shared" si="2"/>
        <v>QE</v>
      </c>
      <c r="O44" s="5" t="str">
        <f t="shared" si="3"/>
        <v>83.444%</v>
      </c>
      <c r="P44" s="5">
        <f t="shared" si="4"/>
        <v>-0.83599999999999941</v>
      </c>
      <c r="Q44" s="5" t="str">
        <f t="shared" si="5"/>
        <v>RC</v>
      </c>
      <c r="R44" s="5" t="str">
        <f t="shared" si="6"/>
        <v>89.132%</v>
      </c>
      <c r="S44" s="5">
        <f t="shared" si="7"/>
        <v>-0.45800000000000018</v>
      </c>
      <c r="T44" s="5" t="str">
        <f t="shared" si="8"/>
        <v>RC</v>
      </c>
      <c r="U44" s="5" t="str">
        <f t="shared" si="9"/>
        <v>92.800%</v>
      </c>
      <c r="V44" s="5">
        <f t="shared" si="10"/>
        <v>-4</v>
      </c>
      <c r="W44" s="5" t="str">
        <f t="shared" si="11"/>
        <v>RC</v>
      </c>
      <c r="X44" s="5" t="str">
        <f t="shared" si="12"/>
        <v>99.921%</v>
      </c>
      <c r="Y44" s="5"/>
    </row>
    <row r="45" spans="1:30">
      <c r="A45">
        <v>93</v>
      </c>
      <c r="B45" t="s">
        <v>104</v>
      </c>
      <c r="C45">
        <v>651444791</v>
      </c>
      <c r="D45">
        <v>6.6952999999999996</v>
      </c>
      <c r="E45">
        <v>5.8628</v>
      </c>
      <c r="F45">
        <v>5037</v>
      </c>
      <c r="G45" t="s">
        <v>104</v>
      </c>
      <c r="H45">
        <v>554301281</v>
      </c>
      <c r="I45">
        <v>7.7438000000000002</v>
      </c>
      <c r="J45">
        <v>6.4455999999999998</v>
      </c>
      <c r="K45">
        <v>5041</v>
      </c>
      <c r="L45" s="5" t="b">
        <f t="shared" si="0"/>
        <v>1</v>
      </c>
      <c r="M45" s="5">
        <f t="shared" si="1"/>
        <v>97143510</v>
      </c>
      <c r="N45" s="5" t="str">
        <f t="shared" si="2"/>
        <v>QE</v>
      </c>
      <c r="O45" s="5" t="str">
        <f t="shared" si="3"/>
        <v>85.088%</v>
      </c>
      <c r="P45" s="5">
        <f t="shared" si="4"/>
        <v>-1.0485000000000007</v>
      </c>
      <c r="Q45" s="5" t="str">
        <f t="shared" si="5"/>
        <v>RC</v>
      </c>
      <c r="R45" s="5" t="str">
        <f t="shared" si="6"/>
        <v>86.460%</v>
      </c>
      <c r="S45" s="5">
        <f t="shared" si="7"/>
        <v>-0.58279999999999976</v>
      </c>
      <c r="T45" s="5" t="str">
        <f t="shared" si="8"/>
        <v>RC</v>
      </c>
      <c r="U45" s="5" t="str">
        <f t="shared" si="9"/>
        <v>90.958%</v>
      </c>
      <c r="V45" s="5">
        <f t="shared" si="10"/>
        <v>-4</v>
      </c>
      <c r="W45" s="5" t="str">
        <f t="shared" si="11"/>
        <v>RC</v>
      </c>
      <c r="X45" s="5" t="str">
        <f t="shared" si="12"/>
        <v>99.921%</v>
      </c>
      <c r="Y45" s="5"/>
    </row>
    <row r="46" spans="1:30">
      <c r="A46">
        <v>94</v>
      </c>
      <c r="B46" t="s">
        <v>104</v>
      </c>
      <c r="C46">
        <v>856609948</v>
      </c>
      <c r="D46">
        <v>9.0124999999999993</v>
      </c>
      <c r="E46">
        <v>7.7207999999999997</v>
      </c>
      <c r="F46">
        <v>6531</v>
      </c>
      <c r="G46" t="s">
        <v>104</v>
      </c>
      <c r="H46">
        <v>699910743</v>
      </c>
      <c r="I46">
        <v>10.2094</v>
      </c>
      <c r="J46">
        <v>8.3475000000000001</v>
      </c>
      <c r="K46">
        <v>6535</v>
      </c>
      <c r="L46" s="5" t="b">
        <f t="shared" si="0"/>
        <v>1</v>
      </c>
      <c r="M46" s="5">
        <f t="shared" si="1"/>
        <v>156699205</v>
      </c>
      <c r="N46" s="5" t="str">
        <f t="shared" si="2"/>
        <v>QE</v>
      </c>
      <c r="O46" s="5" t="str">
        <f t="shared" si="3"/>
        <v>81.707%</v>
      </c>
      <c r="P46" s="5">
        <f t="shared" si="4"/>
        <v>-1.1969000000000012</v>
      </c>
      <c r="Q46" s="5" t="str">
        <f t="shared" si="5"/>
        <v>RC</v>
      </c>
      <c r="R46" s="5" t="str">
        <f t="shared" si="6"/>
        <v>88.276%</v>
      </c>
      <c r="S46" s="5">
        <f t="shared" si="7"/>
        <v>-0.62670000000000048</v>
      </c>
      <c r="T46" s="5" t="str">
        <f t="shared" si="8"/>
        <v>RC</v>
      </c>
      <c r="U46" s="5" t="str">
        <f t="shared" si="9"/>
        <v>92.492%</v>
      </c>
      <c r="V46" s="5">
        <f t="shared" si="10"/>
        <v>-4</v>
      </c>
      <c r="W46" s="5" t="str">
        <f t="shared" si="11"/>
        <v>RC</v>
      </c>
      <c r="X46" s="5" t="str">
        <f t="shared" si="12"/>
        <v>99.939%</v>
      </c>
      <c r="Y46" s="5"/>
      <c r="Z46" t="s">
        <v>116</v>
      </c>
      <c r="AA46" s="23">
        <f>AA42/AA43</f>
        <v>1.1689134192349957</v>
      </c>
      <c r="AB46" s="23">
        <f>AB42/AB43</f>
        <v>0.85561183785707207</v>
      </c>
      <c r="AC46" s="23">
        <f>AC42/AC43</f>
        <v>0.88917170991970851</v>
      </c>
      <c r="AD46" s="23">
        <f>AD42/AD43</f>
        <v>0.99880469417385853</v>
      </c>
    </row>
    <row r="47" spans="1:30">
      <c r="A47">
        <v>96</v>
      </c>
      <c r="B47" t="s">
        <v>104</v>
      </c>
      <c r="C47">
        <v>857368985</v>
      </c>
      <c r="D47">
        <v>9.1531000000000002</v>
      </c>
      <c r="E47">
        <v>7.7629000000000001</v>
      </c>
      <c r="F47">
        <v>6531</v>
      </c>
      <c r="G47" t="s">
        <v>104</v>
      </c>
      <c r="H47">
        <v>711864320</v>
      </c>
      <c r="I47">
        <v>10.267099999999999</v>
      </c>
      <c r="J47">
        <v>8.4602000000000004</v>
      </c>
      <c r="K47">
        <v>6535</v>
      </c>
      <c r="L47" s="5" t="b">
        <f t="shared" si="0"/>
        <v>1</v>
      </c>
      <c r="M47" s="5">
        <f t="shared" si="1"/>
        <v>145504665</v>
      </c>
      <c r="N47" s="5" t="str">
        <f t="shared" si="2"/>
        <v>QE</v>
      </c>
      <c r="O47" s="5" t="str">
        <f t="shared" si="3"/>
        <v>83.029%</v>
      </c>
      <c r="P47" s="5">
        <f t="shared" si="4"/>
        <v>-1.113999999999999</v>
      </c>
      <c r="Q47" s="5" t="str">
        <f t="shared" si="5"/>
        <v>RC</v>
      </c>
      <c r="R47" s="5" t="str">
        <f t="shared" si="6"/>
        <v>89.150%</v>
      </c>
      <c r="S47" s="5">
        <f t="shared" si="7"/>
        <v>-0.69730000000000025</v>
      </c>
      <c r="T47" s="5" t="str">
        <f t="shared" si="8"/>
        <v>RC</v>
      </c>
      <c r="U47" s="5" t="str">
        <f t="shared" si="9"/>
        <v>91.758%</v>
      </c>
      <c r="V47" s="5">
        <f t="shared" si="10"/>
        <v>-4</v>
      </c>
      <c r="W47" s="5" t="str">
        <f t="shared" si="11"/>
        <v>RC</v>
      </c>
      <c r="X47" s="5" t="str">
        <f t="shared" si="12"/>
        <v>99.939%</v>
      </c>
      <c r="Y47" s="5"/>
      <c r="Z47" t="s">
        <v>117</v>
      </c>
      <c r="AA47" s="23">
        <f>1/AA46</f>
        <v>0.85549535452716219</v>
      </c>
      <c r="AB47" s="23">
        <f>1/AB46</f>
        <v>1.1687542829053841</v>
      </c>
      <c r="AC47" s="23">
        <f>1/AC46</f>
        <v>1.1246421684854315</v>
      </c>
      <c r="AD47" s="23">
        <f>1/AD46</f>
        <v>1.0011967362920036</v>
      </c>
    </row>
    <row r="48" spans="1:30">
      <c r="A48">
        <v>98</v>
      </c>
      <c r="B48" t="s">
        <v>104</v>
      </c>
      <c r="C48">
        <v>856372498</v>
      </c>
      <c r="D48">
        <v>9.2015999999999991</v>
      </c>
      <c r="E48">
        <v>7.7647000000000004</v>
      </c>
      <c r="F48">
        <v>6531</v>
      </c>
      <c r="G48" t="s">
        <v>104</v>
      </c>
      <c r="H48">
        <v>707428858</v>
      </c>
      <c r="I48">
        <v>10.1797</v>
      </c>
      <c r="J48">
        <v>8.3442000000000007</v>
      </c>
      <c r="K48">
        <v>6535</v>
      </c>
      <c r="L48" s="5" t="b">
        <f t="shared" si="0"/>
        <v>1</v>
      </c>
      <c r="M48" s="5">
        <f t="shared" si="1"/>
        <v>148943640</v>
      </c>
      <c r="N48" s="5" t="str">
        <f t="shared" si="2"/>
        <v>QE</v>
      </c>
      <c r="O48" s="5" t="str">
        <f t="shared" si="3"/>
        <v>82.608%</v>
      </c>
      <c r="P48" s="5">
        <f t="shared" si="4"/>
        <v>-0.9781000000000013</v>
      </c>
      <c r="Q48" s="5" t="str">
        <f t="shared" si="5"/>
        <v>RC</v>
      </c>
      <c r="R48" s="5" t="str">
        <f t="shared" si="6"/>
        <v>90.392%</v>
      </c>
      <c r="S48" s="5">
        <f t="shared" si="7"/>
        <v>-0.57950000000000035</v>
      </c>
      <c r="T48" s="5" t="str">
        <f t="shared" si="8"/>
        <v>RC</v>
      </c>
      <c r="U48" s="5" t="str">
        <f t="shared" si="9"/>
        <v>93.055%</v>
      </c>
      <c r="V48" s="5">
        <f t="shared" si="10"/>
        <v>-4</v>
      </c>
      <c r="W48" s="5" t="str">
        <f t="shared" si="11"/>
        <v>RC</v>
      </c>
      <c r="X48" s="5" t="str">
        <f t="shared" si="12"/>
        <v>99.939%</v>
      </c>
      <c r="Y48" s="5"/>
    </row>
    <row r="49" spans="1:25">
      <c r="A49">
        <v>99</v>
      </c>
      <c r="B49" t="s">
        <v>104</v>
      </c>
      <c r="C49">
        <v>856682415</v>
      </c>
      <c r="D49">
        <v>9.1219000000000001</v>
      </c>
      <c r="E49">
        <v>7.7271000000000001</v>
      </c>
      <c r="F49">
        <v>6531</v>
      </c>
      <c r="G49" t="s">
        <v>104</v>
      </c>
      <c r="H49">
        <v>698139783</v>
      </c>
      <c r="I49">
        <v>10.125</v>
      </c>
      <c r="J49">
        <v>8.3064</v>
      </c>
      <c r="K49">
        <v>6535</v>
      </c>
      <c r="L49" s="5" t="b">
        <f t="shared" si="0"/>
        <v>1</v>
      </c>
      <c r="M49" s="5">
        <f t="shared" si="1"/>
        <v>158542632</v>
      </c>
      <c r="N49" s="5" t="str">
        <f t="shared" si="2"/>
        <v>QE</v>
      </c>
      <c r="O49" s="5" t="str">
        <f t="shared" si="3"/>
        <v>81.493%</v>
      </c>
      <c r="P49" s="5">
        <f t="shared" si="4"/>
        <v>-1.0030999999999999</v>
      </c>
      <c r="Q49" s="5" t="str">
        <f t="shared" si="5"/>
        <v>RC</v>
      </c>
      <c r="R49" s="5" t="str">
        <f t="shared" si="6"/>
        <v>90.093%</v>
      </c>
      <c r="S49" s="5">
        <f t="shared" si="7"/>
        <v>-0.57929999999999993</v>
      </c>
      <c r="T49" s="5" t="str">
        <f t="shared" si="8"/>
        <v>RC</v>
      </c>
      <c r="U49" s="5" t="str">
        <f t="shared" si="9"/>
        <v>93.026%</v>
      </c>
      <c r="V49" s="5">
        <f t="shared" si="10"/>
        <v>-4</v>
      </c>
      <c r="W49" s="5" t="str">
        <f t="shared" si="11"/>
        <v>RC</v>
      </c>
      <c r="X49" s="5" t="str">
        <f t="shared" si="12"/>
        <v>99.939%</v>
      </c>
      <c r="Y49" s="5"/>
    </row>
    <row r="50" spans="1:25">
      <c r="A50">
        <v>101</v>
      </c>
      <c r="B50" t="s">
        <v>104</v>
      </c>
      <c r="C50">
        <v>856966042</v>
      </c>
      <c r="D50">
        <v>9.2453000000000003</v>
      </c>
      <c r="E50">
        <v>7.7427000000000001</v>
      </c>
      <c r="F50">
        <v>6531</v>
      </c>
      <c r="G50" t="s">
        <v>104</v>
      </c>
      <c r="H50">
        <v>704926230</v>
      </c>
      <c r="I50">
        <v>10.2125</v>
      </c>
      <c r="J50">
        <v>8.4065999999999992</v>
      </c>
      <c r="K50">
        <v>6535</v>
      </c>
      <c r="L50" s="5" t="b">
        <f t="shared" si="0"/>
        <v>1</v>
      </c>
      <c r="M50" s="5">
        <f t="shared" si="1"/>
        <v>152039812</v>
      </c>
      <c r="N50" s="5" t="str">
        <f t="shared" si="2"/>
        <v>QE</v>
      </c>
      <c r="O50" s="5" t="str">
        <f t="shared" si="3"/>
        <v>82.258%</v>
      </c>
      <c r="P50" s="5">
        <f t="shared" si="4"/>
        <v>-0.96720000000000006</v>
      </c>
      <c r="Q50" s="5" t="str">
        <f t="shared" si="5"/>
        <v>RC</v>
      </c>
      <c r="R50" s="5" t="str">
        <f t="shared" si="6"/>
        <v>90.529%</v>
      </c>
      <c r="S50" s="5">
        <f t="shared" si="7"/>
        <v>-0.66389999999999905</v>
      </c>
      <c r="T50" s="5" t="str">
        <f t="shared" si="8"/>
        <v>RC</v>
      </c>
      <c r="U50" s="5" t="str">
        <f t="shared" si="9"/>
        <v>92.103%</v>
      </c>
      <c r="V50" s="5">
        <f t="shared" si="10"/>
        <v>-4</v>
      </c>
      <c r="W50" s="5" t="str">
        <f t="shared" si="11"/>
        <v>RC</v>
      </c>
      <c r="X50" s="5" t="str">
        <f t="shared" si="12"/>
        <v>99.939%</v>
      </c>
      <c r="Y50" s="5"/>
    </row>
    <row r="51" spans="1:25">
      <c r="A51">
        <v>103</v>
      </c>
      <c r="B51" t="s">
        <v>104</v>
      </c>
      <c r="C51">
        <v>651512002</v>
      </c>
      <c r="D51">
        <v>6.7718999999999996</v>
      </c>
      <c r="E51">
        <v>5.8940999999999999</v>
      </c>
      <c r="F51">
        <v>5037</v>
      </c>
      <c r="G51" t="s">
        <v>104</v>
      </c>
      <c r="H51">
        <v>543553481</v>
      </c>
      <c r="I51">
        <v>7.5422000000000002</v>
      </c>
      <c r="J51">
        <v>6.3909000000000002</v>
      </c>
      <c r="K51">
        <v>5041</v>
      </c>
      <c r="L51" s="5" t="b">
        <f t="shared" si="0"/>
        <v>1</v>
      </c>
      <c r="M51" s="5">
        <f t="shared" si="1"/>
        <v>107958521</v>
      </c>
      <c r="N51" s="5" t="str">
        <f t="shared" si="2"/>
        <v>QE</v>
      </c>
      <c r="O51" s="5" t="str">
        <f t="shared" si="3"/>
        <v>83.430%</v>
      </c>
      <c r="P51" s="5">
        <f t="shared" si="4"/>
        <v>-0.77030000000000065</v>
      </c>
      <c r="Q51" s="5" t="str">
        <f t="shared" si="5"/>
        <v>RC</v>
      </c>
      <c r="R51" s="5" t="str">
        <f t="shared" si="6"/>
        <v>89.787%</v>
      </c>
      <c r="S51" s="5">
        <f t="shared" si="7"/>
        <v>-0.49680000000000035</v>
      </c>
      <c r="T51" s="5" t="str">
        <f t="shared" si="8"/>
        <v>RC</v>
      </c>
      <c r="U51" s="5" t="str">
        <f t="shared" si="9"/>
        <v>92.226%</v>
      </c>
      <c r="V51" s="5">
        <f t="shared" si="10"/>
        <v>-4</v>
      </c>
      <c r="W51" s="5" t="str">
        <f t="shared" si="11"/>
        <v>RC</v>
      </c>
      <c r="X51" s="5" t="str">
        <f t="shared" si="12"/>
        <v>99.921%</v>
      </c>
      <c r="Y51" s="5"/>
    </row>
    <row r="52" spans="1:25">
      <c r="A52">
        <v>105</v>
      </c>
      <c r="B52" t="s">
        <v>104</v>
      </c>
      <c r="C52">
        <v>945626544</v>
      </c>
      <c r="D52">
        <v>10.1829</v>
      </c>
      <c r="E52">
        <v>8.5738000000000003</v>
      </c>
      <c r="F52">
        <v>7115</v>
      </c>
      <c r="G52" t="s">
        <v>104</v>
      </c>
      <c r="H52">
        <v>794335893</v>
      </c>
      <c r="I52">
        <v>11.85</v>
      </c>
      <c r="J52">
        <v>9.5449000000000002</v>
      </c>
      <c r="K52">
        <v>7119</v>
      </c>
      <c r="L52" s="5" t="b">
        <f t="shared" si="0"/>
        <v>1</v>
      </c>
      <c r="M52" s="5">
        <f t="shared" si="1"/>
        <v>151290651</v>
      </c>
      <c r="N52" s="5" t="str">
        <f t="shared" si="2"/>
        <v>QE</v>
      </c>
      <c r="O52" s="5" t="str">
        <f t="shared" si="3"/>
        <v>84.001%</v>
      </c>
      <c r="P52" s="5">
        <f t="shared" si="4"/>
        <v>-1.6670999999999996</v>
      </c>
      <c r="Q52" s="5" t="str">
        <f t="shared" si="5"/>
        <v>RC</v>
      </c>
      <c r="R52" s="5" t="str">
        <f t="shared" si="6"/>
        <v>85.932%</v>
      </c>
      <c r="S52" s="5">
        <f t="shared" si="7"/>
        <v>-0.97109999999999985</v>
      </c>
      <c r="T52" s="5" t="str">
        <f t="shared" si="8"/>
        <v>RC</v>
      </c>
      <c r="U52" s="5" t="str">
        <f t="shared" si="9"/>
        <v>89.826%</v>
      </c>
      <c r="V52" s="5">
        <f t="shared" si="10"/>
        <v>-4</v>
      </c>
      <c r="W52" s="5" t="str">
        <f t="shared" si="11"/>
        <v>RC</v>
      </c>
      <c r="X52" s="5" t="str">
        <f t="shared" si="12"/>
        <v>99.944%</v>
      </c>
      <c r="Y52" s="5"/>
    </row>
    <row r="53" spans="1:25">
      <c r="A53">
        <v>106</v>
      </c>
      <c r="B53" t="s">
        <v>104</v>
      </c>
      <c r="C53">
        <v>675290592</v>
      </c>
      <c r="D53">
        <v>7.0171999999999999</v>
      </c>
      <c r="E53">
        <v>6.1205999999999996</v>
      </c>
      <c r="F53">
        <v>5227</v>
      </c>
      <c r="G53" t="s">
        <v>104</v>
      </c>
      <c r="H53">
        <v>551425674</v>
      </c>
      <c r="I53">
        <v>7.7656000000000001</v>
      </c>
      <c r="J53">
        <v>6.5505000000000004</v>
      </c>
      <c r="K53">
        <v>5231</v>
      </c>
      <c r="L53" s="5" t="b">
        <f t="shared" si="0"/>
        <v>1</v>
      </c>
      <c r="M53" s="5">
        <f t="shared" si="1"/>
        <v>123864918</v>
      </c>
      <c r="N53" s="5" t="str">
        <f t="shared" si="2"/>
        <v>QE</v>
      </c>
      <c r="O53" s="5" t="str">
        <f t="shared" si="3"/>
        <v>81.658%</v>
      </c>
      <c r="P53" s="5">
        <f t="shared" si="4"/>
        <v>-0.74840000000000018</v>
      </c>
      <c r="Q53" s="5" t="str">
        <f t="shared" si="5"/>
        <v>RC</v>
      </c>
      <c r="R53" s="5" t="str">
        <f t="shared" si="6"/>
        <v>90.363%</v>
      </c>
      <c r="S53" s="5">
        <f t="shared" si="7"/>
        <v>-0.42990000000000084</v>
      </c>
      <c r="T53" s="5" t="str">
        <f t="shared" si="8"/>
        <v>RC</v>
      </c>
      <c r="U53" s="5" t="str">
        <f t="shared" si="9"/>
        <v>93.437%</v>
      </c>
      <c r="V53" s="5">
        <f t="shared" si="10"/>
        <v>-4</v>
      </c>
      <c r="W53" s="5" t="str">
        <f t="shared" si="11"/>
        <v>RC</v>
      </c>
      <c r="X53" s="5" t="str">
        <f t="shared" si="12"/>
        <v>99.924%</v>
      </c>
      <c r="Y53" s="5"/>
    </row>
    <row r="54" spans="1:25">
      <c r="A54">
        <v>108</v>
      </c>
      <c r="B54" t="s">
        <v>104</v>
      </c>
      <c r="C54">
        <v>945870988</v>
      </c>
      <c r="D54">
        <v>10.0625</v>
      </c>
      <c r="E54">
        <v>8.5693000000000001</v>
      </c>
      <c r="F54">
        <v>7115</v>
      </c>
      <c r="G54" t="s">
        <v>104</v>
      </c>
      <c r="H54">
        <v>800215192</v>
      </c>
      <c r="I54">
        <v>11.3969</v>
      </c>
      <c r="J54">
        <v>9.4285999999999994</v>
      </c>
      <c r="K54">
        <v>7119</v>
      </c>
      <c r="L54" s="5" t="b">
        <f t="shared" si="0"/>
        <v>1</v>
      </c>
      <c r="M54" s="5">
        <f t="shared" si="1"/>
        <v>145655796</v>
      </c>
      <c r="N54" s="5" t="str">
        <f t="shared" si="2"/>
        <v>QE</v>
      </c>
      <c r="O54" s="5" t="str">
        <f t="shared" si="3"/>
        <v>84.601%</v>
      </c>
      <c r="P54" s="5">
        <f t="shared" si="4"/>
        <v>-1.3344000000000005</v>
      </c>
      <c r="Q54" s="5" t="str">
        <f t="shared" si="5"/>
        <v>RC</v>
      </c>
      <c r="R54" s="5" t="str">
        <f t="shared" si="6"/>
        <v>88.292%</v>
      </c>
      <c r="S54" s="5">
        <f t="shared" si="7"/>
        <v>-0.85929999999999929</v>
      </c>
      <c r="T54" s="5" t="str">
        <f t="shared" si="8"/>
        <v>RC</v>
      </c>
      <c r="U54" s="5" t="str">
        <f t="shared" si="9"/>
        <v>90.886%</v>
      </c>
      <c r="V54" s="5">
        <f t="shared" si="10"/>
        <v>-4</v>
      </c>
      <c r="W54" s="5" t="str">
        <f t="shared" si="11"/>
        <v>RC</v>
      </c>
      <c r="X54" s="5" t="str">
        <f t="shared" si="12"/>
        <v>99.944%</v>
      </c>
      <c r="Y54" s="5"/>
    </row>
    <row r="55" spans="1:25">
      <c r="A55">
        <v>109</v>
      </c>
      <c r="B55" t="s">
        <v>104</v>
      </c>
      <c r="C55">
        <v>945994734</v>
      </c>
      <c r="D55">
        <v>10.198399999999999</v>
      </c>
      <c r="E55">
        <v>8.5754999999999999</v>
      </c>
      <c r="F55">
        <v>7115</v>
      </c>
      <c r="G55" t="s">
        <v>104</v>
      </c>
      <c r="H55">
        <v>802782544</v>
      </c>
      <c r="I55">
        <v>11.426500000000001</v>
      </c>
      <c r="J55">
        <v>9.4770000000000003</v>
      </c>
      <c r="K55">
        <v>7119</v>
      </c>
      <c r="L55" s="5" t="b">
        <f t="shared" si="0"/>
        <v>1</v>
      </c>
      <c r="M55" s="5">
        <f t="shared" si="1"/>
        <v>143212190</v>
      </c>
      <c r="N55" s="5" t="str">
        <f t="shared" si="2"/>
        <v>QE</v>
      </c>
      <c r="O55" s="5" t="str">
        <f t="shared" si="3"/>
        <v>84.861%</v>
      </c>
      <c r="P55" s="5">
        <f t="shared" si="4"/>
        <v>-1.2281000000000013</v>
      </c>
      <c r="Q55" s="5" t="str">
        <f t="shared" si="5"/>
        <v>RC</v>
      </c>
      <c r="R55" s="5" t="str">
        <f t="shared" si="6"/>
        <v>89.252%</v>
      </c>
      <c r="S55" s="5">
        <f t="shared" si="7"/>
        <v>-0.90150000000000041</v>
      </c>
      <c r="T55" s="5" t="str">
        <f t="shared" si="8"/>
        <v>RC</v>
      </c>
      <c r="U55" s="5" t="str">
        <f t="shared" si="9"/>
        <v>90.487%</v>
      </c>
      <c r="V55" s="5">
        <f t="shared" si="10"/>
        <v>-4</v>
      </c>
      <c r="W55" s="5" t="str">
        <f t="shared" si="11"/>
        <v>RC</v>
      </c>
      <c r="X55" s="5" t="str">
        <f t="shared" si="12"/>
        <v>99.944%</v>
      </c>
      <c r="Y55" s="5"/>
    </row>
    <row r="56" spans="1:25">
      <c r="A56">
        <v>112</v>
      </c>
      <c r="B56" t="s">
        <v>104</v>
      </c>
      <c r="C56">
        <v>675575245</v>
      </c>
      <c r="D56">
        <v>7.0781999999999998</v>
      </c>
      <c r="E56">
        <v>6.1193</v>
      </c>
      <c r="F56">
        <v>5227</v>
      </c>
      <c r="G56" t="s">
        <v>104</v>
      </c>
      <c r="H56">
        <v>559573706</v>
      </c>
      <c r="I56">
        <v>7.8266</v>
      </c>
      <c r="J56">
        <v>6.5331999999999999</v>
      </c>
      <c r="K56">
        <v>5231</v>
      </c>
      <c r="L56" s="5" t="b">
        <f t="shared" si="0"/>
        <v>1</v>
      </c>
      <c r="M56" s="5">
        <f t="shared" si="1"/>
        <v>116001539</v>
      </c>
      <c r="N56" s="5" t="str">
        <f t="shared" si="2"/>
        <v>QE</v>
      </c>
      <c r="O56" s="5" t="str">
        <f t="shared" si="3"/>
        <v>82.829%</v>
      </c>
      <c r="P56" s="5">
        <f t="shared" si="4"/>
        <v>-0.74840000000000018</v>
      </c>
      <c r="Q56" s="5" t="str">
        <f t="shared" si="5"/>
        <v>RC</v>
      </c>
      <c r="R56" s="5" t="str">
        <f t="shared" si="6"/>
        <v>90.438%</v>
      </c>
      <c r="S56" s="5">
        <f t="shared" si="7"/>
        <v>-0.41389999999999993</v>
      </c>
      <c r="T56" s="5" t="str">
        <f t="shared" si="8"/>
        <v>RC</v>
      </c>
      <c r="U56" s="5" t="str">
        <f t="shared" si="9"/>
        <v>93.665%</v>
      </c>
      <c r="V56" s="5">
        <f t="shared" si="10"/>
        <v>-4</v>
      </c>
      <c r="W56" s="5" t="str">
        <f t="shared" si="11"/>
        <v>RC</v>
      </c>
      <c r="X56" s="5" t="str">
        <f t="shared" si="12"/>
        <v>99.924%</v>
      </c>
      <c r="Y56" s="5"/>
    </row>
    <row r="57" spans="1:25">
      <c r="A57">
        <v>114</v>
      </c>
      <c r="B57" t="s">
        <v>104</v>
      </c>
      <c r="C57">
        <v>940352165</v>
      </c>
      <c r="D57">
        <v>10.3344</v>
      </c>
      <c r="E57">
        <v>8.6020000000000003</v>
      </c>
      <c r="F57">
        <v>7115</v>
      </c>
      <c r="G57" t="s">
        <v>104</v>
      </c>
      <c r="H57">
        <v>807462107</v>
      </c>
      <c r="I57">
        <v>11.9984</v>
      </c>
      <c r="J57">
        <v>9.6237999999999992</v>
      </c>
      <c r="K57">
        <v>7119</v>
      </c>
      <c r="L57" s="5" t="b">
        <f t="shared" si="0"/>
        <v>1</v>
      </c>
      <c r="M57" s="5">
        <f t="shared" si="1"/>
        <v>132890058</v>
      </c>
      <c r="N57" s="5" t="str">
        <f t="shared" si="2"/>
        <v>QE</v>
      </c>
      <c r="O57" s="5" t="str">
        <f t="shared" si="3"/>
        <v>85.868%</v>
      </c>
      <c r="P57" s="5">
        <f t="shared" si="4"/>
        <v>-1.6639999999999997</v>
      </c>
      <c r="Q57" s="5" t="str">
        <f t="shared" si="5"/>
        <v>RC</v>
      </c>
      <c r="R57" s="5" t="str">
        <f t="shared" si="6"/>
        <v>86.131%</v>
      </c>
      <c r="S57" s="5">
        <f t="shared" si="7"/>
        <v>-1.0217999999999989</v>
      </c>
      <c r="T57" s="5" t="str">
        <f t="shared" si="8"/>
        <v>RC</v>
      </c>
      <c r="U57" s="5" t="str">
        <f t="shared" si="9"/>
        <v>89.383%</v>
      </c>
      <c r="V57" s="5">
        <f t="shared" si="10"/>
        <v>-4</v>
      </c>
      <c r="W57" s="5" t="str">
        <f t="shared" si="11"/>
        <v>RC</v>
      </c>
      <c r="X57" s="5" t="str">
        <f t="shared" si="12"/>
        <v>99.944%</v>
      </c>
      <c r="Y57" s="5"/>
    </row>
    <row r="58" spans="1:25">
      <c r="A58">
        <v>115</v>
      </c>
      <c r="B58" t="s">
        <v>104</v>
      </c>
      <c r="C58">
        <v>941605017</v>
      </c>
      <c r="D58">
        <v>10.390599999999999</v>
      </c>
      <c r="E58">
        <v>8.6160999999999994</v>
      </c>
      <c r="F58">
        <v>7115</v>
      </c>
      <c r="G58" t="s">
        <v>104</v>
      </c>
      <c r="H58">
        <v>801340064</v>
      </c>
      <c r="I58">
        <v>11.9032</v>
      </c>
      <c r="J58">
        <v>9.5645000000000007</v>
      </c>
      <c r="K58">
        <v>7119</v>
      </c>
      <c r="L58" s="5" t="b">
        <f t="shared" si="0"/>
        <v>1</v>
      </c>
      <c r="M58" s="5">
        <f t="shared" si="1"/>
        <v>140264953</v>
      </c>
      <c r="N58" s="5" t="str">
        <f t="shared" si="2"/>
        <v>QE</v>
      </c>
      <c r="O58" s="5" t="str">
        <f t="shared" si="3"/>
        <v>85.104%</v>
      </c>
      <c r="P58" s="5">
        <f t="shared" si="4"/>
        <v>-1.5126000000000008</v>
      </c>
      <c r="Q58" s="5" t="str">
        <f t="shared" si="5"/>
        <v>RC</v>
      </c>
      <c r="R58" s="5" t="str">
        <f t="shared" si="6"/>
        <v>87.292%</v>
      </c>
      <c r="S58" s="5">
        <f t="shared" si="7"/>
        <v>-0.94840000000000124</v>
      </c>
      <c r="T58" s="5" t="str">
        <f t="shared" si="8"/>
        <v>RC</v>
      </c>
      <c r="U58" s="5" t="str">
        <f t="shared" si="9"/>
        <v>90.084%</v>
      </c>
      <c r="V58" s="5">
        <f t="shared" si="10"/>
        <v>-4</v>
      </c>
      <c r="W58" s="5" t="str">
        <f t="shared" si="11"/>
        <v>RC</v>
      </c>
      <c r="X58" s="5" t="str">
        <f t="shared" si="12"/>
        <v>99.944%</v>
      </c>
      <c r="Y58" s="5"/>
    </row>
    <row r="59" spans="1:25">
      <c r="A59">
        <v>118</v>
      </c>
      <c r="B59" t="s">
        <v>104</v>
      </c>
      <c r="C59">
        <v>1233693820</v>
      </c>
      <c r="D59">
        <v>13.446899999999999</v>
      </c>
      <c r="E59">
        <v>11.2553</v>
      </c>
      <c r="F59">
        <v>9009</v>
      </c>
      <c r="G59" t="s">
        <v>104</v>
      </c>
      <c r="H59">
        <v>1050735542</v>
      </c>
      <c r="I59">
        <v>15.7203</v>
      </c>
      <c r="J59">
        <v>12.510199999999999</v>
      </c>
      <c r="K59">
        <v>9013</v>
      </c>
      <c r="L59" s="5" t="b">
        <f t="shared" si="0"/>
        <v>1</v>
      </c>
      <c r="M59" s="5">
        <f t="shared" si="1"/>
        <v>182958278</v>
      </c>
      <c r="N59" s="5" t="str">
        <f t="shared" si="2"/>
        <v>QE</v>
      </c>
      <c r="O59" s="5" t="str">
        <f t="shared" si="3"/>
        <v>85.170%</v>
      </c>
      <c r="P59" s="5">
        <f t="shared" si="4"/>
        <v>-2.2734000000000005</v>
      </c>
      <c r="Q59" s="5" t="str">
        <f t="shared" si="5"/>
        <v>RC</v>
      </c>
      <c r="R59" s="5" t="str">
        <f t="shared" si="6"/>
        <v>85.538%</v>
      </c>
      <c r="S59" s="5">
        <f t="shared" si="7"/>
        <v>-1.2548999999999992</v>
      </c>
      <c r="T59" s="5" t="str">
        <f t="shared" si="8"/>
        <v>RC</v>
      </c>
      <c r="U59" s="5" t="str">
        <f t="shared" si="9"/>
        <v>89.969%</v>
      </c>
      <c r="V59" s="5">
        <f t="shared" si="10"/>
        <v>-4</v>
      </c>
      <c r="W59" s="5" t="str">
        <f t="shared" si="11"/>
        <v>RC</v>
      </c>
      <c r="X59" s="5" t="str">
        <f t="shared" si="12"/>
        <v>99.956%</v>
      </c>
      <c r="Y59" s="5"/>
    </row>
    <row r="60" spans="1:25">
      <c r="A60">
        <v>119</v>
      </c>
      <c r="B60" t="s">
        <v>104</v>
      </c>
      <c r="C60">
        <v>946048072</v>
      </c>
      <c r="D60">
        <v>10.1172</v>
      </c>
      <c r="E60">
        <v>8.5911000000000008</v>
      </c>
      <c r="F60">
        <v>7115</v>
      </c>
      <c r="G60" t="s">
        <v>104</v>
      </c>
      <c r="H60">
        <v>799007939</v>
      </c>
      <c r="I60">
        <v>11.646800000000001</v>
      </c>
      <c r="J60">
        <v>9.4536999999999995</v>
      </c>
      <c r="K60">
        <v>7119</v>
      </c>
      <c r="L60" s="5" t="b">
        <f t="shared" si="0"/>
        <v>1</v>
      </c>
      <c r="M60" s="5">
        <f t="shared" si="1"/>
        <v>147040133</v>
      </c>
      <c r="N60" s="5" t="str">
        <f t="shared" si="2"/>
        <v>QE</v>
      </c>
      <c r="O60" s="5" t="str">
        <f t="shared" si="3"/>
        <v>84.457%</v>
      </c>
      <c r="P60" s="5">
        <f t="shared" si="4"/>
        <v>-1.5296000000000003</v>
      </c>
      <c r="Q60" s="5" t="str">
        <f t="shared" si="5"/>
        <v>RC</v>
      </c>
      <c r="R60" s="5" t="str">
        <f t="shared" si="6"/>
        <v>86.867%</v>
      </c>
      <c r="S60" s="5">
        <f t="shared" si="7"/>
        <v>-0.8625999999999987</v>
      </c>
      <c r="T60" s="5" t="str">
        <f t="shared" si="8"/>
        <v>RC</v>
      </c>
      <c r="U60" s="5" t="str">
        <f t="shared" si="9"/>
        <v>90.876%</v>
      </c>
      <c r="V60" s="5">
        <f t="shared" si="10"/>
        <v>-4</v>
      </c>
      <c r="W60" s="5" t="str">
        <f t="shared" si="11"/>
        <v>RC</v>
      </c>
      <c r="X60" s="5" t="str">
        <f t="shared" si="12"/>
        <v>99.944%</v>
      </c>
      <c r="Y60" s="5"/>
    </row>
    <row r="61" spans="1:25">
      <c r="A61">
        <v>121</v>
      </c>
      <c r="B61" t="s">
        <v>104</v>
      </c>
      <c r="C61">
        <v>1235397382</v>
      </c>
      <c r="D61">
        <v>13.5313</v>
      </c>
      <c r="E61">
        <v>11.266299999999999</v>
      </c>
      <c r="F61">
        <v>9009</v>
      </c>
      <c r="G61" t="s">
        <v>104</v>
      </c>
      <c r="H61">
        <v>1058979098</v>
      </c>
      <c r="I61">
        <v>15.564</v>
      </c>
      <c r="J61">
        <v>12.557</v>
      </c>
      <c r="K61">
        <v>9013</v>
      </c>
      <c r="L61" s="5" t="b">
        <f t="shared" si="0"/>
        <v>1</v>
      </c>
      <c r="M61" s="5">
        <f t="shared" si="1"/>
        <v>176418284</v>
      </c>
      <c r="N61" s="5" t="str">
        <f t="shared" si="2"/>
        <v>QE</v>
      </c>
      <c r="O61" s="5" t="str">
        <f t="shared" si="3"/>
        <v>85.720%</v>
      </c>
      <c r="P61" s="5">
        <f t="shared" si="4"/>
        <v>-2.0327000000000002</v>
      </c>
      <c r="Q61" s="5" t="str">
        <f t="shared" si="5"/>
        <v>RC</v>
      </c>
      <c r="R61" s="5" t="str">
        <f t="shared" si="6"/>
        <v>86.940%</v>
      </c>
      <c r="S61" s="5">
        <f t="shared" si="7"/>
        <v>-1.2907000000000011</v>
      </c>
      <c r="T61" s="5" t="str">
        <f t="shared" si="8"/>
        <v>RC</v>
      </c>
      <c r="U61" s="5" t="str">
        <f t="shared" si="9"/>
        <v>89.721%</v>
      </c>
      <c r="V61" s="5">
        <f t="shared" si="10"/>
        <v>-4</v>
      </c>
      <c r="W61" s="5" t="str">
        <f t="shared" si="11"/>
        <v>RC</v>
      </c>
      <c r="X61" s="5" t="str">
        <f t="shared" si="12"/>
        <v>99.956%</v>
      </c>
      <c r="Y61" s="5"/>
    </row>
    <row r="62" spans="1:25">
      <c r="A62">
        <v>123</v>
      </c>
      <c r="B62" t="s">
        <v>104</v>
      </c>
      <c r="C62">
        <v>1235708564</v>
      </c>
      <c r="D62">
        <v>13.6625</v>
      </c>
      <c r="E62">
        <v>11.314500000000001</v>
      </c>
      <c r="F62">
        <v>9009</v>
      </c>
      <c r="G62" t="s">
        <v>104</v>
      </c>
      <c r="H62">
        <v>1068366201</v>
      </c>
      <c r="I62">
        <v>15.960900000000001</v>
      </c>
      <c r="J62">
        <v>12.6286</v>
      </c>
      <c r="K62">
        <v>9013</v>
      </c>
      <c r="L62" s="5" t="b">
        <f t="shared" si="0"/>
        <v>1</v>
      </c>
      <c r="M62" s="5">
        <f t="shared" si="1"/>
        <v>167342363</v>
      </c>
      <c r="N62" s="5" t="str">
        <f t="shared" si="2"/>
        <v>QE</v>
      </c>
      <c r="O62" s="5" t="str">
        <f t="shared" si="3"/>
        <v>86.458%</v>
      </c>
      <c r="P62" s="5">
        <f t="shared" si="4"/>
        <v>-2.2984000000000009</v>
      </c>
      <c r="Q62" s="5" t="str">
        <f t="shared" si="5"/>
        <v>RC</v>
      </c>
      <c r="R62" s="5" t="str">
        <f t="shared" si="6"/>
        <v>85.600%</v>
      </c>
      <c r="S62" s="5">
        <f t="shared" si="7"/>
        <v>-1.3140999999999998</v>
      </c>
      <c r="T62" s="5" t="str">
        <f t="shared" si="8"/>
        <v>RC</v>
      </c>
      <c r="U62" s="5" t="str">
        <f t="shared" si="9"/>
        <v>89.594%</v>
      </c>
      <c r="V62" s="5">
        <f t="shared" si="10"/>
        <v>-4</v>
      </c>
      <c r="W62" s="5" t="str">
        <f t="shared" si="11"/>
        <v>RC</v>
      </c>
      <c r="X62" s="5" t="str">
        <f t="shared" si="12"/>
        <v>99.956%</v>
      </c>
      <c r="Y62" s="5"/>
    </row>
    <row r="63" spans="1:25">
      <c r="A63">
        <v>125</v>
      </c>
      <c r="B63" t="s">
        <v>104</v>
      </c>
      <c r="C63">
        <v>1235790296</v>
      </c>
      <c r="D63">
        <v>13.4984</v>
      </c>
      <c r="E63">
        <v>11.327299999999999</v>
      </c>
      <c r="F63">
        <v>9009</v>
      </c>
      <c r="G63" t="s">
        <v>104</v>
      </c>
      <c r="H63">
        <v>1065041067</v>
      </c>
      <c r="I63">
        <v>15.384399999999999</v>
      </c>
      <c r="J63">
        <v>12.424300000000001</v>
      </c>
      <c r="K63">
        <v>9013</v>
      </c>
      <c r="L63" s="5" t="b">
        <f t="shared" si="0"/>
        <v>1</v>
      </c>
      <c r="M63" s="5">
        <f t="shared" si="1"/>
        <v>170749229</v>
      </c>
      <c r="N63" s="5" t="str">
        <f t="shared" si="2"/>
        <v>QE</v>
      </c>
      <c r="O63" s="5" t="str">
        <f t="shared" si="3"/>
        <v>86.183%</v>
      </c>
      <c r="P63" s="5">
        <f t="shared" si="4"/>
        <v>-1.8859999999999992</v>
      </c>
      <c r="Q63" s="5" t="str">
        <f t="shared" si="5"/>
        <v>RC</v>
      </c>
      <c r="R63" s="5" t="str">
        <f t="shared" si="6"/>
        <v>87.741%</v>
      </c>
      <c r="S63" s="5">
        <f t="shared" si="7"/>
        <v>-1.0970000000000013</v>
      </c>
      <c r="T63" s="5" t="str">
        <f t="shared" si="8"/>
        <v>RC</v>
      </c>
      <c r="U63" s="5" t="str">
        <f t="shared" si="9"/>
        <v>91.171%</v>
      </c>
      <c r="V63" s="5">
        <f t="shared" si="10"/>
        <v>-4</v>
      </c>
      <c r="W63" s="5" t="str">
        <f t="shared" si="11"/>
        <v>RC</v>
      </c>
      <c r="X63" s="5" t="str">
        <f t="shared" si="12"/>
        <v>99.956%</v>
      </c>
      <c r="Y63" s="5"/>
    </row>
    <row r="64" spans="1:25">
      <c r="A64">
        <v>126</v>
      </c>
      <c r="B64" t="s">
        <v>104</v>
      </c>
      <c r="C64">
        <v>1235601694</v>
      </c>
      <c r="D64">
        <v>13.607799999999999</v>
      </c>
      <c r="E64">
        <v>11.2797</v>
      </c>
      <c r="F64">
        <v>9009</v>
      </c>
      <c r="G64" t="s">
        <v>104</v>
      </c>
      <c r="H64">
        <v>1054792203</v>
      </c>
      <c r="I64">
        <v>15.5016</v>
      </c>
      <c r="J64">
        <v>12.3704</v>
      </c>
      <c r="K64">
        <v>9013</v>
      </c>
      <c r="L64" s="5" t="b">
        <f t="shared" si="0"/>
        <v>1</v>
      </c>
      <c r="M64" s="5">
        <f t="shared" si="1"/>
        <v>180809491</v>
      </c>
      <c r="N64" s="5" t="str">
        <f t="shared" si="2"/>
        <v>QE</v>
      </c>
      <c r="O64" s="5" t="str">
        <f t="shared" si="3"/>
        <v>85.367%</v>
      </c>
      <c r="P64" s="5">
        <f t="shared" si="4"/>
        <v>-1.8938000000000006</v>
      </c>
      <c r="Q64" s="5" t="str">
        <f t="shared" si="5"/>
        <v>RC</v>
      </c>
      <c r="R64" s="5" t="str">
        <f t="shared" si="6"/>
        <v>87.783%</v>
      </c>
      <c r="S64" s="5">
        <f t="shared" si="7"/>
        <v>-1.0907</v>
      </c>
      <c r="T64" s="5" t="str">
        <f t="shared" si="8"/>
        <v>RC</v>
      </c>
      <c r="U64" s="5" t="str">
        <f t="shared" si="9"/>
        <v>91.183%</v>
      </c>
      <c r="V64" s="5">
        <f t="shared" si="10"/>
        <v>-4</v>
      </c>
      <c r="W64" s="5" t="str">
        <f t="shared" si="11"/>
        <v>RC</v>
      </c>
      <c r="X64" s="5" t="str">
        <f t="shared" si="12"/>
        <v>99.956%</v>
      </c>
      <c r="Y64" s="5"/>
    </row>
    <row r="65" spans="1:25">
      <c r="A65">
        <v>128</v>
      </c>
      <c r="B65" t="s">
        <v>104</v>
      </c>
      <c r="C65">
        <v>2024651520</v>
      </c>
      <c r="D65">
        <v>23.176600000000001</v>
      </c>
      <c r="E65">
        <v>18.5778</v>
      </c>
      <c r="F65">
        <v>15795</v>
      </c>
      <c r="G65" t="s">
        <v>104</v>
      </c>
      <c r="H65">
        <v>2184101393</v>
      </c>
      <c r="I65">
        <v>36.529600000000002</v>
      </c>
      <c r="J65">
        <v>28.084299999999999</v>
      </c>
      <c r="K65">
        <v>15799</v>
      </c>
      <c r="L65" s="5" t="b">
        <f t="shared" si="0"/>
        <v>1</v>
      </c>
      <c r="M65" s="5">
        <f t="shared" si="1"/>
        <v>-159449873</v>
      </c>
      <c r="N65" s="5" t="str">
        <f t="shared" si="2"/>
        <v>RC</v>
      </c>
      <c r="O65" s="5" t="str">
        <f t="shared" si="3"/>
        <v>92.700%</v>
      </c>
      <c r="P65" s="5">
        <f t="shared" si="4"/>
        <v>-13.353000000000002</v>
      </c>
      <c r="Q65" s="5" t="str">
        <f t="shared" si="5"/>
        <v>RC</v>
      </c>
      <c r="R65" s="5" t="str">
        <f t="shared" si="6"/>
        <v>63.446%</v>
      </c>
      <c r="S65" s="5">
        <f t="shared" si="7"/>
        <v>-9.5064999999999991</v>
      </c>
      <c r="T65" s="5" t="str">
        <f t="shared" si="8"/>
        <v>RC</v>
      </c>
      <c r="U65" s="5" t="str">
        <f t="shared" si="9"/>
        <v>66.150%</v>
      </c>
      <c r="V65" s="5">
        <f t="shared" si="10"/>
        <v>-4</v>
      </c>
      <c r="W65" s="5" t="str">
        <f t="shared" si="11"/>
        <v>RC</v>
      </c>
      <c r="X65" s="5" t="str">
        <f t="shared" si="12"/>
        <v>99.975%</v>
      </c>
      <c r="Y65" s="5"/>
    </row>
    <row r="66" spans="1:25">
      <c r="A66">
        <v>129</v>
      </c>
      <c r="B66" t="s">
        <v>104</v>
      </c>
      <c r="C66">
        <v>1059440809</v>
      </c>
      <c r="D66">
        <v>11.5985</v>
      </c>
      <c r="E66">
        <v>9.6256000000000004</v>
      </c>
      <c r="F66">
        <v>8051</v>
      </c>
      <c r="G66" t="s">
        <v>104</v>
      </c>
      <c r="H66">
        <v>940249393</v>
      </c>
      <c r="I66">
        <v>13.586</v>
      </c>
      <c r="J66">
        <v>10.9787</v>
      </c>
      <c r="K66">
        <v>8055</v>
      </c>
      <c r="L66" s="5" t="b">
        <f t="shared" si="0"/>
        <v>1</v>
      </c>
      <c r="M66" s="5">
        <f t="shared" si="1"/>
        <v>119191416</v>
      </c>
      <c r="N66" s="5" t="str">
        <f t="shared" si="2"/>
        <v>QE</v>
      </c>
      <c r="O66" s="5" t="str">
        <f t="shared" si="3"/>
        <v>88.750%</v>
      </c>
      <c r="P66" s="5">
        <f t="shared" si="4"/>
        <v>-1.9875000000000007</v>
      </c>
      <c r="Q66" s="5" t="str">
        <f t="shared" si="5"/>
        <v>RC</v>
      </c>
      <c r="R66" s="5" t="str">
        <f t="shared" si="6"/>
        <v>85.371%</v>
      </c>
      <c r="S66" s="5">
        <f t="shared" si="7"/>
        <v>-1.3530999999999995</v>
      </c>
      <c r="T66" s="5" t="str">
        <f t="shared" si="8"/>
        <v>RC</v>
      </c>
      <c r="U66" s="5" t="str">
        <f t="shared" si="9"/>
        <v>87.675%</v>
      </c>
      <c r="V66" s="5">
        <f t="shared" si="10"/>
        <v>-4</v>
      </c>
      <c r="W66" s="5" t="str">
        <f t="shared" si="11"/>
        <v>RC</v>
      </c>
      <c r="X66" s="5" t="str">
        <f t="shared" si="12"/>
        <v>99.950%</v>
      </c>
      <c r="Y66" s="5"/>
    </row>
    <row r="67" spans="1:25">
      <c r="A67">
        <v>131</v>
      </c>
      <c r="B67" t="s">
        <v>104</v>
      </c>
      <c r="C67">
        <v>2022714863</v>
      </c>
      <c r="D67">
        <v>23.265599999999999</v>
      </c>
      <c r="E67">
        <v>18.627300000000002</v>
      </c>
      <c r="F67">
        <v>15795</v>
      </c>
      <c r="G67" t="s">
        <v>104</v>
      </c>
      <c r="H67">
        <v>2203798080</v>
      </c>
      <c r="I67">
        <v>37.25</v>
      </c>
      <c r="J67">
        <v>28.3124</v>
      </c>
      <c r="K67">
        <v>15799</v>
      </c>
      <c r="L67" s="5" t="b">
        <f>IF(OR(ISNUMBER(SEARCH("ERROR", B67)), ISNUMBER(SEARCH("ERROR", G67)), ISNUMBER(SEARCH("TIME OUT", B67)), ISNUMBER(SEARCH("TIME OUT", G67))), "--", B67=G67)</f>
        <v>1</v>
      </c>
      <c r="M67" s="5">
        <f>IF(OR(ISNUMBER(SEARCH("ERROR", C67)), ISNUMBER(SEARCH("ERROR", H67)), ISNUMBER(SEARCH("TIME OUT", C67)), ISNUMBER(SEARCH("TIME OUT", H67))),"--",C67-H67)</f>
        <v>-181083217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RC</v>
      </c>
      <c r="O67" s="5" t="str">
        <f>IF(M67="--","--",TEXT(MIN(C67,H67)/MAX(C67,H67),"0.000%"))</f>
        <v>91.783%</v>
      </c>
      <c r="P67" s="5">
        <f>IF(OR(ISNUMBER(SEARCH("ERROR", D67)), ISNUMBER(SEARCH("ERROR", I67)), ISNUMBER(SEARCH("TIME OUT", D67)), ISNUMBER(SEARCH("TIME OUT", I67))),"--",D67-I67)</f>
        <v>-13.984400000000001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RC</v>
      </c>
      <c r="R67" s="5" t="str">
        <f>IF(P67="--","--",TEXT(MIN(D67,I67)/MAX(D67,I67),"0.000%"))</f>
        <v>62.458%</v>
      </c>
      <c r="S67" s="5">
        <f>IF(OR(ISNUMBER(SEARCH("ERROR", E67)), ISNUMBER(SEARCH("ERROR", J67)), ISNUMBER(SEARCH("TIME OUT", E67)), ISNUMBER(SEARCH("TIME OUT", J67))),"--",E67-J67)</f>
        <v>-9.6850999999999985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RC</v>
      </c>
      <c r="U67" s="5" t="str">
        <f>IF(S67="--","--",TEXT(MIN(E67,J67)/MAX(E67,J67),"0.000%"))</f>
        <v>65.792%</v>
      </c>
      <c r="V67" s="5">
        <f>IF(OR(ISNUMBER(SEARCH("ERROR", F67)), ISNUMBER(SEARCH("ERROR", K67)), ISNUMBER(SEARCH("TIME OUT", F67)), ISNUMBER(SEARCH("TIME OUT", K67))),"--",F67-K67)</f>
        <v>-4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RC</v>
      </c>
      <c r="X67" s="5" t="str">
        <f>IF(V67="--","--",TEXT(MIN(F67,K67)/MAX(F67,K67),"0.000%"))</f>
        <v>99.975%</v>
      </c>
      <c r="Y67" s="5"/>
    </row>
    <row r="68" spans="1:25">
      <c r="A68">
        <v>132</v>
      </c>
      <c r="B68" t="s">
        <v>104</v>
      </c>
      <c r="C68">
        <v>1058587152</v>
      </c>
      <c r="D68">
        <v>11.4953</v>
      </c>
      <c r="E68">
        <v>9.6224000000000007</v>
      </c>
      <c r="F68">
        <v>8051</v>
      </c>
      <c r="G68" t="s">
        <v>104</v>
      </c>
      <c r="H68">
        <v>936699749</v>
      </c>
      <c r="I68">
        <v>13.7797</v>
      </c>
      <c r="J68">
        <v>10.992699999999999</v>
      </c>
      <c r="K68">
        <v>8055</v>
      </c>
      <c r="L68" s="5" t="b">
        <f>IF(OR(ISNUMBER(SEARCH("ERROR", B68)), ISNUMBER(SEARCH("ERROR", G68)), ISNUMBER(SEARCH("TIME OUT", B68)), ISNUMBER(SEARCH("TIME OUT", G68))), "--", B68=G68)</f>
        <v>1</v>
      </c>
      <c r="M68" s="5">
        <f>IF(OR(ISNUMBER(SEARCH("ERROR", C68)), ISNUMBER(SEARCH("ERROR", H68)), ISNUMBER(SEARCH("TIME OUT", C68)), ISNUMBER(SEARCH("TIME OUT", H68))),"--",C68-H68)</f>
        <v>121887403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QE</v>
      </c>
      <c r="O68" s="5" t="str">
        <f>IF(M68="--","--",TEXT(MIN(C68,H68)/MAX(C68,H68),"0.000%"))</f>
        <v>88.486%</v>
      </c>
      <c r="P68" s="5">
        <f>IF(OR(ISNUMBER(SEARCH("ERROR", D68)), ISNUMBER(SEARCH("ERROR", I68)), ISNUMBER(SEARCH("TIME OUT", D68)), ISNUMBER(SEARCH("TIME OUT", I68))),"--",D68-I68)</f>
        <v>-2.2843999999999998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RC</v>
      </c>
      <c r="R68" s="5" t="str">
        <f>IF(P68="--","--",TEXT(MIN(D68,I68)/MAX(D68,I68),"0.000%"))</f>
        <v>83.422%</v>
      </c>
      <c r="S68" s="5">
        <f>IF(OR(ISNUMBER(SEARCH("ERROR", E68)), ISNUMBER(SEARCH("ERROR", J68)), ISNUMBER(SEARCH("TIME OUT", E68)), ISNUMBER(SEARCH("TIME OUT", J68))),"--",E68-J68)</f>
        <v>-1.3702999999999985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RC</v>
      </c>
      <c r="U68" s="5" t="str">
        <f>IF(S68="--","--",TEXT(MIN(E68,J68)/MAX(E68,J68),"0.000%"))</f>
        <v>87.534%</v>
      </c>
      <c r="V68" s="5">
        <f>IF(OR(ISNUMBER(SEARCH("ERROR", F68)), ISNUMBER(SEARCH("ERROR", K68)), ISNUMBER(SEARCH("TIME OUT", F68)), ISNUMBER(SEARCH("TIME OUT", K68))),"--",F68-K68)</f>
        <v>-4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RC</v>
      </c>
      <c r="X68" s="5" t="str">
        <f>IF(V68="--","--",TEXT(MIN(F68,K68)/MAX(F68,K68),"0.000%"))</f>
        <v>99.950%</v>
      </c>
      <c r="Y68" s="5"/>
    </row>
    <row r="70" spans="1:25">
      <c r="N70" s="5"/>
    </row>
  </sheetData>
  <autoFilter ref="A1:X68" xr:uid="{0D697B1A-E9F7-447C-B375-5B13F86E01CF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41" priority="9" operator="containsText" text="ERROR">
      <formula>NOT(ISERROR(SEARCH("ERROR",A1)))</formula>
    </cfRule>
    <cfRule type="containsText" dxfId="40" priority="15" operator="containsText" text="TIME OUT">
      <formula>NOT(ISERROR(SEARCH("TIME OUT",A1)))</formula>
    </cfRule>
  </conditionalFormatting>
  <conditionalFormatting sqref="L2:L69 L71:L1048576">
    <cfRule type="cellIs" dxfId="39" priority="11" operator="equal">
      <formula>TRUE</formula>
    </cfRule>
  </conditionalFormatting>
  <conditionalFormatting sqref="L1:S1 X1:AG1">
    <cfRule type="containsText" dxfId="38" priority="10" operator="containsText" text="TIME OUT">
      <formula>NOT(ISERROR(SEARCH("TIME OUT",L1)))</formula>
    </cfRule>
  </conditionalFormatting>
  <conditionalFormatting sqref="Z41:AD41">
    <cfRule type="containsText" dxfId="37" priority="1" operator="containsText" text="TIME OUT">
      <formula>NOT(ISERROR(SEARCH("TIME OUT",Z41)))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5E14-A1CB-47FE-8B0A-F716ACFE1305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" sqref="W1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96</v>
      </c>
      <c r="C2">
        <v>13174858</v>
      </c>
      <c r="D2">
        <v>0.1094</v>
      </c>
      <c r="E2">
        <v>0.1099</v>
      </c>
      <c r="F2">
        <v>65</v>
      </c>
      <c r="G2" t="s">
        <v>96</v>
      </c>
      <c r="H2">
        <v>18055921</v>
      </c>
      <c r="I2">
        <v>0.2203</v>
      </c>
      <c r="J2">
        <v>0.21679999999999999</v>
      </c>
      <c r="K2">
        <v>189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-4881063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RC</v>
      </c>
      <c r="O2" s="5" t="str">
        <f>IF(M2="--","--",TEXT(MIN(C2,H2)/MAX(C2,H2),"0.000%"))</f>
        <v>72.967%</v>
      </c>
      <c r="P2" s="5">
        <f>IF(OR(ISNUMBER(SEARCH("ERROR", D2)), ISNUMBER(SEARCH("ERROR", I2)), ISNUMBER(SEARCH("TIME OUT", D2)), ISNUMBER(SEARCH("TIME OUT", I2))),"--",D2-I2)</f>
        <v>-0.1109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RC</v>
      </c>
      <c r="R2" s="5" t="str">
        <f>IF(P2="--","--",TEXT(MIN(D2,I2)/MAX(D2,I2),"0.000%"))</f>
        <v>49.660%</v>
      </c>
      <c r="S2" s="5">
        <f>IF(OR(ISNUMBER(SEARCH("ERROR", E2)), ISNUMBER(SEARCH("ERROR", J2)), ISNUMBER(SEARCH("TIME OUT", E2)), ISNUMBER(SEARCH("TIME OUT", J2))),"--",E2-J2)</f>
        <v>-0.1069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RC</v>
      </c>
      <c r="U2" s="5" t="str">
        <f>IF(S2="--","--",TEXT(MIN(E2,J2)/MAX(E2,J2),"0.000%"))</f>
        <v>50.692%</v>
      </c>
      <c r="V2" s="5">
        <f>IF(OR(ISNUMBER(SEARCH("ERROR", F2)), ISNUMBER(SEARCH("ERROR", K2)), ISNUMBER(SEARCH("TIME OUT", F2)), ISNUMBER(SEARCH("TIME OUT", K2))),"--",F2-K2)</f>
        <v>-124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RC</v>
      </c>
      <c r="X2" s="5" t="str">
        <f>IF(V2="--","--",TEXT(MIN(F2,K2)/MAX(F2,K2),"0.000%"))</f>
        <v>34.392%</v>
      </c>
      <c r="Y2" s="5"/>
      <c r="Z2">
        <f>AVERAGE(C:C)</f>
        <v>1445534963.847826</v>
      </c>
      <c r="AA2">
        <f>AVERAGE(D:D)</f>
        <v>20.556715217391307</v>
      </c>
      <c r="AB2">
        <f>AVERAGE(E:E)</f>
        <v>14.291702173913045</v>
      </c>
      <c r="AC2">
        <f>AVERAGE(F:F)</f>
        <v>10765.130434782608</v>
      </c>
      <c r="AD2">
        <f>AVERAGE(H:H)</f>
        <v>19849676.857142858</v>
      </c>
      <c r="AE2">
        <f>AVERAGE(I:I)</f>
        <v>0.23527142857142858</v>
      </c>
      <c r="AF2">
        <f>AVERAGE(J:J)</f>
        <v>0.23011428571428569</v>
      </c>
      <c r="AG2">
        <f>AVERAGE(K:K)</f>
        <v>210.42857142857142</v>
      </c>
      <c r="AH2">
        <f>AVERAGE(M:M)</f>
        <v>-4948578.5714285718</v>
      </c>
      <c r="AI2">
        <f>AVERAGE(P:P)</f>
        <v>-0.11005714285714287</v>
      </c>
      <c r="AJ2">
        <f>AVERAGE(S:S)</f>
        <v>-0.10592142857142854</v>
      </c>
      <c r="AK2">
        <f>AVERAGE(V:V)</f>
        <v>-141.71428571428572</v>
      </c>
    </row>
    <row r="3" spans="1:43">
      <c r="A3">
        <v>19</v>
      </c>
      <c r="B3" t="s">
        <v>96</v>
      </c>
      <c r="C3">
        <v>12157645</v>
      </c>
      <c r="D3">
        <v>0.10780000000000001</v>
      </c>
      <c r="E3">
        <v>0.10730000000000001</v>
      </c>
      <c r="F3">
        <v>65</v>
      </c>
      <c r="G3" t="s">
        <v>96</v>
      </c>
      <c r="H3">
        <v>18046343</v>
      </c>
      <c r="I3">
        <v>0.22339999999999999</v>
      </c>
      <c r="J3">
        <v>0.2233</v>
      </c>
      <c r="K3">
        <v>189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-5888698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RC</v>
      </c>
      <c r="O3" s="5" t="str">
        <f t="shared" ref="O3:O66" si="3">IF(M3="--","--",TEXT(MIN(C3,H3)/MAX(C3,H3),"0.000%"))</f>
        <v>67.369%</v>
      </c>
      <c r="P3" s="5">
        <f t="shared" ref="P3:P66" si="4">IF(OR(ISNUMBER(SEARCH("ERROR", D3)), ISNUMBER(SEARCH("ERROR", I3)), ISNUMBER(SEARCH("TIME OUT", D3)), ISNUMBER(SEARCH("TIME OUT", I3))),"--",D3-I3)</f>
        <v>-0.11559999999999998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RC</v>
      </c>
      <c r="R3" s="5" t="str">
        <f t="shared" ref="R3:R66" si="6">IF(P3="--","--",TEXT(MIN(D3,I3)/MAX(D3,I3),"0.000%"))</f>
        <v>48.254%</v>
      </c>
      <c r="S3" s="5">
        <f t="shared" ref="S3:S66" si="7">IF(OR(ISNUMBER(SEARCH("ERROR", E3)), ISNUMBER(SEARCH("ERROR", J3)), ISNUMBER(SEARCH("TIME OUT", E3)), ISNUMBER(SEARCH("TIME OUT", J3))),"--",E3-J3)</f>
        <v>-0.11599999999999999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RC</v>
      </c>
      <c r="U3" s="5" t="str">
        <f t="shared" ref="U3:U66" si="9">IF(S3="--","--",TEXT(MIN(E3,J3)/MAX(E3,J3),"0.000%"))</f>
        <v>48.052%</v>
      </c>
      <c r="V3" s="5">
        <f t="shared" ref="V3:V66" si="10">IF(OR(ISNUMBER(SEARCH("ERROR", F3)), ISNUMBER(SEARCH("ERROR", K3)), ISNUMBER(SEARCH("TIME OUT", F3)), ISNUMBER(SEARCH("TIME OUT", K3))),"--",F3-K3)</f>
        <v>-124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RC</v>
      </c>
      <c r="X3" s="5" t="str">
        <f t="shared" ref="X3:X66" si="12">IF(V3="--","--",TEXT(MIN(F3,K3)/MAX(F3,K3),"0.000%"))</f>
        <v>34.392%</v>
      </c>
      <c r="Y3" s="5"/>
    </row>
    <row r="4" spans="1:43">
      <c r="A4">
        <v>20</v>
      </c>
      <c r="B4" t="s">
        <v>96</v>
      </c>
      <c r="C4">
        <v>25942695</v>
      </c>
      <c r="D4">
        <v>0.2344</v>
      </c>
      <c r="E4">
        <v>0.2319</v>
      </c>
      <c r="F4">
        <v>111</v>
      </c>
      <c r="G4" t="s">
        <v>96</v>
      </c>
      <c r="H4">
        <v>30887913</v>
      </c>
      <c r="I4">
        <v>0.38129999999999997</v>
      </c>
      <c r="J4">
        <v>0.37040000000000001</v>
      </c>
      <c r="K4">
        <v>327</v>
      </c>
      <c r="L4" s="5" t="b">
        <f t="shared" si="0"/>
        <v>1</v>
      </c>
      <c r="M4" s="5">
        <f t="shared" si="1"/>
        <v>-4945218</v>
      </c>
      <c r="N4" s="5" t="str">
        <f t="shared" si="2"/>
        <v>RC</v>
      </c>
      <c r="O4" s="5" t="str">
        <f t="shared" si="3"/>
        <v>83.990%</v>
      </c>
      <c r="P4" s="5">
        <f t="shared" si="4"/>
        <v>-0.14689999999999998</v>
      </c>
      <c r="Q4" s="5" t="str">
        <f t="shared" si="5"/>
        <v>RC</v>
      </c>
      <c r="R4" s="5" t="str">
        <f t="shared" si="6"/>
        <v>61.474%</v>
      </c>
      <c r="S4" s="5">
        <f t="shared" si="7"/>
        <v>-0.13850000000000001</v>
      </c>
      <c r="T4" s="5" t="str">
        <f t="shared" si="8"/>
        <v>RC</v>
      </c>
      <c r="U4" s="5" t="str">
        <f t="shared" si="9"/>
        <v>62.608%</v>
      </c>
      <c r="V4" s="5">
        <f t="shared" si="10"/>
        <v>-216</v>
      </c>
      <c r="W4" s="5" t="str">
        <f t="shared" si="11"/>
        <v>RC</v>
      </c>
      <c r="X4" s="5" t="str">
        <f t="shared" si="12"/>
        <v>33.945%</v>
      </c>
      <c r="Y4" s="5"/>
    </row>
    <row r="5" spans="1:43">
      <c r="A5">
        <v>22</v>
      </c>
      <c r="B5" t="s">
        <v>96</v>
      </c>
      <c r="C5">
        <v>24526137</v>
      </c>
      <c r="D5">
        <v>0.2094</v>
      </c>
      <c r="E5">
        <v>0.20710000000000001</v>
      </c>
      <c r="F5">
        <v>111</v>
      </c>
      <c r="G5" t="s">
        <v>96</v>
      </c>
      <c r="H5">
        <v>30824461</v>
      </c>
      <c r="I5">
        <v>0.3891</v>
      </c>
      <c r="J5">
        <v>0.37990000000000002</v>
      </c>
      <c r="K5">
        <v>327</v>
      </c>
      <c r="L5" s="5" t="b">
        <f t="shared" si="0"/>
        <v>1</v>
      </c>
      <c r="M5" s="5">
        <f t="shared" si="1"/>
        <v>-6298324</v>
      </c>
      <c r="N5" s="5" t="str">
        <f t="shared" si="2"/>
        <v>RC</v>
      </c>
      <c r="O5" s="5" t="str">
        <f t="shared" si="3"/>
        <v>79.567%</v>
      </c>
      <c r="P5" s="5">
        <f t="shared" si="4"/>
        <v>-0.1797</v>
      </c>
      <c r="Q5" s="5" t="str">
        <f t="shared" si="5"/>
        <v>RC</v>
      </c>
      <c r="R5" s="5" t="str">
        <f t="shared" si="6"/>
        <v>53.816%</v>
      </c>
      <c r="S5" s="5">
        <f t="shared" si="7"/>
        <v>-0.17280000000000001</v>
      </c>
      <c r="T5" s="5" t="str">
        <f t="shared" si="8"/>
        <v>RC</v>
      </c>
      <c r="U5" s="5" t="str">
        <f t="shared" si="9"/>
        <v>54.514%</v>
      </c>
      <c r="V5" s="5">
        <f t="shared" si="10"/>
        <v>-216</v>
      </c>
      <c r="W5" s="5" t="str">
        <f t="shared" si="11"/>
        <v>RC</v>
      </c>
      <c r="X5" s="5" t="str">
        <f t="shared" si="12"/>
        <v>33.945%</v>
      </c>
      <c r="Y5" s="5"/>
    </row>
    <row r="6" spans="1:43">
      <c r="A6">
        <v>23</v>
      </c>
      <c r="B6" t="s">
        <v>96</v>
      </c>
      <c r="C6">
        <v>24105333</v>
      </c>
      <c r="D6">
        <v>0.20630000000000001</v>
      </c>
      <c r="E6">
        <v>0.20580000000000001</v>
      </c>
      <c r="F6">
        <v>111</v>
      </c>
      <c r="G6" t="s">
        <v>96</v>
      </c>
      <c r="H6">
        <v>30865179</v>
      </c>
      <c r="I6">
        <v>0.375</v>
      </c>
      <c r="J6">
        <v>0.36470000000000002</v>
      </c>
      <c r="K6">
        <v>327</v>
      </c>
      <c r="L6" s="5" t="b">
        <f t="shared" si="0"/>
        <v>1</v>
      </c>
      <c r="M6" s="5">
        <f t="shared" si="1"/>
        <v>-6759846</v>
      </c>
      <c r="N6" s="5" t="str">
        <f t="shared" si="2"/>
        <v>RC</v>
      </c>
      <c r="O6" s="5" t="str">
        <f t="shared" si="3"/>
        <v>78.099%</v>
      </c>
      <c r="P6" s="5">
        <f t="shared" si="4"/>
        <v>-0.16869999999999999</v>
      </c>
      <c r="Q6" s="5" t="str">
        <f t="shared" si="5"/>
        <v>RC</v>
      </c>
      <c r="R6" s="5" t="str">
        <f t="shared" si="6"/>
        <v>55.013%</v>
      </c>
      <c r="S6" s="5">
        <f t="shared" si="7"/>
        <v>-0.15890000000000001</v>
      </c>
      <c r="T6" s="5" t="str">
        <f t="shared" si="8"/>
        <v>RC</v>
      </c>
      <c r="U6" s="5" t="str">
        <f t="shared" si="9"/>
        <v>56.430%</v>
      </c>
      <c r="V6" s="5">
        <f t="shared" si="10"/>
        <v>-216</v>
      </c>
      <c r="W6" s="5" t="str">
        <f t="shared" si="11"/>
        <v>RC</v>
      </c>
      <c r="X6" s="5" t="str">
        <f t="shared" si="12"/>
        <v>33.945%</v>
      </c>
      <c r="Y6" s="5"/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96</v>
      </c>
      <c r="C7">
        <v>56259920</v>
      </c>
      <c r="D7">
        <v>0.5141</v>
      </c>
      <c r="E7">
        <v>0.50480000000000003</v>
      </c>
      <c r="F7">
        <v>227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s="5" t="str">
        <f t="shared" si="0"/>
        <v>--</v>
      </c>
      <c r="M7" s="5" t="str">
        <f t="shared" si="1"/>
        <v>--</v>
      </c>
      <c r="N7" s="5" t="str">
        <f t="shared" si="2"/>
        <v>RC</v>
      </c>
      <c r="O7" s="5" t="str">
        <f t="shared" si="3"/>
        <v>--</v>
      </c>
      <c r="P7" s="5" t="str">
        <f t="shared" si="4"/>
        <v>--</v>
      </c>
      <c r="Q7" s="5" t="str">
        <f t="shared" si="5"/>
        <v>RC</v>
      </c>
      <c r="R7" s="5" t="str">
        <f t="shared" si="6"/>
        <v>--</v>
      </c>
      <c r="S7" s="5" t="str">
        <f t="shared" si="7"/>
        <v>--</v>
      </c>
      <c r="T7" s="5" t="str">
        <f t="shared" si="8"/>
        <v>RC</v>
      </c>
      <c r="U7" s="5" t="str">
        <f t="shared" si="9"/>
        <v>--</v>
      </c>
      <c r="V7" s="5" t="str">
        <f t="shared" si="10"/>
        <v>--</v>
      </c>
      <c r="W7" s="5" t="str">
        <f t="shared" si="11"/>
        <v>RC</v>
      </c>
      <c r="X7" s="5" t="str">
        <f t="shared" si="12"/>
        <v>--</v>
      </c>
      <c r="Y7" s="5"/>
      <c r="Z7" s="5" t="s">
        <v>30</v>
      </c>
      <c r="AA7">
        <f>COUNTIF(N:N,$Z7)</f>
        <v>46</v>
      </c>
      <c r="AB7" s="6">
        <f>AA7/AA$11</f>
        <v>0.68656716417910446</v>
      </c>
      <c r="AC7">
        <f>COUNTIF(Q:Q,$Z7)</f>
        <v>46</v>
      </c>
      <c r="AD7" s="6">
        <f>AC7/AC$11</f>
        <v>0.68656716417910446</v>
      </c>
      <c r="AE7">
        <f>COUNTIF(T:T,$Z7)</f>
        <v>46</v>
      </c>
      <c r="AF7" s="6">
        <f>AE7/AE$11</f>
        <v>0.68656716417910446</v>
      </c>
      <c r="AG7">
        <f>COUNTIF(W:W,$Z7)</f>
        <v>46</v>
      </c>
      <c r="AH7" s="6">
        <f>AG7/AG$11</f>
        <v>0.68656716417910446</v>
      </c>
      <c r="AJ7">
        <f>COUNTA(B2:B68)-COUNTIF(B2:B68,"*TIME OUT*")-COUNTIF(B2:B68,"*ERROR*")</f>
        <v>46</v>
      </c>
      <c r="AK7" s="6">
        <f>AJ7/67</f>
        <v>0.68656716417910446</v>
      </c>
      <c r="AL7">
        <f>COUNTIF(B2:B68,"*TIME OUT*")</f>
        <v>20</v>
      </c>
      <c r="AM7" s="6">
        <f>AL7/67</f>
        <v>0.29850746268656714</v>
      </c>
      <c r="AN7">
        <f>COUNTIF(B2:B68,"*ERROR*")</f>
        <v>1</v>
      </c>
      <c r="AO7" s="6">
        <f>AN7/67</f>
        <v>1.4925373134328358E-2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2037351</v>
      </c>
      <c r="D8" s="22">
        <v>1.5599999999999999E-2</v>
      </c>
      <c r="E8" s="22">
        <v>1.5599999999999999E-2</v>
      </c>
      <c r="F8">
        <v>9</v>
      </c>
      <c r="G8" t="s">
        <v>96</v>
      </c>
      <c r="H8">
        <v>5139099</v>
      </c>
      <c r="I8" s="22">
        <v>5.7799999999999997E-2</v>
      </c>
      <c r="J8" s="22">
        <v>5.5800000000000002E-2</v>
      </c>
      <c r="K8">
        <v>57</v>
      </c>
      <c r="L8" s="5" t="b">
        <f t="shared" si="0"/>
        <v>1</v>
      </c>
      <c r="M8" s="5">
        <f t="shared" si="1"/>
        <v>-3101748</v>
      </c>
      <c r="N8" s="5" t="str">
        <f t="shared" si="2"/>
        <v>RC</v>
      </c>
      <c r="O8" s="5" t="str">
        <f t="shared" si="3"/>
        <v>39.644%</v>
      </c>
      <c r="P8" s="5">
        <f t="shared" si="4"/>
        <v>-4.2200000000000001E-2</v>
      </c>
      <c r="Q8" s="5" t="str">
        <f t="shared" si="5"/>
        <v>RC</v>
      </c>
      <c r="R8" s="5" t="str">
        <f t="shared" si="6"/>
        <v>26.990%</v>
      </c>
      <c r="S8" s="5">
        <f t="shared" si="7"/>
        <v>-4.02E-2</v>
      </c>
      <c r="T8" s="5" t="str">
        <f t="shared" si="8"/>
        <v>RC</v>
      </c>
      <c r="U8" s="5" t="str">
        <f t="shared" si="9"/>
        <v>27.957%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14</v>
      </c>
      <c r="AK8" s="6">
        <f>AJ8/67</f>
        <v>0.20895522388059701</v>
      </c>
      <c r="AL8">
        <f>COUNTIF(G2:G68,"*TIME OUT*")</f>
        <v>21</v>
      </c>
      <c r="AM8" s="6">
        <f>AL8/67</f>
        <v>0.31343283582089554</v>
      </c>
      <c r="AN8">
        <f>COUNTIF(G2:G68,"*ERROR*")</f>
        <v>32</v>
      </c>
      <c r="AO8" s="6">
        <f>AN8/67</f>
        <v>0.47761194029850745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96</v>
      </c>
      <c r="C9">
        <v>53326548</v>
      </c>
      <c r="D9">
        <v>0.48280000000000001</v>
      </c>
      <c r="E9">
        <v>0.47170000000000001</v>
      </c>
      <c r="F9">
        <v>235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s="5" t="str">
        <f t="shared" si="0"/>
        <v>--</v>
      </c>
      <c r="M9" s="5" t="str">
        <f t="shared" si="1"/>
        <v>--</v>
      </c>
      <c r="N9" s="5" t="str">
        <f t="shared" si="2"/>
        <v>RC</v>
      </c>
      <c r="O9" s="5" t="str">
        <f t="shared" si="3"/>
        <v>--</v>
      </c>
      <c r="P9" s="5" t="str">
        <f t="shared" si="4"/>
        <v>--</v>
      </c>
      <c r="Q9" s="5" t="str">
        <f t="shared" si="5"/>
        <v>RC</v>
      </c>
      <c r="R9" s="5" t="str">
        <f t="shared" si="6"/>
        <v>--</v>
      </c>
      <c r="S9" s="5" t="str">
        <f t="shared" si="7"/>
        <v>--</v>
      </c>
      <c r="T9" s="5" t="str">
        <f t="shared" si="8"/>
        <v>RC</v>
      </c>
      <c r="U9" s="5" t="str">
        <f t="shared" si="9"/>
        <v>--</v>
      </c>
      <c r="V9" s="5" t="str">
        <f t="shared" si="10"/>
        <v>--</v>
      </c>
      <c r="W9" s="5" t="str">
        <f t="shared" si="11"/>
        <v>RC</v>
      </c>
      <c r="X9" s="5" t="str">
        <f t="shared" si="12"/>
        <v>--</v>
      </c>
      <c r="Y9" s="5"/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0</v>
      </c>
      <c r="AH9" s="6">
        <f>AG9/AG$11</f>
        <v>0</v>
      </c>
    </row>
    <row r="10" spans="1:43">
      <c r="A10">
        <v>28</v>
      </c>
      <c r="B10" t="s">
        <v>96</v>
      </c>
      <c r="C10">
        <v>59111101</v>
      </c>
      <c r="D10">
        <v>0.62339999999999995</v>
      </c>
      <c r="E10">
        <v>0.64729999999999999</v>
      </c>
      <c r="F10">
        <v>235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s="5" t="str">
        <f t="shared" si="0"/>
        <v>--</v>
      </c>
      <c r="M10" s="5" t="str">
        <f t="shared" si="1"/>
        <v>--</v>
      </c>
      <c r="N10" s="5" t="str">
        <f t="shared" si="2"/>
        <v>RC</v>
      </c>
      <c r="O10" s="5" t="str">
        <f t="shared" si="3"/>
        <v>--</v>
      </c>
      <c r="P10" s="5" t="str">
        <f t="shared" si="4"/>
        <v>--</v>
      </c>
      <c r="Q10" s="5" t="str">
        <f t="shared" si="5"/>
        <v>RC</v>
      </c>
      <c r="R10" s="5" t="str">
        <f t="shared" si="6"/>
        <v>--</v>
      </c>
      <c r="S10" s="5" t="str">
        <f t="shared" si="7"/>
        <v>--</v>
      </c>
      <c r="T10" s="5" t="str">
        <f t="shared" si="8"/>
        <v>RC</v>
      </c>
      <c r="U10" s="5" t="str">
        <f t="shared" si="9"/>
        <v>--</v>
      </c>
      <c r="V10" s="5" t="str">
        <f t="shared" si="10"/>
        <v>--</v>
      </c>
      <c r="W10" s="5" t="str">
        <f t="shared" si="11"/>
        <v>RC</v>
      </c>
      <c r="X10" s="5" t="str">
        <f t="shared" si="12"/>
        <v>--</v>
      </c>
      <c r="Y10" s="5"/>
      <c r="Z10" s="7" t="s">
        <v>34</v>
      </c>
      <c r="AA10">
        <f>COUNTIF(N:N,$Z10)</f>
        <v>21</v>
      </c>
      <c r="AB10" s="6">
        <f>AA10/AA$11</f>
        <v>0.31343283582089554</v>
      </c>
      <c r="AC10">
        <f>COUNTIF(Q:Q,$Z10)</f>
        <v>21</v>
      </c>
      <c r="AD10" s="6">
        <f>AC10/AC$11</f>
        <v>0.31343283582089554</v>
      </c>
      <c r="AE10">
        <f>COUNTIF(T:T,$Z10)</f>
        <v>21</v>
      </c>
      <c r="AF10" s="6">
        <f>AE10/AE$11</f>
        <v>0.31343283582089554</v>
      </c>
      <c r="AG10">
        <f>COUNTIF(W:W,$Z10)</f>
        <v>21</v>
      </c>
      <c r="AH10" s="6">
        <f>AG10/AG$11</f>
        <v>0.31343283582089554</v>
      </c>
    </row>
    <row r="11" spans="1:43">
      <c r="A11">
        <v>29</v>
      </c>
      <c r="B11" t="s">
        <v>96</v>
      </c>
      <c r="C11">
        <v>56711496</v>
      </c>
      <c r="D11">
        <v>0.48749999999999999</v>
      </c>
      <c r="E11">
        <v>0.4824</v>
      </c>
      <c r="F11">
        <v>235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s="5" t="str">
        <f t="shared" si="0"/>
        <v>--</v>
      </c>
      <c r="M11" s="5" t="str">
        <f t="shared" si="1"/>
        <v>--</v>
      </c>
      <c r="N11" s="5" t="str">
        <f t="shared" si="2"/>
        <v>RC</v>
      </c>
      <c r="O11" s="5" t="str">
        <f t="shared" si="3"/>
        <v>--</v>
      </c>
      <c r="P11" s="5" t="str">
        <f t="shared" si="4"/>
        <v>--</v>
      </c>
      <c r="Q11" s="5" t="str">
        <f t="shared" si="5"/>
        <v>RC</v>
      </c>
      <c r="R11" s="5" t="str">
        <f t="shared" si="6"/>
        <v>--</v>
      </c>
      <c r="S11" s="5" t="str">
        <f t="shared" si="7"/>
        <v>--</v>
      </c>
      <c r="T11" s="5" t="str">
        <f t="shared" si="8"/>
        <v>RC</v>
      </c>
      <c r="U11" s="5" t="str">
        <f t="shared" si="9"/>
        <v>--</v>
      </c>
      <c r="V11" s="5" t="str">
        <f t="shared" si="10"/>
        <v>--</v>
      </c>
      <c r="W11" s="5" t="str">
        <f t="shared" si="11"/>
        <v>RC</v>
      </c>
      <c r="X11" s="5" t="str">
        <f t="shared" si="12"/>
        <v>--</v>
      </c>
      <c r="Y11" s="5"/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96</v>
      </c>
      <c r="C12">
        <v>56788369</v>
      </c>
      <c r="D12">
        <v>0.50470000000000004</v>
      </c>
      <c r="E12">
        <v>0.4879</v>
      </c>
      <c r="F12">
        <v>227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s="5" t="str">
        <f t="shared" si="0"/>
        <v>--</v>
      </c>
      <c r="M12" s="5" t="str">
        <f t="shared" si="1"/>
        <v>--</v>
      </c>
      <c r="N12" s="5" t="str">
        <f t="shared" si="2"/>
        <v>RC</v>
      </c>
      <c r="O12" s="5" t="str">
        <f t="shared" si="3"/>
        <v>--</v>
      </c>
      <c r="P12" s="5" t="str">
        <f t="shared" si="4"/>
        <v>--</v>
      </c>
      <c r="Q12" s="5" t="str">
        <f t="shared" si="5"/>
        <v>RC</v>
      </c>
      <c r="R12" s="5" t="str">
        <f t="shared" si="6"/>
        <v>--</v>
      </c>
      <c r="S12" s="5" t="str">
        <f t="shared" si="7"/>
        <v>--</v>
      </c>
      <c r="T12" s="5" t="str">
        <f t="shared" si="8"/>
        <v>RC</v>
      </c>
      <c r="U12" s="5" t="str">
        <f t="shared" si="9"/>
        <v>--</v>
      </c>
      <c r="V12" s="5" t="str">
        <f t="shared" si="10"/>
        <v>--</v>
      </c>
      <c r="W12" s="5" t="str">
        <f t="shared" si="11"/>
        <v>RC</v>
      </c>
      <c r="X12" s="5" t="str">
        <f t="shared" si="12"/>
        <v>--</v>
      </c>
      <c r="Y12" s="5"/>
    </row>
    <row r="13" spans="1:43">
      <c r="A13">
        <v>31</v>
      </c>
      <c r="B13" t="s">
        <v>96</v>
      </c>
      <c r="C13">
        <v>2246963</v>
      </c>
      <c r="D13" s="22">
        <v>1.5599999999999999E-2</v>
      </c>
      <c r="E13" s="22">
        <v>1.5800000000000002E-2</v>
      </c>
      <c r="F13">
        <v>9</v>
      </c>
      <c r="G13" t="s">
        <v>96</v>
      </c>
      <c r="H13">
        <v>5137446</v>
      </c>
      <c r="I13" s="22">
        <v>5.6300000000000003E-2</v>
      </c>
      <c r="J13" s="22">
        <v>5.5100000000000003E-2</v>
      </c>
      <c r="K13">
        <v>57</v>
      </c>
      <c r="L13" s="5" t="b">
        <f t="shared" si="0"/>
        <v>1</v>
      </c>
      <c r="M13" s="5">
        <f t="shared" si="1"/>
        <v>-2890483</v>
      </c>
      <c r="N13" s="5" t="str">
        <f t="shared" si="2"/>
        <v>RC</v>
      </c>
      <c r="O13" s="5" t="str">
        <f t="shared" si="3"/>
        <v>43.737%</v>
      </c>
      <c r="P13" s="5">
        <f t="shared" si="4"/>
        <v>-4.07E-2</v>
      </c>
      <c r="Q13" s="5" t="str">
        <f t="shared" si="5"/>
        <v>RC</v>
      </c>
      <c r="R13" s="5" t="str">
        <f t="shared" si="6"/>
        <v>27.709%</v>
      </c>
      <c r="S13" s="5">
        <f t="shared" si="7"/>
        <v>-3.9300000000000002E-2</v>
      </c>
      <c r="T13" s="5" t="str">
        <f t="shared" si="8"/>
        <v>RC</v>
      </c>
      <c r="U13" s="5" t="str">
        <f t="shared" si="9"/>
        <v>28.675%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/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96</v>
      </c>
      <c r="C14">
        <v>54708223</v>
      </c>
      <c r="D14">
        <v>0.4703</v>
      </c>
      <c r="E14">
        <v>0.4667</v>
      </c>
      <c r="F14">
        <v>235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s="5" t="str">
        <f t="shared" si="0"/>
        <v>--</v>
      </c>
      <c r="M14" s="5" t="str">
        <f t="shared" si="1"/>
        <v>--</v>
      </c>
      <c r="N14" s="5" t="str">
        <f t="shared" si="2"/>
        <v>RC</v>
      </c>
      <c r="O14" s="5" t="str">
        <f t="shared" si="3"/>
        <v>--</v>
      </c>
      <c r="P14" s="5" t="str">
        <f t="shared" si="4"/>
        <v>--</v>
      </c>
      <c r="Q14" s="5" t="str">
        <f t="shared" si="5"/>
        <v>RC</v>
      </c>
      <c r="R14" s="5" t="str">
        <f t="shared" si="6"/>
        <v>--</v>
      </c>
      <c r="S14" s="5" t="str">
        <f t="shared" si="7"/>
        <v>--</v>
      </c>
      <c r="T14" s="5" t="str">
        <f t="shared" si="8"/>
        <v>RC</v>
      </c>
      <c r="U14" s="5" t="str">
        <f t="shared" si="9"/>
        <v>--</v>
      </c>
      <c r="V14" s="5" t="str">
        <f t="shared" si="10"/>
        <v>--</v>
      </c>
      <c r="W14" s="5" t="str">
        <f t="shared" si="11"/>
        <v>RC</v>
      </c>
      <c r="X14" s="5" t="str">
        <f t="shared" si="12"/>
        <v>--</v>
      </c>
      <c r="Y14" s="5"/>
      <c r="Z14" s="5" t="s">
        <v>30</v>
      </c>
      <c r="AA14">
        <f>COUNTIF(N:N,$Z7)-COUNTIFS(N:N,$Z7,O:O,"--")</f>
        <v>14</v>
      </c>
      <c r="AB14" s="6">
        <f>AA14/AA$11</f>
        <v>0.20895522388059701</v>
      </c>
      <c r="AC14">
        <f>COUNTIF(Q:Q,$Z7)-COUNTIFS(Q:Q,$Z7,R:R,"--")</f>
        <v>14</v>
      </c>
      <c r="AD14" s="6">
        <f>AC14/AC$11</f>
        <v>0.20895522388059701</v>
      </c>
      <c r="AE14">
        <f>COUNTIF(T:T,$Z7)-COUNTIFS(T:T,$Z7,U:U,"--")</f>
        <v>14</v>
      </c>
      <c r="AF14" s="6">
        <f>AE14/AE$11</f>
        <v>0.20895522388059701</v>
      </c>
      <c r="AG14">
        <f>COUNTIF(W:W,$Z7)-COUNTIFS(W:W,$Z7,X:X,"--")</f>
        <v>14</v>
      </c>
      <c r="AH14" s="6">
        <f>AG14/AG$11</f>
        <v>0.20895522388059701</v>
      </c>
    </row>
    <row r="15" spans="1:43">
      <c r="A15">
        <v>33</v>
      </c>
      <c r="B15" t="s">
        <v>96</v>
      </c>
      <c r="C15">
        <v>59703332</v>
      </c>
      <c r="D15">
        <v>0.52810000000000001</v>
      </c>
      <c r="E15">
        <v>0.50739999999999996</v>
      </c>
      <c r="F15">
        <v>235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s="5" t="str">
        <f t="shared" si="0"/>
        <v>--</v>
      </c>
      <c r="M15" s="5" t="str">
        <f t="shared" si="1"/>
        <v>--</v>
      </c>
      <c r="N15" s="5" t="str">
        <f t="shared" si="2"/>
        <v>RC</v>
      </c>
      <c r="O15" s="5" t="str">
        <f t="shared" si="3"/>
        <v>--</v>
      </c>
      <c r="P15" s="5" t="str">
        <f t="shared" si="4"/>
        <v>--</v>
      </c>
      <c r="Q15" s="5" t="str">
        <f t="shared" si="5"/>
        <v>RC</v>
      </c>
      <c r="R15" s="5" t="str">
        <f t="shared" si="6"/>
        <v>--</v>
      </c>
      <c r="S15" s="5" t="str">
        <f t="shared" si="7"/>
        <v>--</v>
      </c>
      <c r="T15" s="5" t="str">
        <f t="shared" si="8"/>
        <v>RC</v>
      </c>
      <c r="U15" s="5" t="str">
        <f t="shared" si="9"/>
        <v>--</v>
      </c>
      <c r="V15" s="5" t="str">
        <f t="shared" si="10"/>
        <v>--</v>
      </c>
      <c r="W15" s="5" t="str">
        <f t="shared" si="11"/>
        <v>RC</v>
      </c>
      <c r="X15" s="5" t="str">
        <f t="shared" si="12"/>
        <v>--</v>
      </c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>COUNTIF(Q:Q,$Z8)-COUNTIFS(Q:Q,$Z8,R:R,"--")</f>
        <v>0</v>
      </c>
      <c r="AD15" s="6">
        <f>AC15/AC$11</f>
        <v>0</v>
      </c>
      <c r="AE15">
        <f>COUNTIF(T:T,$Z8)-COUNTIFS(T:T,$Z8,U:U,"--")</f>
        <v>0</v>
      </c>
      <c r="AF15" s="6">
        <f>AE15/AE$11</f>
        <v>0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96</v>
      </c>
      <c r="C16">
        <v>58389430</v>
      </c>
      <c r="D16">
        <v>0.51090000000000002</v>
      </c>
      <c r="E16">
        <v>0.50260000000000005</v>
      </c>
      <c r="F16">
        <v>235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s="5" t="str">
        <f t="shared" si="0"/>
        <v>--</v>
      </c>
      <c r="M16" s="5" t="str">
        <f t="shared" si="1"/>
        <v>--</v>
      </c>
      <c r="N16" s="5" t="str">
        <f t="shared" si="2"/>
        <v>RC</v>
      </c>
      <c r="O16" s="5" t="str">
        <f t="shared" si="3"/>
        <v>--</v>
      </c>
      <c r="P16" s="5" t="str">
        <f t="shared" si="4"/>
        <v>--</v>
      </c>
      <c r="Q16" s="5" t="str">
        <f t="shared" si="5"/>
        <v>RC</v>
      </c>
      <c r="R16" s="5" t="str">
        <f t="shared" si="6"/>
        <v>--</v>
      </c>
      <c r="S16" s="5" t="str">
        <f t="shared" si="7"/>
        <v>--</v>
      </c>
      <c r="T16" s="5" t="str">
        <f t="shared" si="8"/>
        <v>RC</v>
      </c>
      <c r="U16" s="5" t="str">
        <f t="shared" si="9"/>
        <v>--</v>
      </c>
      <c r="V16" s="5" t="str">
        <f t="shared" si="10"/>
        <v>--</v>
      </c>
      <c r="W16" s="5" t="str">
        <f t="shared" si="11"/>
        <v>RC</v>
      </c>
      <c r="X16" s="5" t="str">
        <f t="shared" si="12"/>
        <v>--</v>
      </c>
      <c r="Y16" s="5"/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0</v>
      </c>
      <c r="AH16" s="6">
        <f>AG16/AG$11</f>
        <v>0</v>
      </c>
    </row>
    <row r="17" spans="1:34">
      <c r="A17">
        <v>36</v>
      </c>
      <c r="B17" t="s">
        <v>96</v>
      </c>
      <c r="C17">
        <v>112535450</v>
      </c>
      <c r="D17">
        <v>1.0046999999999999</v>
      </c>
      <c r="E17">
        <v>0.97050000000000003</v>
      </c>
      <c r="F17">
        <v>433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s="5" t="str">
        <f t="shared" si="0"/>
        <v>--</v>
      </c>
      <c r="M17" s="5" t="str">
        <f t="shared" si="1"/>
        <v>--</v>
      </c>
      <c r="N17" s="5" t="str">
        <f t="shared" si="2"/>
        <v>RC</v>
      </c>
      <c r="O17" s="5" t="str">
        <f t="shared" si="3"/>
        <v>--</v>
      </c>
      <c r="P17" s="5" t="str">
        <f t="shared" si="4"/>
        <v>--</v>
      </c>
      <c r="Q17" s="5" t="str">
        <f t="shared" si="5"/>
        <v>RC</v>
      </c>
      <c r="R17" s="5" t="str">
        <f t="shared" si="6"/>
        <v>--</v>
      </c>
      <c r="S17" s="5" t="str">
        <f t="shared" si="7"/>
        <v>--</v>
      </c>
      <c r="T17" s="5" t="str">
        <f t="shared" si="8"/>
        <v>RC</v>
      </c>
      <c r="U17" s="5" t="str">
        <f t="shared" si="9"/>
        <v>--</v>
      </c>
      <c r="V17" s="5" t="str">
        <f t="shared" si="10"/>
        <v>--</v>
      </c>
      <c r="W17" s="5" t="str">
        <f t="shared" si="11"/>
        <v>RC</v>
      </c>
      <c r="X17" s="5" t="str">
        <f t="shared" si="12"/>
        <v>--</v>
      </c>
      <c r="Y17" s="5"/>
      <c r="Z17" s="7" t="s">
        <v>34</v>
      </c>
      <c r="AA17">
        <f>COUNTIF(O:O,"--")</f>
        <v>53</v>
      </c>
      <c r="AB17" s="6">
        <f>AA17/AA$11</f>
        <v>0.79104477611940294</v>
      </c>
      <c r="AC17">
        <f>COUNTIF(R:R,"--")</f>
        <v>53</v>
      </c>
      <c r="AD17" s="6">
        <f>AC17/AC$11</f>
        <v>0.79104477611940294</v>
      </c>
      <c r="AE17">
        <f>COUNTIF(U:U,"--")</f>
        <v>53</v>
      </c>
      <c r="AF17" s="6">
        <f>AE17/AE$11</f>
        <v>0.79104477611940294</v>
      </c>
      <c r="AG17">
        <f>COUNTIF(X:X,"--")</f>
        <v>53</v>
      </c>
      <c r="AH17" s="6">
        <f>AG17/AG$11</f>
        <v>0.79104477611940294</v>
      </c>
    </row>
    <row r="18" spans="1:34">
      <c r="A18">
        <v>38</v>
      </c>
      <c r="B18" t="s">
        <v>96</v>
      </c>
      <c r="C18">
        <v>106160098</v>
      </c>
      <c r="D18">
        <v>0.95630000000000004</v>
      </c>
      <c r="E18">
        <v>0.92090000000000005</v>
      </c>
      <c r="F18">
        <v>433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s="5" t="str">
        <f t="shared" si="0"/>
        <v>--</v>
      </c>
      <c r="M18" s="5" t="str">
        <f t="shared" si="1"/>
        <v>--</v>
      </c>
      <c r="N18" s="5" t="str">
        <f t="shared" si="2"/>
        <v>RC</v>
      </c>
      <c r="O18" s="5" t="str">
        <f t="shared" si="3"/>
        <v>--</v>
      </c>
      <c r="P18" s="5" t="str">
        <f t="shared" si="4"/>
        <v>--</v>
      </c>
      <c r="Q18" s="5" t="str">
        <f t="shared" si="5"/>
        <v>RC</v>
      </c>
      <c r="R18" s="5" t="str">
        <f t="shared" si="6"/>
        <v>--</v>
      </c>
      <c r="S18" s="5" t="str">
        <f t="shared" si="7"/>
        <v>--</v>
      </c>
      <c r="T18" s="5" t="str">
        <f t="shared" si="8"/>
        <v>RC</v>
      </c>
      <c r="U18" s="5" t="str">
        <f t="shared" si="9"/>
        <v>--</v>
      </c>
      <c r="V18" s="5" t="str">
        <f t="shared" si="10"/>
        <v>--</v>
      </c>
      <c r="W18" s="5" t="str">
        <f t="shared" si="11"/>
        <v>RC</v>
      </c>
      <c r="X18" s="5" t="str">
        <f t="shared" si="12"/>
        <v>--</v>
      </c>
      <c r="Y18" s="5"/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96</v>
      </c>
      <c r="C19">
        <v>97547561</v>
      </c>
      <c r="D19">
        <v>0.8609</v>
      </c>
      <c r="E19">
        <v>0.84119999999999995</v>
      </c>
      <c r="F19">
        <v>377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s="5" t="str">
        <f t="shared" si="0"/>
        <v>--</v>
      </c>
      <c r="M19" s="5" t="str">
        <f t="shared" si="1"/>
        <v>--</v>
      </c>
      <c r="N19" s="5" t="str">
        <f t="shared" si="2"/>
        <v>RC</v>
      </c>
      <c r="O19" s="5" t="str">
        <f t="shared" si="3"/>
        <v>--</v>
      </c>
      <c r="P19" s="5" t="str">
        <f t="shared" si="4"/>
        <v>--</v>
      </c>
      <c r="Q19" s="5" t="str">
        <f t="shared" si="5"/>
        <v>RC</v>
      </c>
      <c r="R19" s="5" t="str">
        <f t="shared" si="6"/>
        <v>--</v>
      </c>
      <c r="S19" s="5" t="str">
        <f t="shared" si="7"/>
        <v>--</v>
      </c>
      <c r="T19" s="5" t="str">
        <f t="shared" si="8"/>
        <v>RC</v>
      </c>
      <c r="U19" s="5" t="str">
        <f t="shared" si="9"/>
        <v>--</v>
      </c>
      <c r="V19" s="5" t="str">
        <f t="shared" si="10"/>
        <v>--</v>
      </c>
      <c r="W19" s="5" t="str">
        <f t="shared" si="11"/>
        <v>RC</v>
      </c>
      <c r="X19" s="5" t="str">
        <f t="shared" si="12"/>
        <v>--</v>
      </c>
      <c r="Y19" s="5"/>
      <c r="AD19">
        <f>COUNTIF(W:W,$Z8)-COUNTIFS(W:W,$Z8,V:V,"--")</f>
        <v>0</v>
      </c>
    </row>
    <row r="20" spans="1:34">
      <c r="A20">
        <v>41</v>
      </c>
      <c r="B20" t="s">
        <v>96</v>
      </c>
      <c r="C20">
        <v>98680660</v>
      </c>
      <c r="D20">
        <v>0.87660000000000005</v>
      </c>
      <c r="E20">
        <v>0.85370000000000001</v>
      </c>
      <c r="F20">
        <v>377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s="5" t="str">
        <f t="shared" si="0"/>
        <v>--</v>
      </c>
      <c r="M20" s="5" t="str">
        <f t="shared" si="1"/>
        <v>--</v>
      </c>
      <c r="N20" s="5" t="str">
        <f t="shared" si="2"/>
        <v>RC</v>
      </c>
      <c r="O20" s="5" t="str">
        <f t="shared" si="3"/>
        <v>--</v>
      </c>
      <c r="P20" s="5" t="str">
        <f t="shared" si="4"/>
        <v>--</v>
      </c>
      <c r="Q20" s="5" t="str">
        <f t="shared" si="5"/>
        <v>RC</v>
      </c>
      <c r="R20" s="5" t="str">
        <f t="shared" si="6"/>
        <v>--</v>
      </c>
      <c r="S20" s="5" t="str">
        <f t="shared" si="7"/>
        <v>--</v>
      </c>
      <c r="T20" s="5" t="str">
        <f t="shared" si="8"/>
        <v>RC</v>
      </c>
      <c r="U20" s="5" t="str">
        <f t="shared" si="9"/>
        <v>--</v>
      </c>
      <c r="V20" s="5" t="str">
        <f t="shared" si="10"/>
        <v>--</v>
      </c>
      <c r="W20" s="5" t="str">
        <f t="shared" si="11"/>
        <v>RC</v>
      </c>
      <c r="X20" s="5" t="str">
        <f t="shared" si="12"/>
        <v>--</v>
      </c>
      <c r="Y20" s="5"/>
    </row>
    <row r="21" spans="1:34">
      <c r="A21">
        <v>43</v>
      </c>
      <c r="B21" t="s">
        <v>96</v>
      </c>
      <c r="C21">
        <v>106568589</v>
      </c>
      <c r="D21">
        <v>0.9516</v>
      </c>
      <c r="E21">
        <v>0.90959999999999996</v>
      </c>
      <c r="F21">
        <v>433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s="5" t="str">
        <f t="shared" si="0"/>
        <v>--</v>
      </c>
      <c r="M21" s="5" t="str">
        <f t="shared" si="1"/>
        <v>--</v>
      </c>
      <c r="N21" s="5" t="str">
        <f t="shared" si="2"/>
        <v>RC</v>
      </c>
      <c r="O21" s="5" t="str">
        <f t="shared" si="3"/>
        <v>--</v>
      </c>
      <c r="P21" s="5" t="str">
        <f t="shared" si="4"/>
        <v>--</v>
      </c>
      <c r="Q21" s="5" t="str">
        <f t="shared" si="5"/>
        <v>RC</v>
      </c>
      <c r="R21" s="5" t="str">
        <f t="shared" si="6"/>
        <v>--</v>
      </c>
      <c r="S21" s="5" t="str">
        <f t="shared" si="7"/>
        <v>--</v>
      </c>
      <c r="T21" s="5" t="str">
        <f t="shared" si="8"/>
        <v>RC</v>
      </c>
      <c r="U21" s="5" t="str">
        <f t="shared" si="9"/>
        <v>--</v>
      </c>
      <c r="V21" s="5" t="str">
        <f t="shared" si="10"/>
        <v>--</v>
      </c>
      <c r="W21" s="5" t="str">
        <f t="shared" si="11"/>
        <v>RC</v>
      </c>
      <c r="X21" s="5" t="str">
        <f t="shared" si="12"/>
        <v>--</v>
      </c>
      <c r="Y21" s="5"/>
    </row>
    <row r="22" spans="1:34">
      <c r="A22">
        <v>45</v>
      </c>
      <c r="B22" t="s">
        <v>96</v>
      </c>
      <c r="C22">
        <v>372289707</v>
      </c>
      <c r="D22">
        <v>3.5531999999999999</v>
      </c>
      <c r="E22">
        <v>3.2766000000000002</v>
      </c>
      <c r="F22">
        <v>1901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s="5" t="str">
        <f t="shared" si="0"/>
        <v>--</v>
      </c>
      <c r="M22" s="5" t="str">
        <f t="shared" si="1"/>
        <v>--</v>
      </c>
      <c r="N22" s="5" t="str">
        <f t="shared" si="2"/>
        <v>RC</v>
      </c>
      <c r="O22" s="5" t="str">
        <f t="shared" si="3"/>
        <v>--</v>
      </c>
      <c r="P22" s="5" t="str">
        <f t="shared" si="4"/>
        <v>--</v>
      </c>
      <c r="Q22" s="5" t="str">
        <f t="shared" si="5"/>
        <v>RC</v>
      </c>
      <c r="R22" s="5" t="str">
        <f t="shared" si="6"/>
        <v>--</v>
      </c>
      <c r="S22" s="5" t="str">
        <f t="shared" si="7"/>
        <v>--</v>
      </c>
      <c r="T22" s="5" t="str">
        <f t="shared" si="8"/>
        <v>RC</v>
      </c>
      <c r="U22" s="5" t="str">
        <f t="shared" si="9"/>
        <v>--</v>
      </c>
      <c r="V22" s="5" t="str">
        <f t="shared" si="10"/>
        <v>--</v>
      </c>
      <c r="W22" s="5" t="str">
        <f t="shared" si="11"/>
        <v>RC</v>
      </c>
      <c r="X22" s="5" t="str">
        <f t="shared" si="12"/>
        <v>--</v>
      </c>
      <c r="Y22" s="5"/>
    </row>
    <row r="23" spans="1:34">
      <c r="A23">
        <v>46</v>
      </c>
      <c r="B23" t="s">
        <v>96</v>
      </c>
      <c r="C23">
        <v>218278786</v>
      </c>
      <c r="D23">
        <v>2.0186999999999999</v>
      </c>
      <c r="E23">
        <v>1.9375</v>
      </c>
      <c r="F23">
        <v>849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s="5" t="str">
        <f t="shared" si="0"/>
        <v>--</v>
      </c>
      <c r="M23" s="5" t="str">
        <f t="shared" si="1"/>
        <v>--</v>
      </c>
      <c r="N23" s="5" t="str">
        <f t="shared" si="2"/>
        <v>RC</v>
      </c>
      <c r="O23" s="5" t="str">
        <f t="shared" si="3"/>
        <v>--</v>
      </c>
      <c r="P23" s="5" t="str">
        <f t="shared" si="4"/>
        <v>--</v>
      </c>
      <c r="Q23" s="5" t="str">
        <f t="shared" si="5"/>
        <v>RC</v>
      </c>
      <c r="R23" s="5" t="str">
        <f t="shared" si="6"/>
        <v>--</v>
      </c>
      <c r="S23" s="5" t="str">
        <f t="shared" si="7"/>
        <v>--</v>
      </c>
      <c r="T23" s="5" t="str">
        <f t="shared" si="8"/>
        <v>RC</v>
      </c>
      <c r="U23" s="5" t="str">
        <f t="shared" si="9"/>
        <v>--</v>
      </c>
      <c r="V23" s="5" t="str">
        <f t="shared" si="10"/>
        <v>--</v>
      </c>
      <c r="W23" s="5" t="str">
        <f t="shared" si="11"/>
        <v>RC</v>
      </c>
      <c r="X23" s="5" t="str">
        <f t="shared" si="12"/>
        <v>--</v>
      </c>
      <c r="Y23" s="5"/>
    </row>
    <row r="24" spans="1:34">
      <c r="A24">
        <v>48</v>
      </c>
      <c r="B24" t="s">
        <v>96</v>
      </c>
      <c r="C24">
        <v>372860956</v>
      </c>
      <c r="D24">
        <v>3.5297000000000001</v>
      </c>
      <c r="E24">
        <v>3.2892999999999999</v>
      </c>
      <c r="F24">
        <v>1901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s="5" t="str">
        <f t="shared" si="0"/>
        <v>--</v>
      </c>
      <c r="M24" s="5" t="str">
        <f t="shared" si="1"/>
        <v>--</v>
      </c>
      <c r="N24" s="5" t="str">
        <f t="shared" si="2"/>
        <v>RC</v>
      </c>
      <c r="O24" s="5" t="str">
        <f t="shared" si="3"/>
        <v>--</v>
      </c>
      <c r="P24" s="5" t="str">
        <f t="shared" si="4"/>
        <v>--</v>
      </c>
      <c r="Q24" s="5" t="str">
        <f t="shared" si="5"/>
        <v>RC</v>
      </c>
      <c r="R24" s="5" t="str">
        <f t="shared" si="6"/>
        <v>--</v>
      </c>
      <c r="S24" s="5" t="str">
        <f t="shared" si="7"/>
        <v>--</v>
      </c>
      <c r="T24" s="5" t="str">
        <f t="shared" si="8"/>
        <v>RC</v>
      </c>
      <c r="U24" s="5" t="str">
        <f t="shared" si="9"/>
        <v>--</v>
      </c>
      <c r="V24" s="5" t="str">
        <f t="shared" si="10"/>
        <v>--</v>
      </c>
      <c r="W24" s="5" t="str">
        <f t="shared" si="11"/>
        <v>RC</v>
      </c>
      <c r="X24" s="5" t="str">
        <f t="shared" si="12"/>
        <v>--</v>
      </c>
      <c r="Y24" s="5"/>
    </row>
    <row r="25" spans="1:34">
      <c r="A25">
        <v>49</v>
      </c>
      <c r="B25" t="s">
        <v>96</v>
      </c>
      <c r="C25">
        <v>213963742</v>
      </c>
      <c r="D25">
        <v>1.9328000000000001</v>
      </c>
      <c r="E25">
        <v>1.8532</v>
      </c>
      <c r="F25">
        <v>849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s="5" t="str">
        <f t="shared" si="0"/>
        <v>--</v>
      </c>
      <c r="M25" s="5" t="str">
        <f t="shared" si="1"/>
        <v>--</v>
      </c>
      <c r="N25" s="5" t="str">
        <f t="shared" si="2"/>
        <v>RC</v>
      </c>
      <c r="O25" s="5" t="str">
        <f t="shared" si="3"/>
        <v>--</v>
      </c>
      <c r="P25" s="5" t="str">
        <f t="shared" si="4"/>
        <v>--</v>
      </c>
      <c r="Q25" s="5" t="str">
        <f t="shared" si="5"/>
        <v>RC</v>
      </c>
      <c r="R25" s="5" t="str">
        <f t="shared" si="6"/>
        <v>--</v>
      </c>
      <c r="S25" s="5" t="str">
        <f t="shared" si="7"/>
        <v>--</v>
      </c>
      <c r="T25" s="5" t="str">
        <f t="shared" si="8"/>
        <v>RC</v>
      </c>
      <c r="U25" s="5" t="str">
        <f t="shared" si="9"/>
        <v>--</v>
      </c>
      <c r="V25" s="5" t="str">
        <f t="shared" si="10"/>
        <v>--</v>
      </c>
      <c r="W25" s="5" t="str">
        <f t="shared" si="11"/>
        <v>RC</v>
      </c>
      <c r="X25" s="5" t="str">
        <f t="shared" si="12"/>
        <v>--</v>
      </c>
      <c r="Y25" s="5"/>
      <c r="Z25" t="s">
        <v>40</v>
      </c>
    </row>
    <row r="26" spans="1:34">
      <c r="A26">
        <v>67</v>
      </c>
      <c r="B26" t="s">
        <v>98</v>
      </c>
      <c r="C26">
        <v>13174773</v>
      </c>
      <c r="D26">
        <v>0.1062</v>
      </c>
      <c r="E26">
        <v>0.1062</v>
      </c>
      <c r="F26">
        <v>65</v>
      </c>
      <c r="G26" t="s">
        <v>98</v>
      </c>
      <c r="H26">
        <v>18049444</v>
      </c>
      <c r="I26">
        <v>0.2016</v>
      </c>
      <c r="J26">
        <v>0.2</v>
      </c>
      <c r="K26">
        <v>189</v>
      </c>
      <c r="L26" s="5" t="b">
        <f t="shared" si="0"/>
        <v>1</v>
      </c>
      <c r="M26" s="5">
        <f t="shared" si="1"/>
        <v>-4874671</v>
      </c>
      <c r="N26" s="5" t="str">
        <f t="shared" si="2"/>
        <v>RC</v>
      </c>
      <c r="O26" s="5" t="str">
        <f t="shared" si="3"/>
        <v>72.993%</v>
      </c>
      <c r="P26" s="5">
        <f t="shared" si="4"/>
        <v>-9.5399999999999999E-2</v>
      </c>
      <c r="Q26" s="5" t="str">
        <f t="shared" si="5"/>
        <v>RC</v>
      </c>
      <c r="R26" s="5" t="str">
        <f t="shared" si="6"/>
        <v>52.679%</v>
      </c>
      <c r="S26" s="5">
        <f t="shared" si="7"/>
        <v>-9.3800000000000008E-2</v>
      </c>
      <c r="T26" s="5" t="str">
        <f t="shared" si="8"/>
        <v>RC</v>
      </c>
      <c r="U26" s="5" t="str">
        <f t="shared" si="9"/>
        <v>53.100%</v>
      </c>
      <c r="V26" s="5">
        <f t="shared" si="10"/>
        <v>-124</v>
      </c>
      <c r="W26" s="5" t="str">
        <f t="shared" si="11"/>
        <v>RC</v>
      </c>
      <c r="X26" s="5" t="str">
        <f t="shared" si="12"/>
        <v>34.392%</v>
      </c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46 Successes (68.66%), 20 Timeouts (29.85%), 1 Errors (1.49%).</v>
      </c>
    </row>
    <row r="27" spans="1:34">
      <c r="A27">
        <v>69</v>
      </c>
      <c r="B27" t="s">
        <v>98</v>
      </c>
      <c r="C27">
        <v>12157820</v>
      </c>
      <c r="D27" s="22">
        <v>9.8400000000000001E-2</v>
      </c>
      <c r="E27" s="22">
        <v>9.8500000000000004E-2</v>
      </c>
      <c r="F27">
        <v>65</v>
      </c>
      <c r="G27" t="s">
        <v>98</v>
      </c>
      <c r="H27">
        <v>18041560</v>
      </c>
      <c r="I27">
        <v>0.2046</v>
      </c>
      <c r="J27">
        <v>0.2016</v>
      </c>
      <c r="K27">
        <v>189</v>
      </c>
      <c r="L27" s="5" t="b">
        <f t="shared" si="0"/>
        <v>1</v>
      </c>
      <c r="M27" s="5">
        <f t="shared" si="1"/>
        <v>-5883740</v>
      </c>
      <c r="N27" s="5" t="str">
        <f t="shared" si="2"/>
        <v>RC</v>
      </c>
      <c r="O27" s="5" t="str">
        <f t="shared" si="3"/>
        <v>67.388%</v>
      </c>
      <c r="P27" s="5">
        <f t="shared" si="4"/>
        <v>-0.1062</v>
      </c>
      <c r="Q27" s="5" t="str">
        <f t="shared" si="5"/>
        <v>RC</v>
      </c>
      <c r="R27" s="5" t="str">
        <f t="shared" si="6"/>
        <v>48.094%</v>
      </c>
      <c r="S27" s="5">
        <f t="shared" si="7"/>
        <v>-0.1031</v>
      </c>
      <c r="T27" s="5" t="str">
        <f t="shared" si="8"/>
        <v>RC</v>
      </c>
      <c r="U27" s="5" t="str">
        <f t="shared" si="9"/>
        <v>48.859%</v>
      </c>
      <c r="V27" s="5">
        <f t="shared" si="10"/>
        <v>-124</v>
      </c>
      <c r="W27" s="5" t="str">
        <f t="shared" si="11"/>
        <v>RC</v>
      </c>
      <c r="X27" s="5" t="str">
        <f t="shared" si="12"/>
        <v>34.392%</v>
      </c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14 Successes (20.90%), 21 Timeouts (31.34%), 32 Errors (47.76%).</v>
      </c>
    </row>
    <row r="28" spans="1:34">
      <c r="A28">
        <v>70</v>
      </c>
      <c r="B28" t="s">
        <v>98</v>
      </c>
      <c r="C28">
        <v>25950006</v>
      </c>
      <c r="D28">
        <v>0.2172</v>
      </c>
      <c r="E28">
        <v>0.21249999999999999</v>
      </c>
      <c r="F28">
        <v>111</v>
      </c>
      <c r="G28" t="s">
        <v>98</v>
      </c>
      <c r="H28">
        <v>30875788</v>
      </c>
      <c r="I28">
        <v>0.35930000000000001</v>
      </c>
      <c r="J28">
        <v>0.34839999999999999</v>
      </c>
      <c r="K28">
        <v>327</v>
      </c>
      <c r="L28" s="5" t="b">
        <f t="shared" si="0"/>
        <v>1</v>
      </c>
      <c r="M28" s="5">
        <f t="shared" si="1"/>
        <v>-4925782</v>
      </c>
      <c r="N28" s="5" t="str">
        <f t="shared" si="2"/>
        <v>RC</v>
      </c>
      <c r="O28" s="5" t="str">
        <f t="shared" si="3"/>
        <v>84.046%</v>
      </c>
      <c r="P28" s="5">
        <f t="shared" si="4"/>
        <v>-0.1421</v>
      </c>
      <c r="Q28" s="5" t="str">
        <f t="shared" si="5"/>
        <v>RC</v>
      </c>
      <c r="R28" s="5" t="str">
        <f t="shared" si="6"/>
        <v>60.451%</v>
      </c>
      <c r="S28" s="5">
        <f t="shared" si="7"/>
        <v>-0.13589999999999999</v>
      </c>
      <c r="T28" s="5" t="str">
        <f t="shared" si="8"/>
        <v>RC</v>
      </c>
      <c r="U28" s="5" t="str">
        <f t="shared" si="9"/>
        <v>60.993%</v>
      </c>
      <c r="V28" s="5">
        <f t="shared" si="10"/>
        <v>-216</v>
      </c>
      <c r="W28" s="5" t="str">
        <f t="shared" si="11"/>
        <v>RC</v>
      </c>
      <c r="X28" s="5" t="str">
        <f t="shared" si="12"/>
        <v>33.945%</v>
      </c>
      <c r="Y28" s="5"/>
    </row>
    <row r="29" spans="1:34">
      <c r="A29">
        <v>72</v>
      </c>
      <c r="B29" t="s">
        <v>98</v>
      </c>
      <c r="C29">
        <v>24533152</v>
      </c>
      <c r="D29">
        <v>0.20150000000000001</v>
      </c>
      <c r="E29">
        <v>0.19850000000000001</v>
      </c>
      <c r="F29">
        <v>111</v>
      </c>
      <c r="G29" t="s">
        <v>98</v>
      </c>
      <c r="H29">
        <v>30825681</v>
      </c>
      <c r="I29">
        <v>0.35630000000000001</v>
      </c>
      <c r="J29">
        <v>0.34849999999999998</v>
      </c>
      <c r="K29">
        <v>327</v>
      </c>
      <c r="L29" s="5" t="b">
        <f t="shared" si="0"/>
        <v>1</v>
      </c>
      <c r="M29" s="5">
        <f t="shared" si="1"/>
        <v>-6292529</v>
      </c>
      <c r="N29" s="5" t="str">
        <f t="shared" si="2"/>
        <v>RC</v>
      </c>
      <c r="O29" s="5" t="str">
        <f t="shared" si="3"/>
        <v>79.587%</v>
      </c>
      <c r="P29" s="5">
        <f t="shared" si="4"/>
        <v>-0.15479999999999999</v>
      </c>
      <c r="Q29" s="5" t="str">
        <f t="shared" si="5"/>
        <v>RC</v>
      </c>
      <c r="R29" s="5" t="str">
        <f t="shared" si="6"/>
        <v>56.553%</v>
      </c>
      <c r="S29" s="5">
        <f t="shared" si="7"/>
        <v>-0.14999999999999997</v>
      </c>
      <c r="T29" s="5" t="str">
        <f t="shared" si="8"/>
        <v>RC</v>
      </c>
      <c r="U29" s="5" t="str">
        <f t="shared" si="9"/>
        <v>56.958%</v>
      </c>
      <c r="V29" s="5">
        <f t="shared" si="10"/>
        <v>-216</v>
      </c>
      <c r="W29" s="5" t="str">
        <f t="shared" si="11"/>
        <v>RC</v>
      </c>
      <c r="X29" s="5" t="str">
        <f t="shared" si="12"/>
        <v>33.945%</v>
      </c>
      <c r="Y29" s="5"/>
      <c r="Z29" t="s">
        <v>41</v>
      </c>
    </row>
    <row r="30" spans="1:34">
      <c r="A30">
        <v>73</v>
      </c>
      <c r="B30" t="s">
        <v>98</v>
      </c>
      <c r="C30">
        <v>24114519</v>
      </c>
      <c r="D30">
        <v>0.2</v>
      </c>
      <c r="E30">
        <v>0.19850000000000001</v>
      </c>
      <c r="F30">
        <v>111</v>
      </c>
      <c r="G30" t="s">
        <v>98</v>
      </c>
      <c r="H30">
        <v>30870467</v>
      </c>
      <c r="I30">
        <v>0.35630000000000001</v>
      </c>
      <c r="J30">
        <v>0.3468</v>
      </c>
      <c r="K30">
        <v>327</v>
      </c>
      <c r="L30" s="5" t="b">
        <f t="shared" si="0"/>
        <v>1</v>
      </c>
      <c r="M30" s="5">
        <f t="shared" si="1"/>
        <v>-6755948</v>
      </c>
      <c r="N30" s="5" t="str">
        <f t="shared" si="2"/>
        <v>RC</v>
      </c>
      <c r="O30" s="5" t="str">
        <f t="shared" si="3"/>
        <v>78.115%</v>
      </c>
      <c r="P30" s="5">
        <f t="shared" si="4"/>
        <v>-0.15629999999999999</v>
      </c>
      <c r="Q30" s="5" t="str">
        <f t="shared" si="5"/>
        <v>RC</v>
      </c>
      <c r="R30" s="5" t="str">
        <f t="shared" si="6"/>
        <v>56.132%</v>
      </c>
      <c r="S30" s="5">
        <f t="shared" si="7"/>
        <v>-0.14829999999999999</v>
      </c>
      <c r="T30" s="5" t="str">
        <f t="shared" si="8"/>
        <v>RC</v>
      </c>
      <c r="U30" s="5" t="str">
        <f t="shared" si="9"/>
        <v>57.238%</v>
      </c>
      <c r="V30" s="5">
        <f t="shared" si="10"/>
        <v>-216</v>
      </c>
      <c r="W30" s="5" t="str">
        <f t="shared" si="11"/>
        <v>RC</v>
      </c>
      <c r="X30" s="5" t="str">
        <f t="shared" si="12"/>
        <v>33.945%</v>
      </c>
      <c r="Y30" s="5"/>
      <c r="Z30" t="str">
        <f>Z7&amp;": "&amp;AC7&amp;" ("&amp;TEXT(AD7,"0.00%")&amp;"), "&amp;AC14&amp;" actual ("&amp;TEXT(AD14,"0.00%")&amp;")"</f>
        <v>RC: 46 (68.66%), 14 actual (20.90%)</v>
      </c>
    </row>
    <row r="31" spans="1:34">
      <c r="A31">
        <v>75</v>
      </c>
      <c r="B31" t="s">
        <v>98</v>
      </c>
      <c r="C31">
        <v>56319847</v>
      </c>
      <c r="D31">
        <v>0.48749999999999999</v>
      </c>
      <c r="E31">
        <v>0.47820000000000001</v>
      </c>
      <c r="F31">
        <v>227</v>
      </c>
      <c r="G31" t="s">
        <v>97</v>
      </c>
      <c r="H31" t="s">
        <v>97</v>
      </c>
      <c r="I31" t="s">
        <v>97</v>
      </c>
      <c r="J31" t="s">
        <v>97</v>
      </c>
      <c r="K31" t="s">
        <v>97</v>
      </c>
      <c r="L31" s="5" t="str">
        <f t="shared" si="0"/>
        <v>--</v>
      </c>
      <c r="M31" s="5" t="str">
        <f t="shared" si="1"/>
        <v>--</v>
      </c>
      <c r="N31" s="5" t="str">
        <f t="shared" si="2"/>
        <v>RC</v>
      </c>
      <c r="O31" s="5" t="str">
        <f t="shared" si="3"/>
        <v>--</v>
      </c>
      <c r="P31" s="5" t="str">
        <f t="shared" si="4"/>
        <v>--</v>
      </c>
      <c r="Q31" s="5" t="str">
        <f t="shared" si="5"/>
        <v>RC</v>
      </c>
      <c r="R31" s="5" t="str">
        <f t="shared" si="6"/>
        <v>--</v>
      </c>
      <c r="S31" s="5" t="str">
        <f t="shared" si="7"/>
        <v>--</v>
      </c>
      <c r="T31" s="5" t="str">
        <f t="shared" si="8"/>
        <v>RC</v>
      </c>
      <c r="U31" s="5" t="str">
        <f t="shared" si="9"/>
        <v>--</v>
      </c>
      <c r="V31" s="5" t="str">
        <f t="shared" si="10"/>
        <v>--</v>
      </c>
      <c r="W31" s="5" t="str">
        <f t="shared" si="11"/>
        <v>RC</v>
      </c>
      <c r="X31" s="5" t="str">
        <f t="shared" si="12"/>
        <v>--</v>
      </c>
      <c r="Y31" s="5"/>
      <c r="Z31" t="str">
        <f>Z8&amp;": "&amp;AC8&amp;" ("&amp;TEXT(AD8,"0.00%")&amp;"), "&amp;AC15&amp;" actual ("&amp;TEXT(AD15,"0.00%")&amp;")"</f>
        <v>QE: 0 (0.00%), 0 actual (0.00%)</v>
      </c>
    </row>
    <row r="32" spans="1:34">
      <c r="A32">
        <v>76</v>
      </c>
      <c r="B32" t="s">
        <v>98</v>
      </c>
      <c r="C32">
        <v>2246904</v>
      </c>
      <c r="D32" s="22">
        <v>1.5599999999999999E-2</v>
      </c>
      <c r="E32" s="22">
        <v>1.5599999999999999E-2</v>
      </c>
      <c r="F32">
        <v>9</v>
      </c>
      <c r="G32" t="s">
        <v>98</v>
      </c>
      <c r="H32">
        <v>5137353</v>
      </c>
      <c r="I32" s="22">
        <v>5.6300000000000003E-2</v>
      </c>
      <c r="J32" s="22">
        <v>5.4600000000000003E-2</v>
      </c>
      <c r="K32">
        <v>57</v>
      </c>
      <c r="L32" s="5" t="b">
        <f t="shared" si="0"/>
        <v>1</v>
      </c>
      <c r="M32" s="5">
        <f t="shared" si="1"/>
        <v>-2890449</v>
      </c>
      <c r="N32" s="5" t="str">
        <f t="shared" si="2"/>
        <v>RC</v>
      </c>
      <c r="O32" s="5" t="str">
        <f t="shared" si="3"/>
        <v>43.737%</v>
      </c>
      <c r="P32" s="5">
        <f t="shared" si="4"/>
        <v>-4.07E-2</v>
      </c>
      <c r="Q32" s="5" t="str">
        <f t="shared" si="5"/>
        <v>RC</v>
      </c>
      <c r="R32" s="5" t="str">
        <f t="shared" si="6"/>
        <v>27.709%</v>
      </c>
      <c r="S32" s="5">
        <f t="shared" si="7"/>
        <v>-3.9000000000000007E-2</v>
      </c>
      <c r="T32" s="5" t="str">
        <f t="shared" si="8"/>
        <v>RC</v>
      </c>
      <c r="U32" s="5" t="str">
        <f t="shared" si="9"/>
        <v>28.571%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/>
    </row>
    <row r="33" spans="1:36">
      <c r="A33">
        <v>77</v>
      </c>
      <c r="B33" t="s">
        <v>98</v>
      </c>
      <c r="C33">
        <v>53341624</v>
      </c>
      <c r="D33">
        <v>0.4546</v>
      </c>
      <c r="E33">
        <v>0.4501</v>
      </c>
      <c r="F33">
        <v>235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s="5" t="str">
        <f t="shared" si="0"/>
        <v>--</v>
      </c>
      <c r="M33" s="5" t="str">
        <f t="shared" si="1"/>
        <v>--</v>
      </c>
      <c r="N33" s="5" t="str">
        <f t="shared" si="2"/>
        <v>RC</v>
      </c>
      <c r="O33" s="5" t="str">
        <f t="shared" si="3"/>
        <v>--</v>
      </c>
      <c r="P33" s="5" t="str">
        <f t="shared" si="4"/>
        <v>--</v>
      </c>
      <c r="Q33" s="5" t="str">
        <f t="shared" si="5"/>
        <v>RC</v>
      </c>
      <c r="R33" s="5" t="str">
        <f t="shared" si="6"/>
        <v>--</v>
      </c>
      <c r="S33" s="5" t="str">
        <f t="shared" si="7"/>
        <v>--</v>
      </c>
      <c r="T33" s="5" t="str">
        <f t="shared" si="8"/>
        <v>RC</v>
      </c>
      <c r="U33" s="5" t="str">
        <f t="shared" si="9"/>
        <v>--</v>
      </c>
      <c r="V33" s="5" t="str">
        <f t="shared" si="10"/>
        <v>--</v>
      </c>
      <c r="W33" s="5" t="str">
        <f t="shared" si="11"/>
        <v>RC</v>
      </c>
      <c r="X33" s="5" t="str">
        <f t="shared" si="12"/>
        <v>--</v>
      </c>
      <c r="Y33" s="5"/>
      <c r="Z33" t="s">
        <v>42</v>
      </c>
    </row>
    <row r="34" spans="1:36">
      <c r="A34">
        <v>78</v>
      </c>
      <c r="B34" t="s">
        <v>98</v>
      </c>
      <c r="C34">
        <v>59550452</v>
      </c>
      <c r="D34">
        <v>0.50929999999999997</v>
      </c>
      <c r="E34">
        <v>0.49840000000000001</v>
      </c>
      <c r="F34">
        <v>235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s="5" t="str">
        <f t="shared" si="0"/>
        <v>--</v>
      </c>
      <c r="M34" s="5" t="str">
        <f t="shared" si="1"/>
        <v>--</v>
      </c>
      <c r="N34" s="5" t="str">
        <f t="shared" si="2"/>
        <v>RC</v>
      </c>
      <c r="O34" s="5" t="str">
        <f t="shared" si="3"/>
        <v>--</v>
      </c>
      <c r="P34" s="5" t="str">
        <f t="shared" si="4"/>
        <v>--</v>
      </c>
      <c r="Q34" s="5" t="str">
        <f t="shared" si="5"/>
        <v>RC</v>
      </c>
      <c r="R34" s="5" t="str">
        <f t="shared" si="6"/>
        <v>--</v>
      </c>
      <c r="S34" s="5" t="str">
        <f t="shared" si="7"/>
        <v>--</v>
      </c>
      <c r="T34" s="5" t="str">
        <f t="shared" si="8"/>
        <v>RC</v>
      </c>
      <c r="U34" s="5" t="str">
        <f t="shared" si="9"/>
        <v>--</v>
      </c>
      <c r="V34" s="5" t="str">
        <f t="shared" si="10"/>
        <v>--</v>
      </c>
      <c r="W34" s="5" t="str">
        <f t="shared" si="11"/>
        <v>RC</v>
      </c>
      <c r="X34" s="5" t="str">
        <f t="shared" si="12"/>
        <v>--</v>
      </c>
      <c r="Y34" s="5"/>
      <c r="Z34" t="str">
        <f>Z7&amp;": "&amp;AG7&amp;" ("&amp;TEXT(AH7,"0.00%")&amp;"), "&amp;AG14&amp;" actual ("&amp;TEXT(AH14,"0.00%")&amp;")"</f>
        <v>RC: 46 (68.66%), 14 actual (20.90%)</v>
      </c>
    </row>
    <row r="35" spans="1:36">
      <c r="A35">
        <v>79</v>
      </c>
      <c r="B35" t="s">
        <v>98</v>
      </c>
      <c r="C35">
        <v>57160876</v>
      </c>
      <c r="D35">
        <v>0.4859</v>
      </c>
      <c r="E35">
        <v>0.47610000000000002</v>
      </c>
      <c r="F35">
        <v>235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s="5" t="str">
        <f t="shared" si="0"/>
        <v>--</v>
      </c>
      <c r="M35" s="5" t="str">
        <f t="shared" si="1"/>
        <v>--</v>
      </c>
      <c r="N35" s="5" t="str">
        <f t="shared" si="2"/>
        <v>RC</v>
      </c>
      <c r="O35" s="5" t="str">
        <f t="shared" si="3"/>
        <v>--</v>
      </c>
      <c r="P35" s="5" t="str">
        <f t="shared" si="4"/>
        <v>--</v>
      </c>
      <c r="Q35" s="5" t="str">
        <f t="shared" si="5"/>
        <v>RC</v>
      </c>
      <c r="R35" s="5" t="str">
        <f t="shared" si="6"/>
        <v>--</v>
      </c>
      <c r="S35" s="5" t="str">
        <f t="shared" si="7"/>
        <v>--</v>
      </c>
      <c r="T35" s="5" t="str">
        <f t="shared" si="8"/>
        <v>RC</v>
      </c>
      <c r="U35" s="5" t="str">
        <f t="shared" si="9"/>
        <v>--</v>
      </c>
      <c r="V35" s="5" t="str">
        <f t="shared" si="10"/>
        <v>--</v>
      </c>
      <c r="W35" s="5" t="str">
        <f t="shared" si="11"/>
        <v>RC</v>
      </c>
      <c r="X35" s="5" t="str">
        <f t="shared" si="12"/>
        <v>--</v>
      </c>
      <c r="Y35" s="5"/>
      <c r="Z35" t="str">
        <f>Z8&amp;": "&amp;AG8&amp;" ("&amp;TEXT(AH8,"0.00%")&amp;"), "&amp;AG15&amp;" actual ("&amp;TEXT(AH15,"0.00%")&amp;")"</f>
        <v>QE: 0 (0.00%), 0 actual (0.00%)</v>
      </c>
    </row>
    <row r="36" spans="1:36">
      <c r="A36">
        <v>80</v>
      </c>
      <c r="B36" t="s">
        <v>98</v>
      </c>
      <c r="C36">
        <v>56778733</v>
      </c>
      <c r="D36">
        <v>0.5</v>
      </c>
      <c r="E36">
        <v>0.48130000000000001</v>
      </c>
      <c r="F36">
        <v>227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s="5" t="str">
        <f t="shared" si="0"/>
        <v>--</v>
      </c>
      <c r="M36" s="5" t="str">
        <f t="shared" si="1"/>
        <v>--</v>
      </c>
      <c r="N36" s="5" t="str">
        <f t="shared" si="2"/>
        <v>RC</v>
      </c>
      <c r="O36" s="5" t="str">
        <f t="shared" si="3"/>
        <v>--</v>
      </c>
      <c r="P36" s="5" t="str">
        <f t="shared" si="4"/>
        <v>--</v>
      </c>
      <c r="Q36" s="5" t="str">
        <f t="shared" si="5"/>
        <v>RC</v>
      </c>
      <c r="R36" s="5" t="str">
        <f t="shared" si="6"/>
        <v>--</v>
      </c>
      <c r="S36" s="5" t="str">
        <f t="shared" si="7"/>
        <v>--</v>
      </c>
      <c r="T36" s="5" t="str">
        <f t="shared" si="8"/>
        <v>RC</v>
      </c>
      <c r="U36" s="5" t="str">
        <f t="shared" si="9"/>
        <v>--</v>
      </c>
      <c r="V36" s="5" t="str">
        <f t="shared" si="10"/>
        <v>--</v>
      </c>
      <c r="W36" s="5" t="str">
        <f t="shared" si="11"/>
        <v>RC</v>
      </c>
      <c r="X36" s="5" t="str">
        <f t="shared" si="12"/>
        <v>--</v>
      </c>
      <c r="Y36" s="5"/>
    </row>
    <row r="37" spans="1:36">
      <c r="A37">
        <v>81</v>
      </c>
      <c r="B37" t="s">
        <v>98</v>
      </c>
      <c r="C37">
        <v>2247220</v>
      </c>
      <c r="D37" s="22">
        <v>1.5599999999999999E-2</v>
      </c>
      <c r="E37" s="22">
        <v>1.55E-2</v>
      </c>
      <c r="F37">
        <v>9</v>
      </c>
      <c r="G37" t="s">
        <v>98</v>
      </c>
      <c r="H37">
        <v>5138821</v>
      </c>
      <c r="I37" s="22">
        <v>5.62E-2</v>
      </c>
      <c r="J37" s="22">
        <v>5.57E-2</v>
      </c>
      <c r="K37">
        <v>57</v>
      </c>
      <c r="L37" s="5" t="b">
        <f t="shared" si="0"/>
        <v>1</v>
      </c>
      <c r="M37" s="5">
        <f t="shared" si="1"/>
        <v>-2891601</v>
      </c>
      <c r="N37" s="5" t="str">
        <f t="shared" si="2"/>
        <v>RC</v>
      </c>
      <c r="O37" s="5" t="str">
        <f t="shared" si="3"/>
        <v>43.730%</v>
      </c>
      <c r="P37" s="5">
        <f t="shared" si="4"/>
        <v>-4.0599999999999997E-2</v>
      </c>
      <c r="Q37" s="5" t="str">
        <f t="shared" si="5"/>
        <v>RC</v>
      </c>
      <c r="R37" s="5" t="str">
        <f t="shared" si="6"/>
        <v>27.758%</v>
      </c>
      <c r="S37" s="5">
        <f t="shared" si="7"/>
        <v>-4.02E-2</v>
      </c>
      <c r="T37" s="5" t="str">
        <f t="shared" si="8"/>
        <v>RC</v>
      </c>
      <c r="U37" s="5" t="str">
        <f t="shared" si="9"/>
        <v>27.828%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/>
    </row>
    <row r="38" spans="1:36">
      <c r="A38">
        <v>82</v>
      </c>
      <c r="B38" t="s">
        <v>98</v>
      </c>
      <c r="C38">
        <v>55077524</v>
      </c>
      <c r="D38">
        <v>0.4718</v>
      </c>
      <c r="E38">
        <v>0.46339999999999998</v>
      </c>
      <c r="F38">
        <v>235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s="5" t="str">
        <f t="shared" si="0"/>
        <v>--</v>
      </c>
      <c r="M38" s="5" t="str">
        <f t="shared" si="1"/>
        <v>--</v>
      </c>
      <c r="N38" s="5" t="str">
        <f t="shared" si="2"/>
        <v>RC</v>
      </c>
      <c r="O38" s="5" t="str">
        <f t="shared" si="3"/>
        <v>--</v>
      </c>
      <c r="P38" s="5" t="str">
        <f t="shared" si="4"/>
        <v>--</v>
      </c>
      <c r="Q38" s="5" t="str">
        <f t="shared" si="5"/>
        <v>RC</v>
      </c>
      <c r="R38" s="5" t="str">
        <f t="shared" si="6"/>
        <v>--</v>
      </c>
      <c r="S38" s="5" t="str">
        <f t="shared" si="7"/>
        <v>--</v>
      </c>
      <c r="T38" s="5" t="str">
        <f t="shared" si="8"/>
        <v>RC</v>
      </c>
      <c r="U38" s="5" t="str">
        <f t="shared" si="9"/>
        <v>--</v>
      </c>
      <c r="V38" s="5" t="str">
        <f t="shared" si="10"/>
        <v>--</v>
      </c>
      <c r="W38" s="5" t="str">
        <f t="shared" si="11"/>
        <v>RC</v>
      </c>
      <c r="X38" s="5" t="str">
        <f t="shared" si="12"/>
        <v>--</v>
      </c>
      <c r="Y38" s="5"/>
    </row>
    <row r="39" spans="1:36">
      <c r="A39">
        <v>83</v>
      </c>
      <c r="B39" t="s">
        <v>98</v>
      </c>
      <c r="C39">
        <v>59682676</v>
      </c>
      <c r="D39">
        <v>0.52029999999999998</v>
      </c>
      <c r="E39">
        <v>0.50639999999999996</v>
      </c>
      <c r="F39">
        <v>235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s="5" t="str">
        <f t="shared" si="0"/>
        <v>--</v>
      </c>
      <c r="M39" s="5" t="str">
        <f t="shared" si="1"/>
        <v>--</v>
      </c>
      <c r="N39" s="5" t="str">
        <f t="shared" si="2"/>
        <v>RC</v>
      </c>
      <c r="O39" s="5" t="str">
        <f t="shared" si="3"/>
        <v>--</v>
      </c>
      <c r="P39" s="5" t="str">
        <f t="shared" si="4"/>
        <v>--</v>
      </c>
      <c r="Q39" s="5" t="str">
        <f t="shared" si="5"/>
        <v>RC</v>
      </c>
      <c r="R39" s="5" t="str">
        <f t="shared" si="6"/>
        <v>--</v>
      </c>
      <c r="S39" s="5" t="str">
        <f t="shared" si="7"/>
        <v>--</v>
      </c>
      <c r="T39" s="5" t="str">
        <f t="shared" si="8"/>
        <v>RC</v>
      </c>
      <c r="U39" s="5" t="str">
        <f t="shared" si="9"/>
        <v>--</v>
      </c>
      <c r="V39" s="5" t="str">
        <f t="shared" si="10"/>
        <v>--</v>
      </c>
      <c r="W39" s="5" t="str">
        <f t="shared" si="11"/>
        <v>RC</v>
      </c>
      <c r="X39" s="5" t="str">
        <f t="shared" si="12"/>
        <v>--</v>
      </c>
      <c r="Y39" s="5"/>
    </row>
    <row r="40" spans="1:36">
      <c r="A40">
        <v>84</v>
      </c>
      <c r="B40" t="s">
        <v>98</v>
      </c>
      <c r="C40">
        <v>58385948</v>
      </c>
      <c r="D40">
        <v>0.49840000000000001</v>
      </c>
      <c r="E40">
        <v>0.49230000000000002</v>
      </c>
      <c r="F40">
        <v>235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s="5" t="str">
        <f t="shared" si="0"/>
        <v>--</v>
      </c>
      <c r="M40" s="5" t="str">
        <f t="shared" si="1"/>
        <v>--</v>
      </c>
      <c r="N40" s="5" t="str">
        <f t="shared" si="2"/>
        <v>RC</v>
      </c>
      <c r="O40" s="5" t="str">
        <f t="shared" si="3"/>
        <v>--</v>
      </c>
      <c r="P40" s="5" t="str">
        <f t="shared" si="4"/>
        <v>--</v>
      </c>
      <c r="Q40" s="5" t="str">
        <f t="shared" si="5"/>
        <v>RC</v>
      </c>
      <c r="R40" s="5" t="str">
        <f t="shared" si="6"/>
        <v>--</v>
      </c>
      <c r="S40" s="5" t="str">
        <f t="shared" si="7"/>
        <v>--</v>
      </c>
      <c r="T40" s="5" t="str">
        <f t="shared" si="8"/>
        <v>RC</v>
      </c>
      <c r="U40" s="5" t="str">
        <f t="shared" si="9"/>
        <v>--</v>
      </c>
      <c r="V40" s="5" t="str">
        <f t="shared" si="10"/>
        <v>--</v>
      </c>
      <c r="W40" s="5" t="str">
        <f t="shared" si="11"/>
        <v>RC</v>
      </c>
      <c r="X40" s="5" t="str">
        <f t="shared" si="12"/>
        <v>--</v>
      </c>
      <c r="Y40" s="5"/>
    </row>
    <row r="41" spans="1:36" ht="30">
      <c r="A41">
        <v>86</v>
      </c>
      <c r="B41" t="s">
        <v>98</v>
      </c>
      <c r="C41">
        <v>160150452</v>
      </c>
      <c r="D41">
        <v>1.4234</v>
      </c>
      <c r="E41">
        <v>1.3655999999999999</v>
      </c>
      <c r="F41">
        <v>685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s="5" t="str">
        <f t="shared" si="0"/>
        <v>--</v>
      </c>
      <c r="M41" s="5" t="str">
        <f t="shared" si="1"/>
        <v>--</v>
      </c>
      <c r="N41" s="5" t="str">
        <f t="shared" si="2"/>
        <v>RC</v>
      </c>
      <c r="O41" s="5" t="str">
        <f t="shared" si="3"/>
        <v>--</v>
      </c>
      <c r="P41" s="5" t="str">
        <f t="shared" si="4"/>
        <v>--</v>
      </c>
      <c r="Q41" s="5" t="str">
        <f t="shared" si="5"/>
        <v>RC</v>
      </c>
      <c r="R41" s="5" t="str">
        <f t="shared" si="6"/>
        <v>--</v>
      </c>
      <c r="S41" s="5" t="str">
        <f t="shared" si="7"/>
        <v>--</v>
      </c>
      <c r="T41" s="5" t="str">
        <f t="shared" si="8"/>
        <v>RC</v>
      </c>
      <c r="U41" s="5" t="str">
        <f t="shared" si="9"/>
        <v>--</v>
      </c>
      <c r="V41" s="5" t="str">
        <f t="shared" si="10"/>
        <v>--</v>
      </c>
      <c r="W41" s="5" t="str">
        <f t="shared" si="11"/>
        <v>RC</v>
      </c>
      <c r="X41" s="5" t="str">
        <f t="shared" si="12"/>
        <v>--</v>
      </c>
      <c r="Y41" s="5"/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  <c r="AF41" t="str">
        <f>'1'!Z41</f>
        <v>Both succeed:</v>
      </c>
      <c r="AG41" t="str">
        <f>'1'!AA41</f>
        <v>Total memory</v>
      </c>
      <c r="AH41" t="str">
        <f>'1'!AB41</f>
        <v>total cputime</v>
      </c>
      <c r="AI41" t="str">
        <f>'1'!AC41</f>
        <v>total realtime</v>
      </c>
      <c r="AJ41" t="str">
        <f>'1'!AD41</f>
        <v>total cells</v>
      </c>
    </row>
    <row r="42" spans="1:36">
      <c r="A42">
        <v>88</v>
      </c>
      <c r="B42" t="s">
        <v>98</v>
      </c>
      <c r="C42">
        <v>152065540</v>
      </c>
      <c r="D42">
        <v>1.3514999999999999</v>
      </c>
      <c r="E42">
        <v>1.3032999999999999</v>
      </c>
      <c r="F42">
        <v>685</v>
      </c>
      <c r="G42" t="s">
        <v>57</v>
      </c>
      <c r="H42" t="s">
        <v>57</v>
      </c>
      <c r="I42" t="s">
        <v>57</v>
      </c>
      <c r="J42" t="s">
        <v>57</v>
      </c>
      <c r="K42" t="s">
        <v>57</v>
      </c>
      <c r="L42" s="5" t="str">
        <f t="shared" si="0"/>
        <v>--</v>
      </c>
      <c r="M42" s="5" t="str">
        <f t="shared" si="1"/>
        <v>--</v>
      </c>
      <c r="N42" s="5" t="str">
        <f t="shared" si="2"/>
        <v>RC</v>
      </c>
      <c r="O42" s="5" t="str">
        <f t="shared" si="3"/>
        <v>--</v>
      </c>
      <c r="P42" s="5" t="str">
        <f t="shared" si="4"/>
        <v>--</v>
      </c>
      <c r="Q42" s="5" t="str">
        <f t="shared" si="5"/>
        <v>RC</v>
      </c>
      <c r="R42" s="5" t="str">
        <f t="shared" si="6"/>
        <v>--</v>
      </c>
      <c r="S42" s="5" t="str">
        <f t="shared" si="7"/>
        <v>--</v>
      </c>
      <c r="T42" s="5" t="str">
        <f t="shared" si="8"/>
        <v>RC</v>
      </c>
      <c r="U42" s="5" t="str">
        <f t="shared" si="9"/>
        <v>--</v>
      </c>
      <c r="V42" s="5" t="str">
        <f t="shared" si="10"/>
        <v>--</v>
      </c>
      <c r="W42" s="5" t="str">
        <f t="shared" si="11"/>
        <v>RC</v>
      </c>
      <c r="X42" s="5" t="str">
        <f t="shared" si="12"/>
        <v>--</v>
      </c>
      <c r="Y42" s="5"/>
      <c r="Z42" s="5" t="s">
        <v>30</v>
      </c>
      <c r="AA42">
        <f>SUMIFS(C2:C68,C2:C68,"&gt;0",H2:H68,"&gt;0")</f>
        <v>208615376</v>
      </c>
      <c r="AB42">
        <f>SUMIFS(D2:D68,D2:D68,"&gt;0",I2:I68,"&gt;0")</f>
        <v>1.7530000000000001</v>
      </c>
      <c r="AC42">
        <f>SUMIFS(E2:E68,E2:E68,"&gt;0",J2:J68,"&gt;0")</f>
        <v>1.7386999999999999</v>
      </c>
      <c r="AD42">
        <f>SUMIFS(F2:F68,F2:F68,"&gt;0",K2:K68,"&gt;0")</f>
        <v>962</v>
      </c>
      <c r="AF42" t="str">
        <f>'1'!Z42</f>
        <v>RC</v>
      </c>
      <c r="AG42">
        <f>'1'!AA42</f>
        <v>391904170</v>
      </c>
      <c r="AH42">
        <f>'1'!AB42</f>
        <v>3.4434999999999998</v>
      </c>
      <c r="AI42">
        <f>'1'!AC42</f>
        <v>3.4036</v>
      </c>
      <c r="AJ42">
        <f>'1'!AD42</f>
        <v>2754</v>
      </c>
    </row>
    <row r="43" spans="1:36">
      <c r="A43">
        <v>90</v>
      </c>
      <c r="B43" t="s">
        <v>98</v>
      </c>
      <c r="C43">
        <v>140041405</v>
      </c>
      <c r="D43">
        <v>1.2546999999999999</v>
      </c>
      <c r="E43">
        <v>1.2047000000000001</v>
      </c>
      <c r="F43">
        <v>603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s="5" t="str">
        <f t="shared" si="0"/>
        <v>--</v>
      </c>
      <c r="M43" s="5" t="str">
        <f t="shared" si="1"/>
        <v>--</v>
      </c>
      <c r="N43" s="5" t="str">
        <f t="shared" si="2"/>
        <v>RC</v>
      </c>
      <c r="O43" s="5" t="str">
        <f t="shared" si="3"/>
        <v>--</v>
      </c>
      <c r="P43" s="5" t="str">
        <f t="shared" si="4"/>
        <v>--</v>
      </c>
      <c r="Q43" s="5" t="str">
        <f t="shared" si="5"/>
        <v>RC</v>
      </c>
      <c r="R43" s="5" t="str">
        <f t="shared" si="6"/>
        <v>--</v>
      </c>
      <c r="S43" s="5" t="str">
        <f t="shared" si="7"/>
        <v>--</v>
      </c>
      <c r="T43" s="5" t="str">
        <f t="shared" si="8"/>
        <v>RC</v>
      </c>
      <c r="U43" s="5" t="str">
        <f t="shared" si="9"/>
        <v>--</v>
      </c>
      <c r="V43" s="5" t="str">
        <f t="shared" si="10"/>
        <v>--</v>
      </c>
      <c r="W43" s="5" t="str">
        <f t="shared" si="11"/>
        <v>RC</v>
      </c>
      <c r="X43" s="5" t="str">
        <f t="shared" si="12"/>
        <v>--</v>
      </c>
      <c r="Y43" s="5"/>
      <c r="Z43" s="5" t="s">
        <v>31</v>
      </c>
      <c r="AA43">
        <f>SUMIFS(H2:H68,C2:C68,"&gt;0",H2:H68,"&gt;0")</f>
        <v>277895476</v>
      </c>
      <c r="AB43">
        <f>SUMIFS(I2:I68,D2:D68,"&gt;0",I2:I68,"&gt;0")</f>
        <v>3.2938000000000001</v>
      </c>
      <c r="AC43">
        <f>SUMIFS(J2:J68,E2:E68,"&gt;0",J2:J68,"&gt;0")</f>
        <v>3.2215999999999996</v>
      </c>
      <c r="AD43">
        <f>SUMIFS(K2:K68,F2:F68,"&gt;0",K2:K68,"&gt;0")</f>
        <v>2946</v>
      </c>
      <c r="AF43" t="str">
        <f>'1'!Z43</f>
        <v>QE</v>
      </c>
      <c r="AG43">
        <f>'1'!AA43</f>
        <v>270763733</v>
      </c>
      <c r="AH43">
        <f>'1'!AB43</f>
        <v>3.2310999999999996</v>
      </c>
      <c r="AI43">
        <f>'1'!AC43</f>
        <v>3.1711999999999998</v>
      </c>
      <c r="AJ43">
        <f>'1'!AD43</f>
        <v>2946</v>
      </c>
    </row>
    <row r="44" spans="1:36">
      <c r="A44">
        <v>92</v>
      </c>
      <c r="B44" t="s">
        <v>102</v>
      </c>
      <c r="C44" t="s">
        <v>102</v>
      </c>
      <c r="D44" t="s">
        <v>102</v>
      </c>
      <c r="E44" t="s">
        <v>102</v>
      </c>
      <c r="F44" t="s">
        <v>102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s="5" t="str">
        <f t="shared" si="0"/>
        <v>--</v>
      </c>
      <c r="M44" s="5" t="str">
        <f t="shared" si="1"/>
        <v>--</v>
      </c>
      <c r="N44" s="5" t="str">
        <f t="shared" si="2"/>
        <v>--</v>
      </c>
      <c r="O44" s="5" t="str">
        <f t="shared" si="3"/>
        <v>--</v>
      </c>
      <c r="P44" s="5" t="str">
        <f t="shared" si="4"/>
        <v>--</v>
      </c>
      <c r="Q44" s="5" t="str">
        <f t="shared" si="5"/>
        <v>--</v>
      </c>
      <c r="R44" s="5" t="str">
        <f t="shared" si="6"/>
        <v>--</v>
      </c>
      <c r="S44" s="5" t="str">
        <f t="shared" si="7"/>
        <v>--</v>
      </c>
      <c r="T44" s="5" t="str">
        <f t="shared" si="8"/>
        <v>--</v>
      </c>
      <c r="U44" s="5" t="str">
        <f t="shared" si="9"/>
        <v>--</v>
      </c>
      <c r="V44" s="5" t="str">
        <f t="shared" si="10"/>
        <v>--</v>
      </c>
      <c r="W44" s="5" t="str">
        <f t="shared" si="11"/>
        <v>--</v>
      </c>
      <c r="X44" s="5" t="str">
        <f t="shared" si="12"/>
        <v>--</v>
      </c>
      <c r="Y44" s="5"/>
    </row>
    <row r="45" spans="1:36">
      <c r="A45">
        <v>93</v>
      </c>
      <c r="B45" t="s">
        <v>98</v>
      </c>
      <c r="C45">
        <v>142523801</v>
      </c>
      <c r="D45">
        <v>1.2797000000000001</v>
      </c>
      <c r="E45">
        <v>1.2263999999999999</v>
      </c>
      <c r="F45">
        <v>603</v>
      </c>
      <c r="G45" t="s">
        <v>57</v>
      </c>
      <c r="H45" t="s">
        <v>57</v>
      </c>
      <c r="I45" t="s">
        <v>57</v>
      </c>
      <c r="J45" t="s">
        <v>57</v>
      </c>
      <c r="K45" t="s">
        <v>57</v>
      </c>
      <c r="L45" s="5" t="str">
        <f t="shared" si="0"/>
        <v>--</v>
      </c>
      <c r="M45" s="5" t="str">
        <f t="shared" si="1"/>
        <v>--</v>
      </c>
      <c r="N45" s="5" t="str">
        <f t="shared" si="2"/>
        <v>RC</v>
      </c>
      <c r="O45" s="5" t="str">
        <f t="shared" si="3"/>
        <v>--</v>
      </c>
      <c r="P45" s="5" t="str">
        <f t="shared" si="4"/>
        <v>--</v>
      </c>
      <c r="Q45" s="5" t="str">
        <f t="shared" si="5"/>
        <v>RC</v>
      </c>
      <c r="R45" s="5" t="str">
        <f t="shared" si="6"/>
        <v>--</v>
      </c>
      <c r="S45" s="5" t="str">
        <f t="shared" si="7"/>
        <v>--</v>
      </c>
      <c r="T45" s="5" t="str">
        <f t="shared" si="8"/>
        <v>RC</v>
      </c>
      <c r="U45" s="5" t="str">
        <f t="shared" si="9"/>
        <v>--</v>
      </c>
      <c r="V45" s="5" t="str">
        <f t="shared" si="10"/>
        <v>--</v>
      </c>
      <c r="W45" s="5" t="str">
        <f t="shared" si="11"/>
        <v>RC</v>
      </c>
      <c r="X45" s="5" t="str">
        <f t="shared" si="12"/>
        <v>--</v>
      </c>
      <c r="Y45" s="5"/>
    </row>
    <row r="46" spans="1:36">
      <c r="A46">
        <v>94</v>
      </c>
      <c r="B46" t="s">
        <v>97</v>
      </c>
      <c r="C46" t="s">
        <v>97</v>
      </c>
      <c r="D46" t="s">
        <v>97</v>
      </c>
      <c r="E46" t="s">
        <v>97</v>
      </c>
      <c r="F46" t="s">
        <v>97</v>
      </c>
      <c r="G46" t="s">
        <v>57</v>
      </c>
      <c r="H46" t="s">
        <v>57</v>
      </c>
      <c r="I46" t="s">
        <v>57</v>
      </c>
      <c r="J46" t="s">
        <v>57</v>
      </c>
      <c r="K46" t="s">
        <v>57</v>
      </c>
      <c r="L46" s="5" t="str">
        <f t="shared" si="0"/>
        <v>--</v>
      </c>
      <c r="M46" s="5" t="str">
        <f t="shared" si="1"/>
        <v>--</v>
      </c>
      <c r="N46" s="5" t="str">
        <f t="shared" si="2"/>
        <v>--</v>
      </c>
      <c r="O46" s="5" t="str">
        <f t="shared" si="3"/>
        <v>--</v>
      </c>
      <c r="P46" s="5" t="str">
        <f t="shared" si="4"/>
        <v>--</v>
      </c>
      <c r="Q46" s="5" t="str">
        <f t="shared" si="5"/>
        <v>--</v>
      </c>
      <c r="R46" s="5" t="str">
        <f t="shared" si="6"/>
        <v>--</v>
      </c>
      <c r="S46" s="5" t="str">
        <f t="shared" si="7"/>
        <v>--</v>
      </c>
      <c r="T46" s="5" t="str">
        <f t="shared" si="8"/>
        <v>--</v>
      </c>
      <c r="U46" s="5" t="str">
        <f t="shared" si="9"/>
        <v>--</v>
      </c>
      <c r="V46" s="5" t="str">
        <f t="shared" si="10"/>
        <v>--</v>
      </c>
      <c r="W46" s="5" t="str">
        <f t="shared" si="11"/>
        <v>--</v>
      </c>
      <c r="X46" s="5" t="str">
        <f t="shared" si="12"/>
        <v>--</v>
      </c>
      <c r="Y46" s="5"/>
      <c r="Z46" t="s">
        <v>116</v>
      </c>
      <c r="AA46" s="23">
        <f>AA42/AA43</f>
        <v>0.75069727295596567</v>
      </c>
      <c r="AB46" s="23">
        <f>AB42/AB43</f>
        <v>0.53221203473192058</v>
      </c>
      <c r="AC46" s="23">
        <f>AC42/AC43</f>
        <v>0.5397007698038242</v>
      </c>
      <c r="AD46" s="23">
        <f>AD42/AD43</f>
        <v>0.32654446707399865</v>
      </c>
      <c r="AF46" t="str">
        <f>'1'!Z46</f>
        <v>RC % of QE</v>
      </c>
      <c r="AG46">
        <f>'1'!AA46</f>
        <v>1.4474027435572401</v>
      </c>
      <c r="AH46">
        <f>'1'!AB46</f>
        <v>1.0657361270155674</v>
      </c>
      <c r="AI46">
        <f>'1'!AC46</f>
        <v>1.073284561049445</v>
      </c>
      <c r="AJ46">
        <f>'1'!AD46</f>
        <v>0.93482688391038693</v>
      </c>
    </row>
    <row r="47" spans="1:36">
      <c r="A47">
        <v>96</v>
      </c>
      <c r="B47" t="s">
        <v>97</v>
      </c>
      <c r="C47" t="s">
        <v>97</v>
      </c>
      <c r="D47" t="s">
        <v>97</v>
      </c>
      <c r="E47" t="s">
        <v>97</v>
      </c>
      <c r="F47" t="s">
        <v>97</v>
      </c>
      <c r="G47" t="s">
        <v>57</v>
      </c>
      <c r="H47" t="s">
        <v>57</v>
      </c>
      <c r="I47" t="s">
        <v>57</v>
      </c>
      <c r="J47" t="s">
        <v>57</v>
      </c>
      <c r="K47" t="s">
        <v>57</v>
      </c>
      <c r="L47" s="5" t="str">
        <f t="shared" si="0"/>
        <v>--</v>
      </c>
      <c r="M47" s="5" t="str">
        <f t="shared" si="1"/>
        <v>--</v>
      </c>
      <c r="N47" s="5" t="str">
        <f t="shared" si="2"/>
        <v>--</v>
      </c>
      <c r="O47" s="5" t="str">
        <f t="shared" si="3"/>
        <v>--</v>
      </c>
      <c r="P47" s="5" t="str">
        <f t="shared" si="4"/>
        <v>--</v>
      </c>
      <c r="Q47" s="5" t="str">
        <f t="shared" si="5"/>
        <v>--</v>
      </c>
      <c r="R47" s="5" t="str">
        <f t="shared" si="6"/>
        <v>--</v>
      </c>
      <c r="S47" s="5" t="str">
        <f t="shared" si="7"/>
        <v>--</v>
      </c>
      <c r="T47" s="5" t="str">
        <f t="shared" si="8"/>
        <v>--</v>
      </c>
      <c r="U47" s="5" t="str">
        <f t="shared" si="9"/>
        <v>--</v>
      </c>
      <c r="V47" s="5" t="str">
        <f t="shared" si="10"/>
        <v>--</v>
      </c>
      <c r="W47" s="5" t="str">
        <f t="shared" si="11"/>
        <v>--</v>
      </c>
      <c r="X47" s="5" t="str">
        <f t="shared" si="12"/>
        <v>--</v>
      </c>
      <c r="Y47" s="5"/>
      <c r="Z47" t="s">
        <v>117</v>
      </c>
      <c r="AA47" s="23">
        <f>1/AA46</f>
        <v>1.3320948883461015</v>
      </c>
      <c r="AB47" s="23">
        <f>1/AB46</f>
        <v>1.8789503707929265</v>
      </c>
      <c r="AC47" s="23">
        <f>1/AC46</f>
        <v>1.8528785874503939</v>
      </c>
      <c r="AD47" s="23">
        <f>1/AD46</f>
        <v>3.0623700623700625</v>
      </c>
      <c r="AF47" t="str">
        <f>'1'!Z47</f>
        <v>QE % of RC</v>
      </c>
      <c r="AG47">
        <f>'1'!AA47</f>
        <v>0.69089270726565621</v>
      </c>
      <c r="AH47">
        <f>'1'!AB47</f>
        <v>0.93831857122114126</v>
      </c>
      <c r="AI47">
        <f>'1'!AC47</f>
        <v>0.9317193559760254</v>
      </c>
      <c r="AJ47">
        <f>'1'!AD47</f>
        <v>1.0697167755991286</v>
      </c>
    </row>
    <row r="48" spans="1:36">
      <c r="A48">
        <v>98</v>
      </c>
      <c r="B48" t="s">
        <v>97</v>
      </c>
      <c r="C48" t="s">
        <v>97</v>
      </c>
      <c r="D48" t="s">
        <v>97</v>
      </c>
      <c r="E48" t="s">
        <v>97</v>
      </c>
      <c r="F48" t="s">
        <v>97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s="5" t="str">
        <f t="shared" si="0"/>
        <v>--</v>
      </c>
      <c r="M48" s="5" t="str">
        <f t="shared" si="1"/>
        <v>--</v>
      </c>
      <c r="N48" s="5" t="str">
        <f t="shared" si="2"/>
        <v>--</v>
      </c>
      <c r="O48" s="5" t="str">
        <f t="shared" si="3"/>
        <v>--</v>
      </c>
      <c r="P48" s="5" t="str">
        <f t="shared" si="4"/>
        <v>--</v>
      </c>
      <c r="Q48" s="5" t="str">
        <f t="shared" si="5"/>
        <v>--</v>
      </c>
      <c r="R48" s="5" t="str">
        <f t="shared" si="6"/>
        <v>--</v>
      </c>
      <c r="S48" s="5" t="str">
        <f t="shared" si="7"/>
        <v>--</v>
      </c>
      <c r="T48" s="5" t="str">
        <f t="shared" si="8"/>
        <v>--</v>
      </c>
      <c r="U48" s="5" t="str">
        <f t="shared" si="9"/>
        <v>--</v>
      </c>
      <c r="V48" s="5" t="str">
        <f t="shared" si="10"/>
        <v>--</v>
      </c>
      <c r="W48" s="5" t="str">
        <f t="shared" si="11"/>
        <v>--</v>
      </c>
      <c r="X48" s="5" t="str">
        <f t="shared" si="12"/>
        <v>--</v>
      </c>
      <c r="Y48" s="5"/>
    </row>
    <row r="49" spans="1:30">
      <c r="A49">
        <v>99</v>
      </c>
      <c r="B49" t="s">
        <v>97</v>
      </c>
      <c r="C49" t="s">
        <v>97</v>
      </c>
      <c r="D49" t="s">
        <v>97</v>
      </c>
      <c r="E49" t="s">
        <v>97</v>
      </c>
      <c r="F49" t="s">
        <v>97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s="5" t="str">
        <f t="shared" si="0"/>
        <v>--</v>
      </c>
      <c r="M49" s="5" t="str">
        <f t="shared" si="1"/>
        <v>--</v>
      </c>
      <c r="N49" s="5" t="str">
        <f t="shared" si="2"/>
        <v>--</v>
      </c>
      <c r="O49" s="5" t="str">
        <f t="shared" si="3"/>
        <v>--</v>
      </c>
      <c r="P49" s="5" t="str">
        <f t="shared" si="4"/>
        <v>--</v>
      </c>
      <c r="Q49" s="5" t="str">
        <f t="shared" si="5"/>
        <v>--</v>
      </c>
      <c r="R49" s="5" t="str">
        <f t="shared" si="6"/>
        <v>--</v>
      </c>
      <c r="S49" s="5" t="str">
        <f t="shared" si="7"/>
        <v>--</v>
      </c>
      <c r="T49" s="5" t="str">
        <f t="shared" si="8"/>
        <v>--</v>
      </c>
      <c r="U49" s="5" t="str">
        <f t="shared" si="9"/>
        <v>--</v>
      </c>
      <c r="V49" s="5" t="str">
        <f t="shared" si="10"/>
        <v>--</v>
      </c>
      <c r="W49" s="5" t="str">
        <f t="shared" si="11"/>
        <v>--</v>
      </c>
      <c r="X49" s="5" t="str">
        <f t="shared" si="12"/>
        <v>--</v>
      </c>
      <c r="Y49" s="5"/>
    </row>
    <row r="50" spans="1:30">
      <c r="A50">
        <v>101</v>
      </c>
      <c r="B50" t="s">
        <v>97</v>
      </c>
      <c r="C50" t="s">
        <v>97</v>
      </c>
      <c r="D50" t="s">
        <v>97</v>
      </c>
      <c r="E50" t="s">
        <v>97</v>
      </c>
      <c r="F50" t="s">
        <v>97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s="5" t="str">
        <f t="shared" si="0"/>
        <v>--</v>
      </c>
      <c r="M50" s="5" t="str">
        <f t="shared" si="1"/>
        <v>--</v>
      </c>
      <c r="N50" s="5" t="str">
        <f t="shared" si="2"/>
        <v>--</v>
      </c>
      <c r="O50" s="5" t="str">
        <f t="shared" si="3"/>
        <v>--</v>
      </c>
      <c r="P50" s="5" t="str">
        <f t="shared" si="4"/>
        <v>--</v>
      </c>
      <c r="Q50" s="5" t="str">
        <f t="shared" si="5"/>
        <v>--</v>
      </c>
      <c r="R50" s="5" t="str">
        <f t="shared" si="6"/>
        <v>--</v>
      </c>
      <c r="S50" s="5" t="str">
        <f t="shared" si="7"/>
        <v>--</v>
      </c>
      <c r="T50" s="5" t="str">
        <f t="shared" si="8"/>
        <v>--</v>
      </c>
      <c r="U50" s="5" t="str">
        <f t="shared" si="9"/>
        <v>--</v>
      </c>
      <c r="V50" s="5" t="str">
        <f t="shared" si="10"/>
        <v>--</v>
      </c>
      <c r="W50" s="5" t="str">
        <f t="shared" si="11"/>
        <v>--</v>
      </c>
      <c r="X50" s="5" t="str">
        <f t="shared" si="12"/>
        <v>--</v>
      </c>
      <c r="Y50" s="5"/>
    </row>
    <row r="51" spans="1:30">
      <c r="A51">
        <v>103</v>
      </c>
      <c r="B51" t="s">
        <v>98</v>
      </c>
      <c r="C51">
        <v>16709767989</v>
      </c>
      <c r="D51">
        <v>220.12190000000001</v>
      </c>
      <c r="E51">
        <v>161.9016</v>
      </c>
      <c r="F51">
        <v>130067</v>
      </c>
      <c r="G51" t="s">
        <v>57</v>
      </c>
      <c r="H51" t="s">
        <v>57</v>
      </c>
      <c r="I51" t="s">
        <v>57</v>
      </c>
      <c r="J51" t="s">
        <v>57</v>
      </c>
      <c r="K51" t="s">
        <v>57</v>
      </c>
      <c r="L51" s="5" t="str">
        <f t="shared" si="0"/>
        <v>--</v>
      </c>
      <c r="M51" s="5" t="str">
        <f t="shared" si="1"/>
        <v>--</v>
      </c>
      <c r="N51" s="5" t="str">
        <f t="shared" si="2"/>
        <v>RC</v>
      </c>
      <c r="O51" s="5" t="str">
        <f t="shared" si="3"/>
        <v>--</v>
      </c>
      <c r="P51" s="5" t="str">
        <f t="shared" si="4"/>
        <v>--</v>
      </c>
      <c r="Q51" s="5" t="str">
        <f t="shared" si="5"/>
        <v>RC</v>
      </c>
      <c r="R51" s="5" t="str">
        <f t="shared" si="6"/>
        <v>--</v>
      </c>
      <c r="S51" s="5" t="str">
        <f t="shared" si="7"/>
        <v>--</v>
      </c>
      <c r="T51" s="5" t="str">
        <f t="shared" si="8"/>
        <v>RC</v>
      </c>
      <c r="U51" s="5" t="str">
        <f t="shared" si="9"/>
        <v>--</v>
      </c>
      <c r="V51" s="5" t="str">
        <f t="shared" si="10"/>
        <v>--</v>
      </c>
      <c r="W51" s="5" t="str">
        <f t="shared" si="11"/>
        <v>RC</v>
      </c>
      <c r="X51" s="5" t="str">
        <f t="shared" si="12"/>
        <v>--</v>
      </c>
      <c r="Y51" s="5"/>
    </row>
    <row r="52" spans="1:30">
      <c r="A52">
        <v>105</v>
      </c>
      <c r="B52" t="s">
        <v>97</v>
      </c>
      <c r="C52" t="s">
        <v>97</v>
      </c>
      <c r="D52" t="s">
        <v>97</v>
      </c>
      <c r="E52" t="s">
        <v>97</v>
      </c>
      <c r="F52" t="s">
        <v>97</v>
      </c>
      <c r="G52" t="s">
        <v>57</v>
      </c>
      <c r="H52" t="s">
        <v>57</v>
      </c>
      <c r="I52" t="s">
        <v>57</v>
      </c>
      <c r="J52" t="s">
        <v>57</v>
      </c>
      <c r="K52" t="s">
        <v>57</v>
      </c>
      <c r="L52" s="5" t="str">
        <f t="shared" si="0"/>
        <v>--</v>
      </c>
      <c r="M52" s="5" t="str">
        <f t="shared" si="1"/>
        <v>--</v>
      </c>
      <c r="N52" s="5" t="str">
        <f t="shared" si="2"/>
        <v>--</v>
      </c>
      <c r="O52" s="5" t="str">
        <f t="shared" si="3"/>
        <v>--</v>
      </c>
      <c r="P52" s="5" t="str">
        <f t="shared" si="4"/>
        <v>--</v>
      </c>
      <c r="Q52" s="5" t="str">
        <f t="shared" si="5"/>
        <v>--</v>
      </c>
      <c r="R52" s="5" t="str">
        <f t="shared" si="6"/>
        <v>--</v>
      </c>
      <c r="S52" s="5" t="str">
        <f t="shared" si="7"/>
        <v>--</v>
      </c>
      <c r="T52" s="5" t="str">
        <f t="shared" si="8"/>
        <v>--</v>
      </c>
      <c r="U52" s="5" t="str">
        <f t="shared" si="9"/>
        <v>--</v>
      </c>
      <c r="V52" s="5" t="str">
        <f t="shared" si="10"/>
        <v>--</v>
      </c>
      <c r="W52" s="5" t="str">
        <f t="shared" si="11"/>
        <v>--</v>
      </c>
      <c r="X52" s="5" t="str">
        <f t="shared" si="12"/>
        <v>--</v>
      </c>
      <c r="Y52" s="5"/>
    </row>
    <row r="53" spans="1:30">
      <c r="A53">
        <v>106</v>
      </c>
      <c r="B53" t="s">
        <v>98</v>
      </c>
      <c r="C53">
        <v>23194629172</v>
      </c>
      <c r="D53">
        <v>347.6078</v>
      </c>
      <c r="E53">
        <v>232.447</v>
      </c>
      <c r="F53">
        <v>175155</v>
      </c>
      <c r="G53" t="s">
        <v>57</v>
      </c>
      <c r="H53" t="s">
        <v>57</v>
      </c>
      <c r="I53" t="s">
        <v>57</v>
      </c>
      <c r="J53" t="s">
        <v>57</v>
      </c>
      <c r="K53" t="s">
        <v>57</v>
      </c>
      <c r="L53" s="5" t="str">
        <f t="shared" si="0"/>
        <v>--</v>
      </c>
      <c r="M53" s="5" t="str">
        <f t="shared" si="1"/>
        <v>--</v>
      </c>
      <c r="N53" s="5" t="str">
        <f t="shared" si="2"/>
        <v>RC</v>
      </c>
      <c r="O53" s="5" t="str">
        <f t="shared" si="3"/>
        <v>--</v>
      </c>
      <c r="P53" s="5" t="str">
        <f t="shared" si="4"/>
        <v>--</v>
      </c>
      <c r="Q53" s="5" t="str">
        <f t="shared" si="5"/>
        <v>RC</v>
      </c>
      <c r="R53" s="5" t="str">
        <f t="shared" si="6"/>
        <v>--</v>
      </c>
      <c r="S53" s="5" t="str">
        <f t="shared" si="7"/>
        <v>--</v>
      </c>
      <c r="T53" s="5" t="str">
        <f t="shared" si="8"/>
        <v>RC</v>
      </c>
      <c r="U53" s="5" t="str">
        <f t="shared" si="9"/>
        <v>--</v>
      </c>
      <c r="V53" s="5" t="str">
        <f t="shared" si="10"/>
        <v>--</v>
      </c>
      <c r="W53" s="5" t="str">
        <f t="shared" si="11"/>
        <v>RC</v>
      </c>
      <c r="X53" s="5" t="str">
        <f t="shared" si="12"/>
        <v>--</v>
      </c>
      <c r="Y53" s="5"/>
      <c r="AA53">
        <f t="shared" ref="AA53:AD54" si="13">AA42/AG42</f>
        <v>0.5323122129575707</v>
      </c>
      <c r="AB53">
        <f t="shared" si="13"/>
        <v>0.50907506897052424</v>
      </c>
      <c r="AC53">
        <f t="shared" si="13"/>
        <v>0.51084146198143143</v>
      </c>
      <c r="AD53">
        <f t="shared" si="13"/>
        <v>0.3493100944081336</v>
      </c>
    </row>
    <row r="54" spans="1:30">
      <c r="A54">
        <v>108</v>
      </c>
      <c r="B54" t="s">
        <v>97</v>
      </c>
      <c r="C54" t="s">
        <v>97</v>
      </c>
      <c r="D54" t="s">
        <v>97</v>
      </c>
      <c r="E54" t="s">
        <v>97</v>
      </c>
      <c r="F54" t="s">
        <v>97</v>
      </c>
      <c r="G54" t="s">
        <v>57</v>
      </c>
      <c r="H54" t="s">
        <v>57</v>
      </c>
      <c r="I54" t="s">
        <v>57</v>
      </c>
      <c r="J54" t="s">
        <v>57</v>
      </c>
      <c r="K54" t="s">
        <v>57</v>
      </c>
      <c r="L54" s="5" t="str">
        <f t="shared" si="0"/>
        <v>--</v>
      </c>
      <c r="M54" s="5" t="str">
        <f t="shared" si="1"/>
        <v>--</v>
      </c>
      <c r="N54" s="5" t="str">
        <f t="shared" si="2"/>
        <v>--</v>
      </c>
      <c r="O54" s="5" t="str">
        <f t="shared" si="3"/>
        <v>--</v>
      </c>
      <c r="P54" s="5" t="str">
        <f t="shared" si="4"/>
        <v>--</v>
      </c>
      <c r="Q54" s="5" t="str">
        <f t="shared" si="5"/>
        <v>--</v>
      </c>
      <c r="R54" s="5" t="str">
        <f t="shared" si="6"/>
        <v>--</v>
      </c>
      <c r="S54" s="5" t="str">
        <f t="shared" si="7"/>
        <v>--</v>
      </c>
      <c r="T54" s="5" t="str">
        <f t="shared" si="8"/>
        <v>--</v>
      </c>
      <c r="U54" s="5" t="str">
        <f t="shared" si="9"/>
        <v>--</v>
      </c>
      <c r="V54" s="5" t="str">
        <f t="shared" si="10"/>
        <v>--</v>
      </c>
      <c r="W54" s="5" t="str">
        <f t="shared" si="11"/>
        <v>--</v>
      </c>
      <c r="X54" s="5" t="str">
        <f t="shared" si="12"/>
        <v>--</v>
      </c>
      <c r="Y54" s="5"/>
      <c r="AA54">
        <f t="shared" si="13"/>
        <v>1.0263393583807621</v>
      </c>
      <c r="AB54">
        <f t="shared" si="13"/>
        <v>1.0194051561387765</v>
      </c>
      <c r="AC54">
        <f t="shared" si="13"/>
        <v>1.0158930373360242</v>
      </c>
      <c r="AD54">
        <f t="shared" si="13"/>
        <v>1</v>
      </c>
    </row>
    <row r="55" spans="1:30">
      <c r="A55">
        <v>109</v>
      </c>
      <c r="B55" t="s">
        <v>97</v>
      </c>
      <c r="C55" t="s">
        <v>97</v>
      </c>
      <c r="D55" t="s">
        <v>97</v>
      </c>
      <c r="E55" t="s">
        <v>97</v>
      </c>
      <c r="F55" t="s">
        <v>97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s="5" t="str">
        <f t="shared" si="0"/>
        <v>--</v>
      </c>
      <c r="M55" s="5" t="str">
        <f t="shared" si="1"/>
        <v>--</v>
      </c>
      <c r="N55" s="5" t="str">
        <f t="shared" si="2"/>
        <v>--</v>
      </c>
      <c r="O55" s="5" t="str">
        <f t="shared" si="3"/>
        <v>--</v>
      </c>
      <c r="P55" s="5" t="str">
        <f t="shared" si="4"/>
        <v>--</v>
      </c>
      <c r="Q55" s="5" t="str">
        <f t="shared" si="5"/>
        <v>--</v>
      </c>
      <c r="R55" s="5" t="str">
        <f t="shared" si="6"/>
        <v>--</v>
      </c>
      <c r="S55" s="5" t="str">
        <f t="shared" si="7"/>
        <v>--</v>
      </c>
      <c r="T55" s="5" t="str">
        <f t="shared" si="8"/>
        <v>--</v>
      </c>
      <c r="U55" s="5" t="str">
        <f t="shared" si="9"/>
        <v>--</v>
      </c>
      <c r="V55" s="5" t="str">
        <f t="shared" si="10"/>
        <v>--</v>
      </c>
      <c r="W55" s="5" t="str">
        <f t="shared" si="11"/>
        <v>--</v>
      </c>
      <c r="X55" s="5" t="str">
        <f t="shared" si="12"/>
        <v>--</v>
      </c>
      <c r="Y55" s="5"/>
    </row>
    <row r="56" spans="1:30">
      <c r="A56">
        <v>112</v>
      </c>
      <c r="B56" t="s">
        <v>98</v>
      </c>
      <c r="C56">
        <v>23176632954</v>
      </c>
      <c r="D56">
        <v>347.08280000000002</v>
      </c>
      <c r="E56">
        <v>233.4615</v>
      </c>
      <c r="F56">
        <v>175155</v>
      </c>
      <c r="G56" t="s">
        <v>57</v>
      </c>
      <c r="H56" t="s">
        <v>57</v>
      </c>
      <c r="I56" t="s">
        <v>57</v>
      </c>
      <c r="J56" t="s">
        <v>57</v>
      </c>
      <c r="K56" t="s">
        <v>57</v>
      </c>
      <c r="L56" s="5" t="str">
        <f t="shared" si="0"/>
        <v>--</v>
      </c>
      <c r="M56" s="5" t="str">
        <f t="shared" si="1"/>
        <v>--</v>
      </c>
      <c r="N56" s="5" t="str">
        <f t="shared" si="2"/>
        <v>RC</v>
      </c>
      <c r="O56" s="5" t="str">
        <f t="shared" si="3"/>
        <v>--</v>
      </c>
      <c r="P56" s="5" t="str">
        <f t="shared" si="4"/>
        <v>--</v>
      </c>
      <c r="Q56" s="5" t="str">
        <f t="shared" si="5"/>
        <v>RC</v>
      </c>
      <c r="R56" s="5" t="str">
        <f t="shared" si="6"/>
        <v>--</v>
      </c>
      <c r="S56" s="5" t="str">
        <f t="shared" si="7"/>
        <v>--</v>
      </c>
      <c r="T56" s="5" t="str">
        <f t="shared" si="8"/>
        <v>RC</v>
      </c>
      <c r="U56" s="5" t="str">
        <f t="shared" si="9"/>
        <v>--</v>
      </c>
      <c r="V56" s="5" t="str">
        <f t="shared" si="10"/>
        <v>--</v>
      </c>
      <c r="W56" s="5" t="str">
        <f t="shared" si="11"/>
        <v>RC</v>
      </c>
      <c r="X56" s="5" t="str">
        <f t="shared" si="12"/>
        <v>--</v>
      </c>
      <c r="Y56" s="5"/>
    </row>
    <row r="57" spans="1:30">
      <c r="A57">
        <v>114</v>
      </c>
      <c r="B57" t="s">
        <v>97</v>
      </c>
      <c r="C57" t="s">
        <v>97</v>
      </c>
      <c r="D57" t="s">
        <v>97</v>
      </c>
      <c r="E57" t="s">
        <v>97</v>
      </c>
      <c r="F57" t="s">
        <v>97</v>
      </c>
      <c r="G57" t="s">
        <v>57</v>
      </c>
      <c r="H57" t="s">
        <v>57</v>
      </c>
      <c r="I57" t="s">
        <v>57</v>
      </c>
      <c r="J57" t="s">
        <v>57</v>
      </c>
      <c r="K57" t="s">
        <v>57</v>
      </c>
      <c r="L57" s="5" t="str">
        <f t="shared" si="0"/>
        <v>--</v>
      </c>
      <c r="M57" s="5" t="str">
        <f t="shared" si="1"/>
        <v>--</v>
      </c>
      <c r="N57" s="5" t="str">
        <f t="shared" si="2"/>
        <v>--</v>
      </c>
      <c r="O57" s="5" t="str">
        <f t="shared" si="3"/>
        <v>--</v>
      </c>
      <c r="P57" s="5" t="str">
        <f t="shared" si="4"/>
        <v>--</v>
      </c>
      <c r="Q57" s="5" t="str">
        <f t="shared" si="5"/>
        <v>--</v>
      </c>
      <c r="R57" s="5" t="str">
        <f t="shared" si="6"/>
        <v>--</v>
      </c>
      <c r="S57" s="5" t="str">
        <f t="shared" si="7"/>
        <v>--</v>
      </c>
      <c r="T57" s="5" t="str">
        <f t="shared" si="8"/>
        <v>--</v>
      </c>
      <c r="U57" s="5" t="str">
        <f t="shared" si="9"/>
        <v>--</v>
      </c>
      <c r="V57" s="5" t="str">
        <f t="shared" si="10"/>
        <v>--</v>
      </c>
      <c r="W57" s="5" t="str">
        <f t="shared" si="11"/>
        <v>--</v>
      </c>
      <c r="X57" s="5" t="str">
        <f t="shared" si="12"/>
        <v>--</v>
      </c>
      <c r="Y57" s="5"/>
    </row>
    <row r="58" spans="1:30">
      <c r="A58">
        <v>115</v>
      </c>
      <c r="B58" t="s">
        <v>97</v>
      </c>
      <c r="C58" t="s">
        <v>97</v>
      </c>
      <c r="D58" t="s">
        <v>97</v>
      </c>
      <c r="E58" t="s">
        <v>97</v>
      </c>
      <c r="F58" t="s">
        <v>97</v>
      </c>
      <c r="G58" t="s">
        <v>57</v>
      </c>
      <c r="H58" t="s">
        <v>57</v>
      </c>
      <c r="I58" t="s">
        <v>57</v>
      </c>
      <c r="J58" t="s">
        <v>57</v>
      </c>
      <c r="K58" t="s">
        <v>57</v>
      </c>
      <c r="L58" s="5" t="str">
        <f t="shared" si="0"/>
        <v>--</v>
      </c>
      <c r="M58" s="5" t="str">
        <f t="shared" si="1"/>
        <v>--</v>
      </c>
      <c r="N58" s="5" t="str">
        <f t="shared" si="2"/>
        <v>--</v>
      </c>
      <c r="O58" s="5" t="str">
        <f t="shared" si="3"/>
        <v>--</v>
      </c>
      <c r="P58" s="5" t="str">
        <f t="shared" si="4"/>
        <v>--</v>
      </c>
      <c r="Q58" s="5" t="str">
        <f t="shared" si="5"/>
        <v>--</v>
      </c>
      <c r="R58" s="5" t="str">
        <f t="shared" si="6"/>
        <v>--</v>
      </c>
      <c r="S58" s="5" t="str">
        <f t="shared" si="7"/>
        <v>--</v>
      </c>
      <c r="T58" s="5" t="str">
        <f t="shared" si="8"/>
        <v>--</v>
      </c>
      <c r="U58" s="5" t="str">
        <f t="shared" si="9"/>
        <v>--</v>
      </c>
      <c r="V58" s="5" t="str">
        <f t="shared" si="10"/>
        <v>--</v>
      </c>
      <c r="W58" s="5" t="str">
        <f t="shared" si="11"/>
        <v>--</v>
      </c>
      <c r="X58" s="5" t="str">
        <f t="shared" si="12"/>
        <v>--</v>
      </c>
      <c r="Y58" s="5"/>
    </row>
    <row r="59" spans="1:30">
      <c r="A59">
        <v>118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57</v>
      </c>
      <c r="H59" t="s">
        <v>57</v>
      </c>
      <c r="I59" t="s">
        <v>57</v>
      </c>
      <c r="J59" t="s">
        <v>57</v>
      </c>
      <c r="K59" t="s">
        <v>57</v>
      </c>
      <c r="L59" s="5" t="str">
        <f t="shared" si="0"/>
        <v>--</v>
      </c>
      <c r="M59" s="5" t="str">
        <f t="shared" si="1"/>
        <v>--</v>
      </c>
      <c r="N59" s="5" t="str">
        <f t="shared" si="2"/>
        <v>--</v>
      </c>
      <c r="O59" s="5" t="str">
        <f t="shared" si="3"/>
        <v>--</v>
      </c>
      <c r="P59" s="5" t="str">
        <f t="shared" si="4"/>
        <v>--</v>
      </c>
      <c r="Q59" s="5" t="str">
        <f t="shared" si="5"/>
        <v>--</v>
      </c>
      <c r="R59" s="5" t="str">
        <f t="shared" si="6"/>
        <v>--</v>
      </c>
      <c r="S59" s="5" t="str">
        <f t="shared" si="7"/>
        <v>--</v>
      </c>
      <c r="T59" s="5" t="str">
        <f t="shared" si="8"/>
        <v>--</v>
      </c>
      <c r="U59" s="5" t="str">
        <f t="shared" si="9"/>
        <v>--</v>
      </c>
      <c r="V59" s="5" t="str">
        <f t="shared" si="10"/>
        <v>--</v>
      </c>
      <c r="W59" s="5" t="str">
        <f t="shared" si="11"/>
        <v>--</v>
      </c>
      <c r="X59" s="5" t="str">
        <f t="shared" si="12"/>
        <v>--</v>
      </c>
      <c r="Y59" s="5"/>
    </row>
    <row r="60" spans="1:30">
      <c r="A60">
        <v>119</v>
      </c>
      <c r="B60" t="s">
        <v>97</v>
      </c>
      <c r="C60" t="s">
        <v>97</v>
      </c>
      <c r="D60" t="s">
        <v>97</v>
      </c>
      <c r="E60" t="s">
        <v>97</v>
      </c>
      <c r="F60" t="s">
        <v>97</v>
      </c>
      <c r="G60" t="s">
        <v>57</v>
      </c>
      <c r="H60" t="s">
        <v>57</v>
      </c>
      <c r="I60" t="s">
        <v>57</v>
      </c>
      <c r="J60" t="s">
        <v>57</v>
      </c>
      <c r="K60" t="s">
        <v>57</v>
      </c>
      <c r="L60" s="5" t="str">
        <f t="shared" si="0"/>
        <v>--</v>
      </c>
      <c r="M60" s="5" t="str">
        <f t="shared" si="1"/>
        <v>--</v>
      </c>
      <c r="N60" s="5" t="str">
        <f t="shared" si="2"/>
        <v>--</v>
      </c>
      <c r="O60" s="5" t="str">
        <f t="shared" si="3"/>
        <v>--</v>
      </c>
      <c r="P60" s="5" t="str">
        <f t="shared" si="4"/>
        <v>--</v>
      </c>
      <c r="Q60" s="5" t="str">
        <f t="shared" si="5"/>
        <v>--</v>
      </c>
      <c r="R60" s="5" t="str">
        <f t="shared" si="6"/>
        <v>--</v>
      </c>
      <c r="S60" s="5" t="str">
        <f t="shared" si="7"/>
        <v>--</v>
      </c>
      <c r="T60" s="5" t="str">
        <f t="shared" si="8"/>
        <v>--</v>
      </c>
      <c r="U60" s="5" t="str">
        <f t="shared" si="9"/>
        <v>--</v>
      </c>
      <c r="V60" s="5" t="str">
        <f t="shared" si="10"/>
        <v>--</v>
      </c>
      <c r="W60" s="5" t="str">
        <f t="shared" si="11"/>
        <v>--</v>
      </c>
      <c r="X60" s="5" t="str">
        <f t="shared" si="12"/>
        <v>--</v>
      </c>
      <c r="Y60" s="5"/>
    </row>
    <row r="61" spans="1:30">
      <c r="A61">
        <v>121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57</v>
      </c>
      <c r="H61" t="s">
        <v>57</v>
      </c>
      <c r="I61" t="s">
        <v>57</v>
      </c>
      <c r="J61" t="s">
        <v>57</v>
      </c>
      <c r="K61" t="s">
        <v>57</v>
      </c>
      <c r="L61" s="5" t="str">
        <f t="shared" si="0"/>
        <v>--</v>
      </c>
      <c r="M61" s="5" t="str">
        <f t="shared" si="1"/>
        <v>--</v>
      </c>
      <c r="N61" s="5" t="str">
        <f t="shared" si="2"/>
        <v>--</v>
      </c>
      <c r="O61" s="5" t="str">
        <f t="shared" si="3"/>
        <v>--</v>
      </c>
      <c r="P61" s="5" t="str">
        <f t="shared" si="4"/>
        <v>--</v>
      </c>
      <c r="Q61" s="5" t="str">
        <f t="shared" si="5"/>
        <v>--</v>
      </c>
      <c r="R61" s="5" t="str">
        <f t="shared" si="6"/>
        <v>--</v>
      </c>
      <c r="S61" s="5" t="str">
        <f t="shared" si="7"/>
        <v>--</v>
      </c>
      <c r="T61" s="5" t="str">
        <f t="shared" si="8"/>
        <v>--</v>
      </c>
      <c r="U61" s="5" t="str">
        <f t="shared" si="9"/>
        <v>--</v>
      </c>
      <c r="V61" s="5" t="str">
        <f t="shared" si="10"/>
        <v>--</v>
      </c>
      <c r="W61" s="5" t="str">
        <f t="shared" si="11"/>
        <v>--</v>
      </c>
      <c r="X61" s="5" t="str">
        <f t="shared" si="12"/>
        <v>--</v>
      </c>
      <c r="Y61" s="5"/>
    </row>
    <row r="62" spans="1:30">
      <c r="A62">
        <v>123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57</v>
      </c>
      <c r="H62" t="s">
        <v>57</v>
      </c>
      <c r="I62" t="s">
        <v>57</v>
      </c>
      <c r="J62" t="s">
        <v>57</v>
      </c>
      <c r="K62" t="s">
        <v>57</v>
      </c>
      <c r="L62" s="5" t="str">
        <f t="shared" si="0"/>
        <v>--</v>
      </c>
      <c r="M62" s="5" t="str">
        <f t="shared" si="1"/>
        <v>--</v>
      </c>
      <c r="N62" s="5" t="str">
        <f t="shared" si="2"/>
        <v>--</v>
      </c>
      <c r="O62" s="5" t="str">
        <f t="shared" si="3"/>
        <v>--</v>
      </c>
      <c r="P62" s="5" t="str">
        <f t="shared" si="4"/>
        <v>--</v>
      </c>
      <c r="Q62" s="5" t="str">
        <f t="shared" si="5"/>
        <v>--</v>
      </c>
      <c r="R62" s="5" t="str">
        <f t="shared" si="6"/>
        <v>--</v>
      </c>
      <c r="S62" s="5" t="str">
        <f t="shared" si="7"/>
        <v>--</v>
      </c>
      <c r="T62" s="5" t="str">
        <f t="shared" si="8"/>
        <v>--</v>
      </c>
      <c r="U62" s="5" t="str">
        <f t="shared" si="9"/>
        <v>--</v>
      </c>
      <c r="V62" s="5" t="str">
        <f t="shared" si="10"/>
        <v>--</v>
      </c>
      <c r="W62" s="5" t="str">
        <f t="shared" si="11"/>
        <v>--</v>
      </c>
      <c r="X62" s="5" t="str">
        <f t="shared" si="12"/>
        <v>--</v>
      </c>
      <c r="Y62" s="5"/>
    </row>
    <row r="63" spans="1:30">
      <c r="A63">
        <v>125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57</v>
      </c>
      <c r="H63" t="s">
        <v>57</v>
      </c>
      <c r="I63" t="s">
        <v>57</v>
      </c>
      <c r="J63" t="s">
        <v>57</v>
      </c>
      <c r="K63" t="s">
        <v>57</v>
      </c>
      <c r="L63" s="5" t="str">
        <f t="shared" si="0"/>
        <v>--</v>
      </c>
      <c r="M63" s="5" t="str">
        <f t="shared" si="1"/>
        <v>--</v>
      </c>
      <c r="N63" s="5" t="str">
        <f t="shared" si="2"/>
        <v>--</v>
      </c>
      <c r="O63" s="5" t="str">
        <f t="shared" si="3"/>
        <v>--</v>
      </c>
      <c r="P63" s="5" t="str">
        <f t="shared" si="4"/>
        <v>--</v>
      </c>
      <c r="Q63" s="5" t="str">
        <f t="shared" si="5"/>
        <v>--</v>
      </c>
      <c r="R63" s="5" t="str">
        <f t="shared" si="6"/>
        <v>--</v>
      </c>
      <c r="S63" s="5" t="str">
        <f t="shared" si="7"/>
        <v>--</v>
      </c>
      <c r="T63" s="5" t="str">
        <f t="shared" si="8"/>
        <v>--</v>
      </c>
      <c r="U63" s="5" t="str">
        <f t="shared" si="9"/>
        <v>--</v>
      </c>
      <c r="V63" s="5" t="str">
        <f t="shared" si="10"/>
        <v>--</v>
      </c>
      <c r="W63" s="5" t="str">
        <f t="shared" si="11"/>
        <v>--</v>
      </c>
      <c r="X63" s="5" t="str">
        <f t="shared" si="12"/>
        <v>--</v>
      </c>
      <c r="Y63" s="5"/>
    </row>
    <row r="64" spans="1:30">
      <c r="A64">
        <v>126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57</v>
      </c>
      <c r="H64" t="s">
        <v>57</v>
      </c>
      <c r="I64" t="s">
        <v>57</v>
      </c>
      <c r="J64" t="s">
        <v>57</v>
      </c>
      <c r="K64" t="s">
        <v>57</v>
      </c>
      <c r="L64" s="5" t="str">
        <f t="shared" si="0"/>
        <v>--</v>
      </c>
      <c r="M64" s="5" t="str">
        <f t="shared" si="1"/>
        <v>--</v>
      </c>
      <c r="N64" s="5" t="str">
        <f t="shared" si="2"/>
        <v>--</v>
      </c>
      <c r="O64" s="5" t="str">
        <f t="shared" si="3"/>
        <v>--</v>
      </c>
      <c r="P64" s="5" t="str">
        <f t="shared" si="4"/>
        <v>--</v>
      </c>
      <c r="Q64" s="5" t="str">
        <f t="shared" si="5"/>
        <v>--</v>
      </c>
      <c r="R64" s="5" t="str">
        <f t="shared" si="6"/>
        <v>--</v>
      </c>
      <c r="S64" s="5" t="str">
        <f t="shared" si="7"/>
        <v>--</v>
      </c>
      <c r="T64" s="5" t="str">
        <f t="shared" si="8"/>
        <v>--</v>
      </c>
      <c r="U64" s="5" t="str">
        <f t="shared" si="9"/>
        <v>--</v>
      </c>
      <c r="V64" s="5" t="str">
        <f t="shared" si="10"/>
        <v>--</v>
      </c>
      <c r="W64" s="5" t="str">
        <f t="shared" si="11"/>
        <v>--</v>
      </c>
      <c r="X64" s="5" t="str">
        <f t="shared" si="12"/>
        <v>--</v>
      </c>
      <c r="Y64" s="5"/>
    </row>
    <row r="65" spans="1:25">
      <c r="A65">
        <v>128</v>
      </c>
      <c r="B65" t="s">
        <v>97</v>
      </c>
      <c r="C65" t="s">
        <v>97</v>
      </c>
      <c r="D65" t="s">
        <v>97</v>
      </c>
      <c r="E65" t="s">
        <v>97</v>
      </c>
      <c r="F65" t="s">
        <v>97</v>
      </c>
      <c r="G65" t="s">
        <v>61</v>
      </c>
      <c r="H65" t="s">
        <v>61</v>
      </c>
      <c r="I65" t="s">
        <v>61</v>
      </c>
      <c r="J65" t="s">
        <v>61</v>
      </c>
      <c r="K65" t="s">
        <v>61</v>
      </c>
      <c r="L65" s="5" t="str">
        <f t="shared" si="0"/>
        <v>--</v>
      </c>
      <c r="M65" s="5" t="str">
        <f t="shared" si="1"/>
        <v>--</v>
      </c>
      <c r="N65" s="5" t="str">
        <f t="shared" si="2"/>
        <v>--</v>
      </c>
      <c r="O65" s="5" t="str">
        <f t="shared" si="3"/>
        <v>--</v>
      </c>
      <c r="P65" s="5" t="str">
        <f t="shared" si="4"/>
        <v>--</v>
      </c>
      <c r="Q65" s="5" t="str">
        <f t="shared" si="5"/>
        <v>--</v>
      </c>
      <c r="R65" s="5" t="str">
        <f t="shared" si="6"/>
        <v>--</v>
      </c>
      <c r="S65" s="5" t="str">
        <f t="shared" si="7"/>
        <v>--</v>
      </c>
      <c r="T65" s="5" t="str">
        <f t="shared" si="8"/>
        <v>--</v>
      </c>
      <c r="U65" s="5" t="str">
        <f t="shared" si="9"/>
        <v>--</v>
      </c>
      <c r="V65" s="5" t="str">
        <f t="shared" si="10"/>
        <v>--</v>
      </c>
      <c r="W65" s="5" t="str">
        <f t="shared" si="11"/>
        <v>--</v>
      </c>
      <c r="X65" s="5" t="str">
        <f t="shared" si="12"/>
        <v>--</v>
      </c>
      <c r="Y65" s="5"/>
    </row>
    <row r="66" spans="1:25">
      <c r="A66">
        <v>129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61</v>
      </c>
      <c r="H66" t="s">
        <v>61</v>
      </c>
      <c r="I66" t="s">
        <v>61</v>
      </c>
      <c r="J66" t="s">
        <v>61</v>
      </c>
      <c r="K66" t="s">
        <v>61</v>
      </c>
      <c r="L66" s="5" t="str">
        <f t="shared" si="0"/>
        <v>--</v>
      </c>
      <c r="M66" s="5" t="str">
        <f t="shared" si="1"/>
        <v>--</v>
      </c>
      <c r="N66" s="5" t="str">
        <f t="shared" si="2"/>
        <v>--</v>
      </c>
      <c r="O66" s="5" t="str">
        <f t="shared" si="3"/>
        <v>--</v>
      </c>
      <c r="P66" s="5" t="str">
        <f t="shared" si="4"/>
        <v>--</v>
      </c>
      <c r="Q66" s="5" t="str">
        <f t="shared" si="5"/>
        <v>--</v>
      </c>
      <c r="R66" s="5" t="str">
        <f t="shared" si="6"/>
        <v>--</v>
      </c>
      <c r="S66" s="5" t="str">
        <f t="shared" si="7"/>
        <v>--</v>
      </c>
      <c r="T66" s="5" t="str">
        <f t="shared" si="8"/>
        <v>--</v>
      </c>
      <c r="U66" s="5" t="str">
        <f t="shared" si="9"/>
        <v>--</v>
      </c>
      <c r="V66" s="5" t="str">
        <f t="shared" si="10"/>
        <v>--</v>
      </c>
      <c r="W66" s="5" t="str">
        <f t="shared" si="11"/>
        <v>--</v>
      </c>
      <c r="X66" s="5" t="str">
        <f t="shared" si="12"/>
        <v>--</v>
      </c>
      <c r="Y66" s="5"/>
    </row>
    <row r="67" spans="1:25">
      <c r="A67">
        <v>131</v>
      </c>
      <c r="B67" t="s">
        <v>97</v>
      </c>
      <c r="C67" t="s">
        <v>97</v>
      </c>
      <c r="D67" t="s">
        <v>97</v>
      </c>
      <c r="E67" t="s">
        <v>97</v>
      </c>
      <c r="F67" t="s">
        <v>97</v>
      </c>
      <c r="G67" t="s">
        <v>61</v>
      </c>
      <c r="H67" t="s">
        <v>61</v>
      </c>
      <c r="I67" t="s">
        <v>61</v>
      </c>
      <c r="J67" t="s">
        <v>61</v>
      </c>
      <c r="K67" t="s">
        <v>61</v>
      </c>
      <c r="L67" s="5" t="str">
        <f>IF(OR(ISNUMBER(SEARCH("ERROR", B67)), ISNUMBER(SEARCH("ERROR", G67)), ISNUMBER(SEARCH("TIME OUT", B67)), ISNUMBER(SEARCH("TIME OUT", G67))), "--", B67=G67)</f>
        <v>--</v>
      </c>
      <c r="M67" s="5" t="str">
        <f>IF(OR(ISNUMBER(SEARCH("ERROR", C67)), ISNUMBER(SEARCH("ERROR", H67)), ISNUMBER(SEARCH("TIME OUT", C67)), ISNUMBER(SEARCH("TIME OUT", H67))),"--",C67-H67)</f>
        <v>--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--</v>
      </c>
      <c r="O67" s="5" t="str">
        <f>IF(M67="--","--",TEXT(MIN(C67,H67)/MAX(C67,H67),"0.000%"))</f>
        <v>--</v>
      </c>
      <c r="P67" s="5" t="str">
        <f>IF(OR(ISNUMBER(SEARCH("ERROR", D67)), ISNUMBER(SEARCH("ERROR", I67)), ISNUMBER(SEARCH("TIME OUT", D67)), ISNUMBER(SEARCH("TIME OUT", I67))),"--",D67-I67)</f>
        <v>--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--</v>
      </c>
      <c r="R67" s="5" t="str">
        <f>IF(P67="--","--",TEXT(MIN(D67,I67)/MAX(D67,I67),"0.000%"))</f>
        <v>--</v>
      </c>
      <c r="S67" s="5" t="str">
        <f>IF(OR(ISNUMBER(SEARCH("ERROR", E67)), ISNUMBER(SEARCH("ERROR", J67)), ISNUMBER(SEARCH("TIME OUT", E67)), ISNUMBER(SEARCH("TIME OUT", J67))),"--",E67-J67)</f>
        <v>--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--</v>
      </c>
      <c r="U67" s="5" t="str">
        <f>IF(S67="--","--",TEXT(MIN(E67,J67)/MAX(E67,J67),"0.000%"))</f>
        <v>--</v>
      </c>
      <c r="V67" s="5" t="str">
        <f>IF(OR(ISNUMBER(SEARCH("ERROR", F67)), ISNUMBER(SEARCH("ERROR", K67)), ISNUMBER(SEARCH("TIME OUT", F67)), ISNUMBER(SEARCH("TIME OUT", K67))),"--",F67-K67)</f>
        <v>--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--</v>
      </c>
      <c r="X67" s="5" t="str">
        <f>IF(V67="--","--",TEXT(MIN(F67,K67)/MAX(F67,K67),"0.000%"))</f>
        <v>--</v>
      </c>
      <c r="Y67" s="5"/>
    </row>
    <row r="68" spans="1:25">
      <c r="A68">
        <v>132</v>
      </c>
      <c r="B68" t="s">
        <v>97</v>
      </c>
      <c r="C68" t="s">
        <v>97</v>
      </c>
      <c r="D68" t="s">
        <v>97</v>
      </c>
      <c r="E68" t="s">
        <v>97</v>
      </c>
      <c r="F68" t="s">
        <v>97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  <c r="L68" s="5" t="str">
        <f>IF(OR(ISNUMBER(SEARCH("ERROR", B68)), ISNUMBER(SEARCH("ERROR", G68)), ISNUMBER(SEARCH("TIME OUT", B68)), ISNUMBER(SEARCH("TIME OUT", G68))), "--", B68=G68)</f>
        <v>--</v>
      </c>
      <c r="M68" s="5" t="str">
        <f>IF(OR(ISNUMBER(SEARCH("ERROR", C68)), ISNUMBER(SEARCH("ERROR", H68)), ISNUMBER(SEARCH("TIME OUT", C68)), ISNUMBER(SEARCH("TIME OUT", H68))),"--",C68-H68)</f>
        <v>--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--</v>
      </c>
      <c r="O68" s="5" t="str">
        <f>IF(M68="--","--",TEXT(MIN(C68,H68)/MAX(C68,H68),"0.000%"))</f>
        <v>--</v>
      </c>
      <c r="P68" s="5" t="str">
        <f>IF(OR(ISNUMBER(SEARCH("ERROR", D68)), ISNUMBER(SEARCH("ERROR", I68)), ISNUMBER(SEARCH("TIME OUT", D68)), ISNUMBER(SEARCH("TIME OUT", I68))),"--",D68-I68)</f>
        <v>--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--</v>
      </c>
      <c r="R68" s="5" t="str">
        <f>IF(P68="--","--",TEXT(MIN(D68,I68)/MAX(D68,I68),"0.000%"))</f>
        <v>--</v>
      </c>
      <c r="S68" s="5" t="str">
        <f>IF(OR(ISNUMBER(SEARCH("ERROR", E68)), ISNUMBER(SEARCH("ERROR", J68)), ISNUMBER(SEARCH("TIME OUT", E68)), ISNUMBER(SEARCH("TIME OUT", J68))),"--",E68-J68)</f>
        <v>--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--</v>
      </c>
      <c r="U68" s="5" t="str">
        <f>IF(S68="--","--",TEXT(MIN(E68,J68)/MAX(E68,J68),"0.000%"))</f>
        <v>--</v>
      </c>
      <c r="V68" s="5" t="str">
        <f>IF(OR(ISNUMBER(SEARCH("ERROR", F68)), ISNUMBER(SEARCH("ERROR", K68)), ISNUMBER(SEARCH("TIME OUT", F68)), ISNUMBER(SEARCH("TIME OUT", K68))),"--",F68-K68)</f>
        <v>--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--</v>
      </c>
      <c r="X68" s="5" t="str">
        <f>IF(V68="--","--",TEXT(MIN(F68,K68)/MAX(F68,K68),"0.000%"))</f>
        <v>--</v>
      </c>
      <c r="Y68" s="5"/>
    </row>
    <row r="70" spans="1:25">
      <c r="N70" s="5"/>
    </row>
  </sheetData>
  <autoFilter ref="A1:X68" xr:uid="{5A375E14-A1CB-47FE-8B0A-F716ACFE1305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36" priority="9" operator="containsText" text="ERROR">
      <formula>NOT(ISERROR(SEARCH("ERROR",A1)))</formula>
    </cfRule>
    <cfRule type="containsText" dxfId="35" priority="15" operator="containsText" text="TIME OUT">
      <formula>NOT(ISERROR(SEARCH("TIME OUT",A1)))</formula>
    </cfRule>
  </conditionalFormatting>
  <conditionalFormatting sqref="L2:L69 L71:L1048576">
    <cfRule type="cellIs" dxfId="34" priority="11" operator="equal">
      <formula>TRUE</formula>
    </cfRule>
  </conditionalFormatting>
  <conditionalFormatting sqref="L1:S1 X1:AG1">
    <cfRule type="containsText" dxfId="33" priority="10" operator="containsText" text="TIME OUT">
      <formula>NOT(ISERROR(SEARCH("TIME OUT",L1)))</formula>
    </cfRule>
  </conditionalFormatting>
  <conditionalFormatting sqref="Z41:AD41">
    <cfRule type="containsText" dxfId="32" priority="1" operator="containsText" text="TIME OUT">
      <formula>NOT(ISERROR(SEARCH("TIME OUT",Z41)))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0BE5-CF3B-4A07-A181-FAE6F4256769}">
  <dimension ref="A1:AQ81"/>
  <sheetViews>
    <sheetView zoomScale="80" zoomScaleNormal="8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A81" sqref="AA81:AD82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100</v>
      </c>
      <c r="C2">
        <v>19852602</v>
      </c>
      <c r="D2">
        <v>0.17810000000000001</v>
      </c>
      <c r="E2">
        <v>0.1769</v>
      </c>
      <c r="F2">
        <v>177</v>
      </c>
      <c r="G2" t="s">
        <v>100</v>
      </c>
      <c r="H2">
        <v>13110164</v>
      </c>
      <c r="I2">
        <v>0.1406</v>
      </c>
      <c r="J2">
        <v>0.14050000000000001</v>
      </c>
      <c r="K2">
        <v>177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6742438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QE</v>
      </c>
      <c r="O2" s="5" t="str">
        <f>IF(M2="--","--",TEXT(MIN(C2,H2)/MAX(C2,H2),"0.000%"))</f>
        <v>66.038%</v>
      </c>
      <c r="P2" s="5">
        <f>IF(OR(ISNUMBER(SEARCH("ERROR", D2)), ISNUMBER(SEARCH("ERROR", I2)), ISNUMBER(SEARCH("TIME OUT", D2)), ISNUMBER(SEARCH("TIME OUT", I2))),"--",D2-I2)</f>
        <v>3.7500000000000006E-2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QE</v>
      </c>
      <c r="R2" s="5" t="str">
        <f>IF(P2="--","--",TEXT(MIN(D2,I2)/MAX(D2,I2),"0.000%"))</f>
        <v>78.944%</v>
      </c>
      <c r="S2" s="5">
        <f>IF(OR(ISNUMBER(SEARCH("ERROR", E2)), ISNUMBER(SEARCH("ERROR", J2)), ISNUMBER(SEARCH("TIME OUT", E2)), ISNUMBER(SEARCH("TIME OUT", J2))),"--",E2-J2)</f>
        <v>3.6399999999999988E-2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QE</v>
      </c>
      <c r="U2" s="5" t="str">
        <f>IF(S2="--","--",TEXT(MIN(E2,J2)/MAX(E2,J2),"0.000%"))</f>
        <v>79.423%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str">
        <f>IF(V2="--","--",TEXT(MIN(F2,K2)/MAX(F2,K2),"0.000%"))</f>
        <v>100.000%</v>
      </c>
      <c r="Y2" s="5"/>
      <c r="Z2">
        <f>AVERAGE(C:C)</f>
        <v>3771907182.9032259</v>
      </c>
      <c r="AA2">
        <f>AVERAGE(D:D)</f>
        <v>49.118066129032258</v>
      </c>
      <c r="AB2">
        <f>AVERAGE(E:E)</f>
        <v>36.157120967741932</v>
      </c>
      <c r="AC2">
        <f>AVERAGE(F:F)</f>
        <v>29186.193548387098</v>
      </c>
      <c r="AD2">
        <f>AVERAGE(H:H)</f>
        <v>746889097.51063836</v>
      </c>
      <c r="AE2">
        <f>AVERAGE(I:I)</f>
        <v>16.654721276595748</v>
      </c>
      <c r="AF2">
        <f>AVERAGE(J:J)</f>
        <v>10.038855319148936</v>
      </c>
      <c r="AG2">
        <f>AVERAGE(K:K)</f>
        <v>6823.7659574468089</v>
      </c>
      <c r="AH2">
        <f>AVERAGE(M:M)</f>
        <v>1875358</v>
      </c>
      <c r="AI2">
        <f>AVERAGE(P:P)</f>
        <v>-7.7566872340425519</v>
      </c>
      <c r="AJ2">
        <f>AVERAGE(S:S)</f>
        <v>-3.1090808510638297</v>
      </c>
      <c r="AK2">
        <f>AVERAGE(V:V)</f>
        <v>-1063.7021276595744</v>
      </c>
    </row>
    <row r="3" spans="1:43">
      <c r="A3">
        <v>19</v>
      </c>
      <c r="B3" t="s">
        <v>100</v>
      </c>
      <c r="C3">
        <v>18538026</v>
      </c>
      <c r="D3">
        <v>0.16569999999999999</v>
      </c>
      <c r="E3">
        <v>0.1641</v>
      </c>
      <c r="F3">
        <v>159</v>
      </c>
      <c r="G3" t="s">
        <v>100</v>
      </c>
      <c r="H3">
        <v>13108239</v>
      </c>
      <c r="I3">
        <v>0.14380000000000001</v>
      </c>
      <c r="J3">
        <v>0.1421</v>
      </c>
      <c r="K3">
        <v>177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5429787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QE</v>
      </c>
      <c r="O3" s="5" t="str">
        <f t="shared" ref="O3:O66" si="3">IF(M3="--","--",TEXT(MIN(C3,H3)/MAX(C3,H3),"0.000%"))</f>
        <v>70.710%</v>
      </c>
      <c r="P3" s="5">
        <f t="shared" ref="P3:P66" si="4">IF(OR(ISNUMBER(SEARCH("ERROR", D3)), ISNUMBER(SEARCH("ERROR", I3)), ISNUMBER(SEARCH("TIME OUT", D3)), ISNUMBER(SEARCH("TIME OUT", I3))),"--",D3-I3)</f>
        <v>2.1899999999999975E-2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QE</v>
      </c>
      <c r="R3" s="5" t="str">
        <f t="shared" ref="R3:R66" si="6">IF(P3="--","--",TEXT(MIN(D3,I3)/MAX(D3,I3),"0.000%"))</f>
        <v>86.783%</v>
      </c>
      <c r="S3" s="5">
        <f t="shared" ref="S3:S66" si="7">IF(OR(ISNUMBER(SEARCH("ERROR", E3)), ISNUMBER(SEARCH("ERROR", J3)), ISNUMBER(SEARCH("TIME OUT", E3)), ISNUMBER(SEARCH("TIME OUT", J3))),"--",E3-J3)</f>
        <v>2.1999999999999992E-2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QE</v>
      </c>
      <c r="U3" s="5" t="str">
        <f t="shared" ref="U3:U66" si="9">IF(S3="--","--",TEXT(MIN(E3,J3)/MAX(E3,J3),"0.000%"))</f>
        <v>86.594%</v>
      </c>
      <c r="V3" s="5">
        <f t="shared" ref="V3:V66" si="10">IF(OR(ISNUMBER(SEARCH("ERROR", F3)), ISNUMBER(SEARCH("ERROR", K3)), ISNUMBER(SEARCH("TIME OUT", F3)), ISNUMBER(SEARCH("TIME OUT", K3))),"--",F3-K3)</f>
        <v>-18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RC</v>
      </c>
      <c r="X3" s="5" t="str">
        <f t="shared" ref="X3:X66" si="12">IF(V3="--","--",TEXT(MIN(F3,K3)/MAX(F3,K3),"0.000%"))</f>
        <v>89.831%</v>
      </c>
      <c r="Y3" s="5"/>
    </row>
    <row r="4" spans="1:43">
      <c r="A4">
        <v>20</v>
      </c>
      <c r="B4" t="s">
        <v>100</v>
      </c>
      <c r="C4">
        <v>38389053</v>
      </c>
      <c r="D4">
        <v>0.35470000000000002</v>
      </c>
      <c r="E4">
        <v>0.3488</v>
      </c>
      <c r="F4">
        <v>327</v>
      </c>
      <c r="G4" t="s">
        <v>100</v>
      </c>
      <c r="H4">
        <v>24115828</v>
      </c>
      <c r="I4">
        <v>0.27339999999999998</v>
      </c>
      <c r="J4">
        <v>0.26679999999999998</v>
      </c>
      <c r="K4">
        <v>327</v>
      </c>
      <c r="L4" s="5" t="b">
        <f t="shared" si="0"/>
        <v>1</v>
      </c>
      <c r="M4" s="5">
        <f t="shared" si="1"/>
        <v>14273225</v>
      </c>
      <c r="N4" s="5" t="str">
        <f t="shared" si="2"/>
        <v>QE</v>
      </c>
      <c r="O4" s="5" t="str">
        <f t="shared" si="3"/>
        <v>62.820%</v>
      </c>
      <c r="P4" s="5">
        <f t="shared" si="4"/>
        <v>8.1300000000000039E-2</v>
      </c>
      <c r="Q4" s="5" t="str">
        <f t="shared" si="5"/>
        <v>QE</v>
      </c>
      <c r="R4" s="5" t="str">
        <f t="shared" si="6"/>
        <v>77.079%</v>
      </c>
      <c r="S4" s="5">
        <f t="shared" si="7"/>
        <v>8.2000000000000017E-2</v>
      </c>
      <c r="T4" s="5" t="str">
        <f t="shared" si="8"/>
        <v>QE</v>
      </c>
      <c r="U4" s="5" t="str">
        <f t="shared" si="9"/>
        <v>76.491%</v>
      </c>
      <c r="V4" s="5">
        <f t="shared" si="10"/>
        <v>0</v>
      </c>
      <c r="W4" s="5" t="str">
        <f t="shared" si="11"/>
        <v>TIE</v>
      </c>
      <c r="X4" s="5" t="str">
        <f t="shared" si="12"/>
        <v>100.000%</v>
      </c>
      <c r="Y4" s="5"/>
    </row>
    <row r="5" spans="1:43">
      <c r="A5">
        <v>22</v>
      </c>
      <c r="B5" t="s">
        <v>100</v>
      </c>
      <c r="C5">
        <v>35899067</v>
      </c>
      <c r="D5">
        <v>0.33589999999999998</v>
      </c>
      <c r="E5">
        <v>0.33029999999999998</v>
      </c>
      <c r="F5">
        <v>301</v>
      </c>
      <c r="G5" t="s">
        <v>100</v>
      </c>
      <c r="H5">
        <v>24938923</v>
      </c>
      <c r="I5">
        <v>0.26569999999999999</v>
      </c>
      <c r="J5">
        <v>0.26050000000000001</v>
      </c>
      <c r="K5">
        <v>327</v>
      </c>
      <c r="L5" s="5" t="b">
        <f t="shared" si="0"/>
        <v>1</v>
      </c>
      <c r="M5" s="5">
        <f t="shared" si="1"/>
        <v>10960144</v>
      </c>
      <c r="N5" s="5" t="str">
        <f t="shared" si="2"/>
        <v>QE</v>
      </c>
      <c r="O5" s="5" t="str">
        <f t="shared" si="3"/>
        <v>69.470%</v>
      </c>
      <c r="P5" s="5">
        <f t="shared" si="4"/>
        <v>7.0199999999999985E-2</v>
      </c>
      <c r="Q5" s="5" t="str">
        <f t="shared" si="5"/>
        <v>QE</v>
      </c>
      <c r="R5" s="5" t="str">
        <f t="shared" si="6"/>
        <v>79.101%</v>
      </c>
      <c r="S5" s="5">
        <f t="shared" si="7"/>
        <v>6.9799999999999973E-2</v>
      </c>
      <c r="T5" s="5" t="str">
        <f t="shared" si="8"/>
        <v>QE</v>
      </c>
      <c r="U5" s="5" t="str">
        <f t="shared" si="9"/>
        <v>78.868%</v>
      </c>
      <c r="V5" s="5">
        <f t="shared" si="10"/>
        <v>-26</v>
      </c>
      <c r="W5" s="5" t="str">
        <f t="shared" si="11"/>
        <v>RC</v>
      </c>
      <c r="X5" s="5" t="str">
        <f t="shared" si="12"/>
        <v>92.049%</v>
      </c>
      <c r="Y5" s="5"/>
    </row>
    <row r="6" spans="1:43">
      <c r="A6">
        <v>23</v>
      </c>
      <c r="B6" t="s">
        <v>100</v>
      </c>
      <c r="C6">
        <v>37598519</v>
      </c>
      <c r="D6">
        <v>0.35149999999999998</v>
      </c>
      <c r="E6">
        <v>0.34799999999999998</v>
      </c>
      <c r="F6">
        <v>327</v>
      </c>
      <c r="G6" t="s">
        <v>100</v>
      </c>
      <c r="H6">
        <v>24156391</v>
      </c>
      <c r="I6">
        <v>0.27339999999999998</v>
      </c>
      <c r="J6">
        <v>0.26989999999999997</v>
      </c>
      <c r="K6">
        <v>327</v>
      </c>
      <c r="L6" s="5" t="b">
        <f t="shared" si="0"/>
        <v>1</v>
      </c>
      <c r="M6" s="5">
        <f t="shared" si="1"/>
        <v>13442128</v>
      </c>
      <c r="N6" s="5" t="str">
        <f t="shared" si="2"/>
        <v>QE</v>
      </c>
      <c r="O6" s="5" t="str">
        <f t="shared" si="3"/>
        <v>64.248%</v>
      </c>
      <c r="P6" s="5">
        <f t="shared" si="4"/>
        <v>7.8100000000000003E-2</v>
      </c>
      <c r="Q6" s="5" t="str">
        <f t="shared" si="5"/>
        <v>QE</v>
      </c>
      <c r="R6" s="5" t="str">
        <f t="shared" si="6"/>
        <v>77.781%</v>
      </c>
      <c r="S6" s="5">
        <f t="shared" si="7"/>
        <v>7.8100000000000003E-2</v>
      </c>
      <c r="T6" s="5" t="str">
        <f t="shared" si="8"/>
        <v>QE</v>
      </c>
      <c r="U6" s="5" t="str">
        <f t="shared" si="9"/>
        <v>77.557%</v>
      </c>
      <c r="V6" s="5">
        <f t="shared" si="10"/>
        <v>0</v>
      </c>
      <c r="W6" s="5" t="str">
        <f t="shared" si="11"/>
        <v>TIE</v>
      </c>
      <c r="X6" s="5" t="str">
        <f t="shared" si="12"/>
        <v>100.000%</v>
      </c>
      <c r="Y6" s="5"/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101</v>
      </c>
      <c r="C7">
        <v>45563398</v>
      </c>
      <c r="D7">
        <v>0.41560000000000002</v>
      </c>
      <c r="E7">
        <v>0.40889999999999999</v>
      </c>
      <c r="F7">
        <v>195</v>
      </c>
      <c r="G7" t="s">
        <v>100</v>
      </c>
      <c r="H7">
        <v>93114508</v>
      </c>
      <c r="I7">
        <v>1.1906000000000001</v>
      </c>
      <c r="J7">
        <v>1.1274</v>
      </c>
      <c r="K7">
        <v>1131</v>
      </c>
      <c r="L7" s="5" t="b">
        <f t="shared" si="0"/>
        <v>0</v>
      </c>
      <c r="M7" s="5">
        <f t="shared" si="1"/>
        <v>-47551110</v>
      </c>
      <c r="N7" s="5" t="str">
        <f t="shared" si="2"/>
        <v>RC</v>
      </c>
      <c r="O7" s="5" t="str">
        <f t="shared" si="3"/>
        <v>48.933%</v>
      </c>
      <c r="P7" s="5">
        <f t="shared" si="4"/>
        <v>-0.77500000000000013</v>
      </c>
      <c r="Q7" s="5" t="str">
        <f t="shared" si="5"/>
        <v>RC</v>
      </c>
      <c r="R7" s="5" t="str">
        <f t="shared" si="6"/>
        <v>34.907%</v>
      </c>
      <c r="S7" s="5">
        <f t="shared" si="7"/>
        <v>-0.71849999999999992</v>
      </c>
      <c r="T7" s="5" t="str">
        <f t="shared" si="8"/>
        <v>RC</v>
      </c>
      <c r="U7" s="5" t="str">
        <f t="shared" si="9"/>
        <v>36.269%</v>
      </c>
      <c r="V7" s="5">
        <f t="shared" si="10"/>
        <v>-936</v>
      </c>
      <c r="W7" s="5" t="str">
        <f t="shared" si="11"/>
        <v>RC</v>
      </c>
      <c r="X7" s="5" t="str">
        <f t="shared" si="12"/>
        <v>17.241%</v>
      </c>
      <c r="Y7" s="5"/>
      <c r="Z7" s="5" t="s">
        <v>30</v>
      </c>
      <c r="AA7">
        <f>COUNTIF(N:N,$Z7)</f>
        <v>48</v>
      </c>
      <c r="AB7" s="6">
        <f>AA7/AA$11</f>
        <v>0.71641791044776115</v>
      </c>
      <c r="AC7">
        <f>COUNTIF(Q:Q,$Z7)</f>
        <v>52</v>
      </c>
      <c r="AD7" s="6">
        <f>AC7/AC$11</f>
        <v>0.77611940298507465</v>
      </c>
      <c r="AE7">
        <f>COUNTIF(T:T,$Z7)</f>
        <v>52</v>
      </c>
      <c r="AF7" s="6">
        <f>AE7/AE$11</f>
        <v>0.77611940298507465</v>
      </c>
      <c r="AG7">
        <f>COUNTIF(W:W,$Z7)</f>
        <v>56</v>
      </c>
      <c r="AH7" s="6">
        <f>AG7/AG$11</f>
        <v>0.83582089552238803</v>
      </c>
      <c r="AJ7">
        <f>COUNTA(B2:B68)-COUNTIF(B2:B68,"*TIME OUT*")-COUNTIF(B2:B68,"*ERROR*")</f>
        <v>62</v>
      </c>
      <c r="AK7" s="6">
        <f>AJ7/67</f>
        <v>0.92537313432835822</v>
      </c>
      <c r="AL7">
        <f>COUNTIF(B2:B68,"*TIME OUT*")</f>
        <v>5</v>
      </c>
      <c r="AM7" s="6">
        <f>AL7/67</f>
        <v>7.4626865671641784E-2</v>
      </c>
      <c r="AN7">
        <f>COUNTIF(B2:B68,"*ERROR*")</f>
        <v>0</v>
      </c>
      <c r="AO7" s="6">
        <f>AN7/67</f>
        <v>0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2256817</v>
      </c>
      <c r="D8" s="22">
        <v>1.5599999999999999E-2</v>
      </c>
      <c r="E8" s="22">
        <v>1.5900000000000001E-2</v>
      </c>
      <c r="F8">
        <v>9</v>
      </c>
      <c r="G8" t="s">
        <v>96</v>
      </c>
      <c r="H8">
        <v>5145537</v>
      </c>
      <c r="I8" s="22">
        <v>6.5600000000000006E-2</v>
      </c>
      <c r="J8" s="22">
        <v>6.3700000000000007E-2</v>
      </c>
      <c r="K8">
        <v>57</v>
      </c>
      <c r="L8" s="5" t="b">
        <f t="shared" si="0"/>
        <v>1</v>
      </c>
      <c r="M8" s="5">
        <f t="shared" si="1"/>
        <v>-2888720</v>
      </c>
      <c r="N8" s="5" t="str">
        <f t="shared" si="2"/>
        <v>RC</v>
      </c>
      <c r="O8" s="5" t="str">
        <f t="shared" si="3"/>
        <v>43.860%</v>
      </c>
      <c r="P8" s="5">
        <f t="shared" si="4"/>
        <v>-0.05</v>
      </c>
      <c r="Q8" s="5" t="str">
        <f t="shared" si="5"/>
        <v>RC</v>
      </c>
      <c r="R8" s="5" t="str">
        <f t="shared" si="6"/>
        <v>23.780%</v>
      </c>
      <c r="S8" s="5">
        <f t="shared" si="7"/>
        <v>-4.7800000000000009E-2</v>
      </c>
      <c r="T8" s="5" t="str">
        <f t="shared" si="8"/>
        <v>RC</v>
      </c>
      <c r="U8" s="5" t="str">
        <f t="shared" si="9"/>
        <v>24.961%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/>
      <c r="Z8" s="5" t="s">
        <v>31</v>
      </c>
      <c r="AA8">
        <f>COUNTIF(N:N,$Z8)</f>
        <v>14</v>
      </c>
      <c r="AB8" s="6">
        <f>AA8/AA$11</f>
        <v>0.20895522388059701</v>
      </c>
      <c r="AC8">
        <f>COUNTIF(Q:Q,$Z8)</f>
        <v>10</v>
      </c>
      <c r="AD8" s="6">
        <f>AC8/AC$11</f>
        <v>0.14925373134328357</v>
      </c>
      <c r="AE8">
        <f>COUNTIF(T:T,$Z8)</f>
        <v>10</v>
      </c>
      <c r="AF8" s="6">
        <f>AE8/AE$11</f>
        <v>0.14925373134328357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47</v>
      </c>
      <c r="AK8" s="6">
        <f>AJ8/67</f>
        <v>0.70149253731343286</v>
      </c>
      <c r="AL8">
        <f>COUNTIF(G2:G68,"*TIME OUT*")</f>
        <v>0</v>
      </c>
      <c r="AM8" s="6">
        <f>AL8/67</f>
        <v>0</v>
      </c>
      <c r="AN8">
        <f>COUNTIF(G2:G68,"*ERROR*")</f>
        <v>20</v>
      </c>
      <c r="AO8" s="6">
        <f>AN8/67</f>
        <v>0.29850746268656714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101</v>
      </c>
      <c r="C9">
        <v>39871125</v>
      </c>
      <c r="D9">
        <v>0.38900000000000001</v>
      </c>
      <c r="E9">
        <v>0.37869999999999998</v>
      </c>
      <c r="F9">
        <v>195</v>
      </c>
      <c r="G9" t="s">
        <v>100</v>
      </c>
      <c r="H9">
        <v>93510910</v>
      </c>
      <c r="I9">
        <v>1.1766000000000001</v>
      </c>
      <c r="J9">
        <v>1.1046</v>
      </c>
      <c r="K9">
        <v>1131</v>
      </c>
      <c r="L9" s="5" t="b">
        <f t="shared" si="0"/>
        <v>0</v>
      </c>
      <c r="M9" s="5">
        <f t="shared" si="1"/>
        <v>-53639785</v>
      </c>
      <c r="N9" s="5" t="str">
        <f t="shared" si="2"/>
        <v>RC</v>
      </c>
      <c r="O9" s="5" t="str">
        <f t="shared" si="3"/>
        <v>42.638%</v>
      </c>
      <c r="P9" s="5">
        <f t="shared" si="4"/>
        <v>-0.78760000000000008</v>
      </c>
      <c r="Q9" s="5" t="str">
        <f t="shared" si="5"/>
        <v>RC</v>
      </c>
      <c r="R9" s="5" t="str">
        <f t="shared" si="6"/>
        <v>33.061%</v>
      </c>
      <c r="S9" s="5">
        <f t="shared" si="7"/>
        <v>-0.72589999999999999</v>
      </c>
      <c r="T9" s="5" t="str">
        <f t="shared" si="8"/>
        <v>RC</v>
      </c>
      <c r="U9" s="5" t="str">
        <f t="shared" si="9"/>
        <v>34.284%</v>
      </c>
      <c r="V9" s="5">
        <f t="shared" si="10"/>
        <v>-936</v>
      </c>
      <c r="W9" s="5" t="str">
        <f t="shared" si="11"/>
        <v>RC</v>
      </c>
      <c r="X9" s="5" t="str">
        <f t="shared" si="12"/>
        <v>17.241%</v>
      </c>
      <c r="Y9" s="5"/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6</v>
      </c>
      <c r="AH9" s="6">
        <f>AG9/AG$11</f>
        <v>8.9552238805970144E-2</v>
      </c>
    </row>
    <row r="10" spans="1:43">
      <c r="A10">
        <v>28</v>
      </c>
      <c r="B10" t="s">
        <v>101</v>
      </c>
      <c r="C10">
        <v>47713366</v>
      </c>
      <c r="D10">
        <v>0.43120000000000003</v>
      </c>
      <c r="E10">
        <v>0.42370000000000002</v>
      </c>
      <c r="F10">
        <v>195</v>
      </c>
      <c r="G10" t="s">
        <v>100</v>
      </c>
      <c r="H10">
        <v>96235054</v>
      </c>
      <c r="I10">
        <v>1.1968000000000001</v>
      </c>
      <c r="J10">
        <v>1.1323000000000001</v>
      </c>
      <c r="K10">
        <v>1131</v>
      </c>
      <c r="L10" s="5" t="b">
        <f t="shared" si="0"/>
        <v>0</v>
      </c>
      <c r="M10" s="5">
        <f t="shared" si="1"/>
        <v>-48521688</v>
      </c>
      <c r="N10" s="5" t="str">
        <f t="shared" si="2"/>
        <v>RC</v>
      </c>
      <c r="O10" s="5" t="str">
        <f t="shared" si="3"/>
        <v>49.580%</v>
      </c>
      <c r="P10" s="5">
        <f t="shared" si="4"/>
        <v>-0.76560000000000006</v>
      </c>
      <c r="Q10" s="5" t="str">
        <f t="shared" si="5"/>
        <v>RC</v>
      </c>
      <c r="R10" s="5" t="str">
        <f t="shared" si="6"/>
        <v>36.029%</v>
      </c>
      <c r="S10" s="5">
        <f t="shared" si="7"/>
        <v>-0.70860000000000012</v>
      </c>
      <c r="T10" s="5" t="str">
        <f t="shared" si="8"/>
        <v>RC</v>
      </c>
      <c r="U10" s="5" t="str">
        <f t="shared" si="9"/>
        <v>37.419%</v>
      </c>
      <c r="V10" s="5">
        <f t="shared" si="10"/>
        <v>-936</v>
      </c>
      <c r="W10" s="5" t="str">
        <f t="shared" si="11"/>
        <v>RC</v>
      </c>
      <c r="X10" s="5" t="str">
        <f t="shared" si="12"/>
        <v>17.241%</v>
      </c>
      <c r="Y10" s="5"/>
      <c r="Z10" s="7" t="s">
        <v>34</v>
      </c>
      <c r="AA10">
        <f>COUNTIF(N:N,$Z10)</f>
        <v>5</v>
      </c>
      <c r="AB10" s="6">
        <f>AA10/AA$11</f>
        <v>7.4626865671641784E-2</v>
      </c>
      <c r="AC10">
        <f>COUNTIF(Q:Q,$Z10)</f>
        <v>5</v>
      </c>
      <c r="AD10" s="6">
        <f>AC10/AC$11</f>
        <v>7.4626865671641784E-2</v>
      </c>
      <c r="AE10">
        <f>COUNTIF(T:T,$Z10)</f>
        <v>5</v>
      </c>
      <c r="AF10" s="6">
        <f>AE10/AE$11</f>
        <v>7.4626865671641784E-2</v>
      </c>
      <c r="AG10">
        <f>COUNTIF(W:W,$Z10)</f>
        <v>5</v>
      </c>
      <c r="AH10" s="6">
        <f>AG10/AG$11</f>
        <v>7.4626865671641784E-2</v>
      </c>
    </row>
    <row r="11" spans="1:43">
      <c r="A11">
        <v>29</v>
      </c>
      <c r="B11" t="s">
        <v>101</v>
      </c>
      <c r="C11">
        <v>41406336</v>
      </c>
      <c r="D11">
        <v>0.375</v>
      </c>
      <c r="E11">
        <v>0.36780000000000002</v>
      </c>
      <c r="F11">
        <v>195</v>
      </c>
      <c r="G11" t="s">
        <v>100</v>
      </c>
      <c r="H11">
        <v>93187154</v>
      </c>
      <c r="I11">
        <v>1.1454</v>
      </c>
      <c r="J11">
        <v>1.0916999999999999</v>
      </c>
      <c r="K11">
        <v>1131</v>
      </c>
      <c r="L11" s="5" t="b">
        <f t="shared" si="0"/>
        <v>0</v>
      </c>
      <c r="M11" s="5">
        <f t="shared" si="1"/>
        <v>-51780818</v>
      </c>
      <c r="N11" s="5" t="str">
        <f t="shared" si="2"/>
        <v>RC</v>
      </c>
      <c r="O11" s="5" t="str">
        <f t="shared" si="3"/>
        <v>44.434%</v>
      </c>
      <c r="P11" s="5">
        <f t="shared" si="4"/>
        <v>-0.77039999999999997</v>
      </c>
      <c r="Q11" s="5" t="str">
        <f t="shared" si="5"/>
        <v>RC</v>
      </c>
      <c r="R11" s="5" t="str">
        <f t="shared" si="6"/>
        <v>32.740%</v>
      </c>
      <c r="S11" s="5">
        <f t="shared" si="7"/>
        <v>-0.72389999999999988</v>
      </c>
      <c r="T11" s="5" t="str">
        <f t="shared" si="8"/>
        <v>RC</v>
      </c>
      <c r="U11" s="5" t="str">
        <f t="shared" si="9"/>
        <v>33.691%</v>
      </c>
      <c r="V11" s="5">
        <f t="shared" si="10"/>
        <v>-936</v>
      </c>
      <c r="W11" s="5" t="str">
        <f t="shared" si="11"/>
        <v>RC</v>
      </c>
      <c r="X11" s="5" t="str">
        <f t="shared" si="12"/>
        <v>17.241%</v>
      </c>
      <c r="Y11" s="5"/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101</v>
      </c>
      <c r="C12">
        <v>45888500</v>
      </c>
      <c r="D12">
        <v>0.41570000000000001</v>
      </c>
      <c r="E12">
        <v>0.40560000000000002</v>
      </c>
      <c r="F12">
        <v>195</v>
      </c>
      <c r="G12" t="s">
        <v>100</v>
      </c>
      <c r="H12">
        <v>93364346</v>
      </c>
      <c r="I12">
        <v>1.1561999999999999</v>
      </c>
      <c r="J12">
        <v>1.0962000000000001</v>
      </c>
      <c r="K12">
        <v>1131</v>
      </c>
      <c r="L12" s="5" t="b">
        <f t="shared" si="0"/>
        <v>0</v>
      </c>
      <c r="M12" s="5">
        <f t="shared" si="1"/>
        <v>-47475846</v>
      </c>
      <c r="N12" s="5" t="str">
        <f t="shared" si="2"/>
        <v>RC</v>
      </c>
      <c r="O12" s="5" t="str">
        <f t="shared" si="3"/>
        <v>49.150%</v>
      </c>
      <c r="P12" s="5">
        <f t="shared" si="4"/>
        <v>-0.74049999999999994</v>
      </c>
      <c r="Q12" s="5" t="str">
        <f t="shared" si="5"/>
        <v>RC</v>
      </c>
      <c r="R12" s="5" t="str">
        <f t="shared" si="6"/>
        <v>35.954%</v>
      </c>
      <c r="S12" s="5">
        <f t="shared" si="7"/>
        <v>-0.6906000000000001</v>
      </c>
      <c r="T12" s="5" t="str">
        <f t="shared" si="8"/>
        <v>RC</v>
      </c>
      <c r="U12" s="5" t="str">
        <f t="shared" si="9"/>
        <v>37.001%</v>
      </c>
      <c r="V12" s="5">
        <f t="shared" si="10"/>
        <v>-936</v>
      </c>
      <c r="W12" s="5" t="str">
        <f t="shared" si="11"/>
        <v>RC</v>
      </c>
      <c r="X12" s="5" t="str">
        <f t="shared" si="12"/>
        <v>17.241%</v>
      </c>
      <c r="Y12" s="5"/>
    </row>
    <row r="13" spans="1:43">
      <c r="A13">
        <v>31</v>
      </c>
      <c r="B13" t="s">
        <v>96</v>
      </c>
      <c r="C13">
        <v>2256835</v>
      </c>
      <c r="D13" s="22">
        <v>1.5599999999999999E-2</v>
      </c>
      <c r="E13" s="22">
        <v>1.5699999999999999E-2</v>
      </c>
      <c r="F13">
        <v>9</v>
      </c>
      <c r="G13" t="s">
        <v>96</v>
      </c>
      <c r="H13">
        <v>5145224</v>
      </c>
      <c r="I13" s="22">
        <v>5.7799999999999997E-2</v>
      </c>
      <c r="J13" s="22">
        <v>5.6599999999999998E-2</v>
      </c>
      <c r="K13">
        <v>57</v>
      </c>
      <c r="L13" s="5" t="b">
        <f t="shared" si="0"/>
        <v>1</v>
      </c>
      <c r="M13" s="5">
        <f t="shared" si="1"/>
        <v>-2888389</v>
      </c>
      <c r="N13" s="5" t="str">
        <f t="shared" si="2"/>
        <v>RC</v>
      </c>
      <c r="O13" s="5" t="str">
        <f t="shared" si="3"/>
        <v>43.863%</v>
      </c>
      <c r="P13" s="5">
        <f t="shared" si="4"/>
        <v>-4.2200000000000001E-2</v>
      </c>
      <c r="Q13" s="5" t="str">
        <f t="shared" si="5"/>
        <v>RC</v>
      </c>
      <c r="R13" s="5" t="str">
        <f t="shared" si="6"/>
        <v>26.990%</v>
      </c>
      <c r="S13" s="5">
        <f t="shared" si="7"/>
        <v>-4.0899999999999999E-2</v>
      </c>
      <c r="T13" s="5" t="str">
        <f t="shared" si="8"/>
        <v>RC</v>
      </c>
      <c r="U13" s="5" t="str">
        <f t="shared" si="9"/>
        <v>27.739%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/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101</v>
      </c>
      <c r="C14">
        <v>48044940</v>
      </c>
      <c r="D14">
        <v>0.4375</v>
      </c>
      <c r="E14">
        <v>0.42399999999999999</v>
      </c>
      <c r="F14">
        <v>195</v>
      </c>
      <c r="G14" t="s">
        <v>100</v>
      </c>
      <c r="H14">
        <v>94168481</v>
      </c>
      <c r="I14">
        <v>1.1234</v>
      </c>
      <c r="J14">
        <v>1.0807</v>
      </c>
      <c r="K14">
        <v>1131</v>
      </c>
      <c r="L14" s="5" t="b">
        <f t="shared" si="0"/>
        <v>0</v>
      </c>
      <c r="M14" s="5">
        <f t="shared" si="1"/>
        <v>-46123541</v>
      </c>
      <c r="N14" s="5" t="str">
        <f t="shared" si="2"/>
        <v>RC</v>
      </c>
      <c r="O14" s="5" t="str">
        <f t="shared" si="3"/>
        <v>51.020%</v>
      </c>
      <c r="P14" s="5">
        <f t="shared" si="4"/>
        <v>-0.68589999999999995</v>
      </c>
      <c r="Q14" s="5" t="str">
        <f t="shared" si="5"/>
        <v>RC</v>
      </c>
      <c r="R14" s="5" t="str">
        <f t="shared" si="6"/>
        <v>38.944%</v>
      </c>
      <c r="S14" s="5">
        <f t="shared" si="7"/>
        <v>-0.65670000000000006</v>
      </c>
      <c r="T14" s="5" t="str">
        <f t="shared" si="8"/>
        <v>RC</v>
      </c>
      <c r="U14" s="5" t="str">
        <f t="shared" si="9"/>
        <v>39.234%</v>
      </c>
      <c r="V14" s="5">
        <f t="shared" si="10"/>
        <v>-936</v>
      </c>
      <c r="W14" s="5" t="str">
        <f t="shared" si="11"/>
        <v>RC</v>
      </c>
      <c r="X14" s="5" t="str">
        <f t="shared" si="12"/>
        <v>17.241%</v>
      </c>
      <c r="Y14" s="5"/>
      <c r="Z14" s="5" t="s">
        <v>30</v>
      </c>
      <c r="AA14">
        <f>COUNTIF(N:N,$Z7)-COUNTIFS(N:N,$Z7,O:O,"--")</f>
        <v>33</v>
      </c>
      <c r="AB14" s="6">
        <f>AA14/AA$11</f>
        <v>0.4925373134328358</v>
      </c>
      <c r="AC14">
        <f>COUNTIF(Q:Q,$Z7)-COUNTIFS(Q:Q,$Z7,R:R,"--")</f>
        <v>37</v>
      </c>
      <c r="AD14" s="6">
        <f>AC14/AC$11</f>
        <v>0.55223880597014929</v>
      </c>
      <c r="AE14">
        <f>COUNTIF(T:T,$Z7)-COUNTIFS(T:T,$Z7,U:U,"--")</f>
        <v>37</v>
      </c>
      <c r="AF14" s="6">
        <f>AE14/AE$11</f>
        <v>0.55223880597014929</v>
      </c>
      <c r="AG14">
        <f>COUNTIF(W:W,$Z7)-COUNTIFS(W:W,$Z7,X:X,"--")</f>
        <v>41</v>
      </c>
      <c r="AH14" s="6">
        <f>AG14/AG$11</f>
        <v>0.61194029850746268</v>
      </c>
    </row>
    <row r="15" spans="1:43">
      <c r="A15">
        <v>33</v>
      </c>
      <c r="B15" t="s">
        <v>101</v>
      </c>
      <c r="C15">
        <v>48105096</v>
      </c>
      <c r="D15">
        <v>0.42349999999999999</v>
      </c>
      <c r="E15">
        <v>0.4158</v>
      </c>
      <c r="F15">
        <v>195</v>
      </c>
      <c r="G15" t="s">
        <v>100</v>
      </c>
      <c r="H15">
        <v>93580764</v>
      </c>
      <c r="I15">
        <v>1.1328</v>
      </c>
      <c r="J15">
        <v>1.08</v>
      </c>
      <c r="K15">
        <v>1131</v>
      </c>
      <c r="L15" s="5" t="b">
        <f t="shared" si="0"/>
        <v>0</v>
      </c>
      <c r="M15" s="5">
        <f t="shared" si="1"/>
        <v>-45475668</v>
      </c>
      <c r="N15" s="5" t="str">
        <f t="shared" si="2"/>
        <v>RC</v>
      </c>
      <c r="O15" s="5" t="str">
        <f t="shared" si="3"/>
        <v>51.405%</v>
      </c>
      <c r="P15" s="5">
        <f t="shared" si="4"/>
        <v>-0.70930000000000004</v>
      </c>
      <c r="Q15" s="5" t="str">
        <f t="shared" si="5"/>
        <v>RC</v>
      </c>
      <c r="R15" s="5" t="str">
        <f t="shared" si="6"/>
        <v>37.385%</v>
      </c>
      <c r="S15" s="5">
        <f t="shared" si="7"/>
        <v>-0.66420000000000012</v>
      </c>
      <c r="T15" s="5" t="str">
        <f t="shared" si="8"/>
        <v>RC</v>
      </c>
      <c r="U15" s="5" t="str">
        <f t="shared" si="9"/>
        <v>38.500%</v>
      </c>
      <c r="V15" s="5">
        <f t="shared" si="10"/>
        <v>-936</v>
      </c>
      <c r="W15" s="5" t="str">
        <f t="shared" si="11"/>
        <v>RC</v>
      </c>
      <c r="X15" s="5" t="str">
        <f t="shared" si="12"/>
        <v>17.241%</v>
      </c>
      <c r="Y15" s="5"/>
      <c r="Z15" s="5" t="s">
        <v>31</v>
      </c>
      <c r="AA15">
        <f>COUNTIF(N:N,$Z8)-COUNTIFS(N:N,$Z8,O:O,"--")</f>
        <v>14</v>
      </c>
      <c r="AB15" s="6">
        <f>AA15/AA$11</f>
        <v>0.20895522388059701</v>
      </c>
      <c r="AC15">
        <f>COUNTIF(Q:Q,$Z8)-COUNTIFS(Q:Q,$Z8,R:R,"--")</f>
        <v>10</v>
      </c>
      <c r="AD15" s="6">
        <f>AC15/AC$11</f>
        <v>0.14925373134328357</v>
      </c>
      <c r="AE15">
        <f>COUNTIF(T:T,$Z8)-COUNTIFS(T:T,$Z8,U:U,"--")</f>
        <v>10</v>
      </c>
      <c r="AF15" s="6">
        <f>AE15/AE$11</f>
        <v>0.14925373134328357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101</v>
      </c>
      <c r="C16">
        <v>49230389</v>
      </c>
      <c r="D16">
        <v>0.45</v>
      </c>
      <c r="E16">
        <v>0.43569999999999998</v>
      </c>
      <c r="F16">
        <v>195</v>
      </c>
      <c r="G16" t="s">
        <v>100</v>
      </c>
      <c r="H16">
        <v>94033251</v>
      </c>
      <c r="I16">
        <v>1.1282000000000001</v>
      </c>
      <c r="J16">
        <v>1.0864</v>
      </c>
      <c r="K16">
        <v>1131</v>
      </c>
      <c r="L16" s="5" t="b">
        <f t="shared" si="0"/>
        <v>0</v>
      </c>
      <c r="M16" s="5">
        <f t="shared" si="1"/>
        <v>-44802862</v>
      </c>
      <c r="N16" s="5" t="str">
        <f t="shared" si="2"/>
        <v>RC</v>
      </c>
      <c r="O16" s="5" t="str">
        <f t="shared" si="3"/>
        <v>52.354%</v>
      </c>
      <c r="P16" s="5">
        <f t="shared" si="4"/>
        <v>-0.67820000000000014</v>
      </c>
      <c r="Q16" s="5" t="str">
        <f t="shared" si="5"/>
        <v>RC</v>
      </c>
      <c r="R16" s="5" t="str">
        <f t="shared" si="6"/>
        <v>39.887%</v>
      </c>
      <c r="S16" s="5">
        <f t="shared" si="7"/>
        <v>-0.65070000000000006</v>
      </c>
      <c r="T16" s="5" t="str">
        <f t="shared" si="8"/>
        <v>RC</v>
      </c>
      <c r="U16" s="5" t="str">
        <f t="shared" si="9"/>
        <v>40.105%</v>
      </c>
      <c r="V16" s="5">
        <f t="shared" si="10"/>
        <v>-936</v>
      </c>
      <c r="W16" s="5" t="str">
        <f t="shared" si="11"/>
        <v>RC</v>
      </c>
      <c r="X16" s="5" t="str">
        <f t="shared" si="12"/>
        <v>17.241%</v>
      </c>
      <c r="Y16" s="5"/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6</v>
      </c>
      <c r="AH16" s="6">
        <f>AG16/AG$11</f>
        <v>8.9552238805970144E-2</v>
      </c>
    </row>
    <row r="17" spans="1:34">
      <c r="A17">
        <v>36</v>
      </c>
      <c r="B17" t="s">
        <v>101</v>
      </c>
      <c r="C17">
        <v>83855528</v>
      </c>
      <c r="D17">
        <v>0.7641</v>
      </c>
      <c r="E17">
        <v>0.74019999999999997</v>
      </c>
      <c r="F17">
        <v>333</v>
      </c>
      <c r="G17" t="s">
        <v>107</v>
      </c>
      <c r="H17">
        <v>233747107</v>
      </c>
      <c r="I17">
        <v>2.9561999999999999</v>
      </c>
      <c r="J17">
        <v>2.7061000000000002</v>
      </c>
      <c r="K17">
        <v>2359</v>
      </c>
      <c r="L17" s="5" t="b">
        <f t="shared" si="0"/>
        <v>0</v>
      </c>
      <c r="M17" s="5">
        <f t="shared" si="1"/>
        <v>-149891579</v>
      </c>
      <c r="N17" s="5" t="str">
        <f t="shared" si="2"/>
        <v>RC</v>
      </c>
      <c r="O17" s="5" t="str">
        <f t="shared" si="3"/>
        <v>35.874%</v>
      </c>
      <c r="P17" s="5">
        <f t="shared" si="4"/>
        <v>-2.1920999999999999</v>
      </c>
      <c r="Q17" s="5" t="str">
        <f t="shared" si="5"/>
        <v>RC</v>
      </c>
      <c r="R17" s="5" t="str">
        <f t="shared" si="6"/>
        <v>25.847%</v>
      </c>
      <c r="S17" s="5">
        <f t="shared" si="7"/>
        <v>-1.9659000000000002</v>
      </c>
      <c r="T17" s="5" t="str">
        <f t="shared" si="8"/>
        <v>RC</v>
      </c>
      <c r="U17" s="5" t="str">
        <f t="shared" si="9"/>
        <v>27.353%</v>
      </c>
      <c r="V17" s="5">
        <f t="shared" si="10"/>
        <v>-2026</v>
      </c>
      <c r="W17" s="5" t="str">
        <f t="shared" si="11"/>
        <v>RC</v>
      </c>
      <c r="X17" s="5" t="str">
        <f t="shared" si="12"/>
        <v>14.116%</v>
      </c>
      <c r="Y17" s="5"/>
      <c r="Z17" s="7" t="s">
        <v>34</v>
      </c>
      <c r="AA17">
        <f>COUNTIF(O:O,"--")</f>
        <v>20</v>
      </c>
      <c r="AB17" s="6">
        <f>AA17/AA$11</f>
        <v>0.29850746268656714</v>
      </c>
      <c r="AC17">
        <f>COUNTIF(R:R,"--")</f>
        <v>20</v>
      </c>
      <c r="AD17" s="6">
        <f>AC17/AC$11</f>
        <v>0.29850746268656714</v>
      </c>
      <c r="AE17">
        <f>COUNTIF(U:U,"--")</f>
        <v>20</v>
      </c>
      <c r="AF17" s="6">
        <f>AE17/AE$11</f>
        <v>0.29850746268656714</v>
      </c>
      <c r="AG17">
        <f>COUNTIF(X:X,"--")</f>
        <v>20</v>
      </c>
      <c r="AH17" s="6">
        <f>AG17/AG$11</f>
        <v>0.29850746268656714</v>
      </c>
    </row>
    <row r="18" spans="1:34">
      <c r="A18">
        <v>38</v>
      </c>
      <c r="B18" t="s">
        <v>101</v>
      </c>
      <c r="C18">
        <v>81273073</v>
      </c>
      <c r="D18">
        <v>0.72970000000000002</v>
      </c>
      <c r="E18">
        <v>0.71519999999999995</v>
      </c>
      <c r="F18">
        <v>325</v>
      </c>
      <c r="G18" t="s">
        <v>107</v>
      </c>
      <c r="H18">
        <v>237656737</v>
      </c>
      <c r="I18">
        <v>3.0796999999999999</v>
      </c>
      <c r="J18">
        <v>2.8723999999999998</v>
      </c>
      <c r="K18">
        <v>2359</v>
      </c>
      <c r="L18" s="5" t="b">
        <f t="shared" si="0"/>
        <v>0</v>
      </c>
      <c r="M18" s="5">
        <f t="shared" si="1"/>
        <v>-156383664</v>
      </c>
      <c r="N18" s="5" t="str">
        <f t="shared" si="2"/>
        <v>RC</v>
      </c>
      <c r="O18" s="5" t="str">
        <f t="shared" si="3"/>
        <v>34.198%</v>
      </c>
      <c r="P18" s="5">
        <f t="shared" si="4"/>
        <v>-2.3499999999999996</v>
      </c>
      <c r="Q18" s="5" t="str">
        <f t="shared" si="5"/>
        <v>RC</v>
      </c>
      <c r="R18" s="5" t="str">
        <f t="shared" si="6"/>
        <v>23.694%</v>
      </c>
      <c r="S18" s="5">
        <f t="shared" si="7"/>
        <v>-2.1572</v>
      </c>
      <c r="T18" s="5" t="str">
        <f t="shared" si="8"/>
        <v>RC</v>
      </c>
      <c r="U18" s="5" t="str">
        <f t="shared" si="9"/>
        <v>24.899%</v>
      </c>
      <c r="V18" s="5">
        <f t="shared" si="10"/>
        <v>-2034</v>
      </c>
      <c r="W18" s="5" t="str">
        <f t="shared" si="11"/>
        <v>RC</v>
      </c>
      <c r="X18" s="5" t="str">
        <f t="shared" si="12"/>
        <v>13.777%</v>
      </c>
      <c r="Y18" s="5"/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101</v>
      </c>
      <c r="C19">
        <v>82192164</v>
      </c>
      <c r="D19">
        <v>0.78129999999999999</v>
      </c>
      <c r="E19">
        <v>0.75760000000000005</v>
      </c>
      <c r="F19">
        <v>333</v>
      </c>
      <c r="G19" t="s">
        <v>100</v>
      </c>
      <c r="H19">
        <v>165819409</v>
      </c>
      <c r="I19">
        <v>2.1938</v>
      </c>
      <c r="J19">
        <v>2.0510000000000002</v>
      </c>
      <c r="K19">
        <v>1897</v>
      </c>
      <c r="L19" s="5" t="b">
        <f t="shared" si="0"/>
        <v>0</v>
      </c>
      <c r="M19" s="5">
        <f t="shared" si="1"/>
        <v>-83627245</v>
      </c>
      <c r="N19" s="5" t="str">
        <f t="shared" si="2"/>
        <v>RC</v>
      </c>
      <c r="O19" s="5" t="str">
        <f t="shared" si="3"/>
        <v>49.567%</v>
      </c>
      <c r="P19" s="5">
        <f t="shared" si="4"/>
        <v>-1.4125000000000001</v>
      </c>
      <c r="Q19" s="5" t="str">
        <f t="shared" si="5"/>
        <v>RC</v>
      </c>
      <c r="R19" s="5" t="str">
        <f t="shared" si="6"/>
        <v>35.614%</v>
      </c>
      <c r="S19" s="5">
        <f t="shared" si="7"/>
        <v>-1.2934000000000001</v>
      </c>
      <c r="T19" s="5" t="str">
        <f t="shared" si="8"/>
        <v>RC</v>
      </c>
      <c r="U19" s="5" t="str">
        <f t="shared" si="9"/>
        <v>36.938%</v>
      </c>
      <c r="V19" s="5">
        <f t="shared" si="10"/>
        <v>-1564</v>
      </c>
      <c r="W19" s="5" t="str">
        <f t="shared" si="11"/>
        <v>RC</v>
      </c>
      <c r="X19" s="5" t="str">
        <f t="shared" si="12"/>
        <v>17.554%</v>
      </c>
      <c r="Y19" s="5"/>
      <c r="AD19">
        <f>COUNTIF(W:W,$Z8)-COUNTIFS(W:W,$Z8,V:V,"--")</f>
        <v>0</v>
      </c>
    </row>
    <row r="20" spans="1:34">
      <c r="A20">
        <v>41</v>
      </c>
      <c r="B20" t="s">
        <v>101</v>
      </c>
      <c r="C20">
        <v>82736623</v>
      </c>
      <c r="D20">
        <v>0.78439999999999999</v>
      </c>
      <c r="E20">
        <v>0.76390000000000002</v>
      </c>
      <c r="F20">
        <v>333</v>
      </c>
      <c r="G20" t="s">
        <v>100</v>
      </c>
      <c r="H20">
        <v>167449169</v>
      </c>
      <c r="I20">
        <v>2.1061999999999999</v>
      </c>
      <c r="J20">
        <v>1.9683999999999999</v>
      </c>
      <c r="K20">
        <v>1897</v>
      </c>
      <c r="L20" s="5" t="b">
        <f t="shared" si="0"/>
        <v>0</v>
      </c>
      <c r="M20" s="5">
        <f t="shared" si="1"/>
        <v>-84712546</v>
      </c>
      <c r="N20" s="5" t="str">
        <f t="shared" si="2"/>
        <v>RC</v>
      </c>
      <c r="O20" s="5" t="str">
        <f t="shared" si="3"/>
        <v>49.410%</v>
      </c>
      <c r="P20" s="5">
        <f t="shared" si="4"/>
        <v>-1.3217999999999999</v>
      </c>
      <c r="Q20" s="5" t="str">
        <f t="shared" si="5"/>
        <v>RC</v>
      </c>
      <c r="R20" s="5" t="str">
        <f t="shared" si="6"/>
        <v>37.242%</v>
      </c>
      <c r="S20" s="5">
        <f t="shared" si="7"/>
        <v>-1.2044999999999999</v>
      </c>
      <c r="T20" s="5" t="str">
        <f t="shared" si="8"/>
        <v>RC</v>
      </c>
      <c r="U20" s="5" t="str">
        <f t="shared" si="9"/>
        <v>38.808%</v>
      </c>
      <c r="V20" s="5">
        <f t="shared" si="10"/>
        <v>-1564</v>
      </c>
      <c r="W20" s="5" t="str">
        <f t="shared" si="11"/>
        <v>RC</v>
      </c>
      <c r="X20" s="5" t="str">
        <f t="shared" si="12"/>
        <v>17.554%</v>
      </c>
      <c r="Y20" s="5"/>
    </row>
    <row r="21" spans="1:34">
      <c r="A21">
        <v>43</v>
      </c>
      <c r="B21" t="s">
        <v>101</v>
      </c>
      <c r="C21">
        <v>80682413</v>
      </c>
      <c r="D21">
        <v>0.72499999999999998</v>
      </c>
      <c r="E21">
        <v>0.70389999999999997</v>
      </c>
      <c r="F21">
        <v>325</v>
      </c>
      <c r="G21" t="s">
        <v>107</v>
      </c>
      <c r="H21">
        <v>232202763</v>
      </c>
      <c r="I21">
        <v>2.8593999999999999</v>
      </c>
      <c r="J21">
        <v>2.6644999999999999</v>
      </c>
      <c r="K21">
        <v>2359</v>
      </c>
      <c r="L21" s="5" t="b">
        <f t="shared" si="0"/>
        <v>0</v>
      </c>
      <c r="M21" s="5">
        <f t="shared" si="1"/>
        <v>-151520350</v>
      </c>
      <c r="N21" s="5" t="str">
        <f t="shared" si="2"/>
        <v>RC</v>
      </c>
      <c r="O21" s="5" t="str">
        <f t="shared" si="3"/>
        <v>34.747%</v>
      </c>
      <c r="P21" s="5">
        <f t="shared" si="4"/>
        <v>-2.1343999999999999</v>
      </c>
      <c r="Q21" s="5" t="str">
        <f t="shared" si="5"/>
        <v>RC</v>
      </c>
      <c r="R21" s="5" t="str">
        <f t="shared" si="6"/>
        <v>25.355%</v>
      </c>
      <c r="S21" s="5">
        <f t="shared" si="7"/>
        <v>-1.9605999999999999</v>
      </c>
      <c r="T21" s="5" t="str">
        <f t="shared" si="8"/>
        <v>RC</v>
      </c>
      <c r="U21" s="5" t="str">
        <f t="shared" si="9"/>
        <v>26.418%</v>
      </c>
      <c r="V21" s="5">
        <f t="shared" si="10"/>
        <v>-2034</v>
      </c>
      <c r="W21" s="5" t="str">
        <f t="shared" si="11"/>
        <v>RC</v>
      </c>
      <c r="X21" s="5" t="str">
        <f t="shared" si="12"/>
        <v>13.777%</v>
      </c>
      <c r="Y21" s="5"/>
    </row>
    <row r="22" spans="1:34">
      <c r="A22">
        <v>45</v>
      </c>
      <c r="B22" t="s">
        <v>103</v>
      </c>
      <c r="C22">
        <v>214592141</v>
      </c>
      <c r="D22">
        <v>2.0125000000000002</v>
      </c>
      <c r="E22">
        <v>1.9254</v>
      </c>
      <c r="F22">
        <v>1015</v>
      </c>
      <c r="G22" t="s">
        <v>100</v>
      </c>
      <c r="H22">
        <v>647312063</v>
      </c>
      <c r="I22">
        <v>9.0563000000000002</v>
      </c>
      <c r="J22">
        <v>7.8000999999999996</v>
      </c>
      <c r="K22">
        <v>5677</v>
      </c>
      <c r="L22" s="5" t="b">
        <f t="shared" si="0"/>
        <v>0</v>
      </c>
      <c r="M22" s="5">
        <f t="shared" si="1"/>
        <v>-432719922</v>
      </c>
      <c r="N22" s="5" t="str">
        <f t="shared" si="2"/>
        <v>RC</v>
      </c>
      <c r="O22" s="5" t="str">
        <f t="shared" si="3"/>
        <v>33.151%</v>
      </c>
      <c r="P22" s="5">
        <f t="shared" si="4"/>
        <v>-7.0438000000000001</v>
      </c>
      <c r="Q22" s="5" t="str">
        <f t="shared" si="5"/>
        <v>RC</v>
      </c>
      <c r="R22" s="5" t="str">
        <f t="shared" si="6"/>
        <v>22.222%</v>
      </c>
      <c r="S22" s="5">
        <f t="shared" si="7"/>
        <v>-5.8746999999999998</v>
      </c>
      <c r="T22" s="5" t="str">
        <f t="shared" si="8"/>
        <v>RC</v>
      </c>
      <c r="U22" s="5" t="str">
        <f t="shared" si="9"/>
        <v>24.684%</v>
      </c>
      <c r="V22" s="5">
        <f t="shared" si="10"/>
        <v>-4662</v>
      </c>
      <c r="W22" s="5" t="str">
        <f t="shared" si="11"/>
        <v>RC</v>
      </c>
      <c r="X22" s="5" t="str">
        <f t="shared" si="12"/>
        <v>17.879%</v>
      </c>
      <c r="Y22" s="5"/>
    </row>
    <row r="23" spans="1:34">
      <c r="A23">
        <v>46</v>
      </c>
      <c r="B23" t="s">
        <v>103</v>
      </c>
      <c r="C23">
        <v>102616401</v>
      </c>
      <c r="D23">
        <v>0.92179999999999995</v>
      </c>
      <c r="E23">
        <v>0.89539999999999997</v>
      </c>
      <c r="F23">
        <v>433</v>
      </c>
      <c r="G23" t="s">
        <v>100</v>
      </c>
      <c r="H23">
        <v>195534305</v>
      </c>
      <c r="I23">
        <v>2.7094</v>
      </c>
      <c r="J23">
        <v>2.536</v>
      </c>
      <c r="K23">
        <v>2189</v>
      </c>
      <c r="L23" s="5" t="b">
        <f t="shared" si="0"/>
        <v>0</v>
      </c>
      <c r="M23" s="5">
        <f t="shared" si="1"/>
        <v>-92917904</v>
      </c>
      <c r="N23" s="5" t="str">
        <f t="shared" si="2"/>
        <v>RC</v>
      </c>
      <c r="O23" s="5" t="str">
        <f t="shared" si="3"/>
        <v>52.480%</v>
      </c>
      <c r="P23" s="5">
        <f t="shared" si="4"/>
        <v>-1.7876000000000001</v>
      </c>
      <c r="Q23" s="5" t="str">
        <f t="shared" si="5"/>
        <v>RC</v>
      </c>
      <c r="R23" s="5" t="str">
        <f t="shared" si="6"/>
        <v>34.022%</v>
      </c>
      <c r="S23" s="5">
        <f t="shared" si="7"/>
        <v>-1.6406000000000001</v>
      </c>
      <c r="T23" s="5" t="str">
        <f t="shared" si="8"/>
        <v>RC</v>
      </c>
      <c r="U23" s="5" t="str">
        <f t="shared" si="9"/>
        <v>35.308%</v>
      </c>
      <c r="V23" s="5">
        <f t="shared" si="10"/>
        <v>-1756</v>
      </c>
      <c r="W23" s="5" t="str">
        <f t="shared" si="11"/>
        <v>RC</v>
      </c>
      <c r="X23" s="5" t="str">
        <f t="shared" si="12"/>
        <v>19.781%</v>
      </c>
      <c r="Y23" s="5"/>
    </row>
    <row r="24" spans="1:34">
      <c r="A24">
        <v>48</v>
      </c>
      <c r="B24" t="s">
        <v>103</v>
      </c>
      <c r="C24">
        <v>214458344</v>
      </c>
      <c r="D24">
        <v>2.3828</v>
      </c>
      <c r="E24">
        <v>2.2772000000000001</v>
      </c>
      <c r="F24">
        <v>1015</v>
      </c>
      <c r="G24" t="s">
        <v>100</v>
      </c>
      <c r="H24">
        <v>656822213</v>
      </c>
      <c r="I24">
        <v>11.6578</v>
      </c>
      <c r="J24">
        <v>9.9434000000000005</v>
      </c>
      <c r="K24">
        <v>5677</v>
      </c>
      <c r="L24" s="5" t="b">
        <f t="shared" si="0"/>
        <v>0</v>
      </c>
      <c r="M24" s="5">
        <f t="shared" si="1"/>
        <v>-442363869</v>
      </c>
      <c r="N24" s="5" t="str">
        <f t="shared" si="2"/>
        <v>RC</v>
      </c>
      <c r="O24" s="5" t="str">
        <f t="shared" si="3"/>
        <v>32.651%</v>
      </c>
      <c r="P24" s="5">
        <f t="shared" si="4"/>
        <v>-9.2750000000000004</v>
      </c>
      <c r="Q24" s="5" t="str">
        <f t="shared" si="5"/>
        <v>RC</v>
      </c>
      <c r="R24" s="5" t="str">
        <f t="shared" si="6"/>
        <v>20.440%</v>
      </c>
      <c r="S24" s="5">
        <f t="shared" si="7"/>
        <v>-7.6661999999999999</v>
      </c>
      <c r="T24" s="5" t="str">
        <f t="shared" si="8"/>
        <v>RC</v>
      </c>
      <c r="U24" s="5" t="str">
        <f t="shared" si="9"/>
        <v>22.902%</v>
      </c>
      <c r="V24" s="5">
        <f t="shared" si="10"/>
        <v>-4662</v>
      </c>
      <c r="W24" s="5" t="str">
        <f t="shared" si="11"/>
        <v>RC</v>
      </c>
      <c r="X24" s="5" t="str">
        <f t="shared" si="12"/>
        <v>17.879%</v>
      </c>
      <c r="Y24" s="5"/>
    </row>
    <row r="25" spans="1:34">
      <c r="A25">
        <v>49</v>
      </c>
      <c r="B25" t="s">
        <v>103</v>
      </c>
      <c r="C25">
        <v>101720189</v>
      </c>
      <c r="D25">
        <v>1.014</v>
      </c>
      <c r="E25">
        <v>0.9839</v>
      </c>
      <c r="F25">
        <v>433</v>
      </c>
      <c r="G25" t="s">
        <v>100</v>
      </c>
      <c r="H25">
        <v>197408765</v>
      </c>
      <c r="I25">
        <v>2.9062999999999999</v>
      </c>
      <c r="J25">
        <v>2.6913999999999998</v>
      </c>
      <c r="K25">
        <v>2189</v>
      </c>
      <c r="L25" s="5" t="b">
        <f t="shared" si="0"/>
        <v>0</v>
      </c>
      <c r="M25" s="5">
        <f t="shared" si="1"/>
        <v>-95688576</v>
      </c>
      <c r="N25" s="5" t="str">
        <f t="shared" si="2"/>
        <v>RC</v>
      </c>
      <c r="O25" s="5" t="str">
        <f t="shared" si="3"/>
        <v>51.528%</v>
      </c>
      <c r="P25" s="5">
        <f t="shared" si="4"/>
        <v>-1.8922999999999999</v>
      </c>
      <c r="Q25" s="5" t="str">
        <f t="shared" si="5"/>
        <v>RC</v>
      </c>
      <c r="R25" s="5" t="str">
        <f t="shared" si="6"/>
        <v>34.890%</v>
      </c>
      <c r="S25" s="5">
        <f t="shared" si="7"/>
        <v>-1.7074999999999998</v>
      </c>
      <c r="T25" s="5" t="str">
        <f t="shared" si="8"/>
        <v>RC</v>
      </c>
      <c r="U25" s="5" t="str">
        <f t="shared" si="9"/>
        <v>36.557%</v>
      </c>
      <c r="V25" s="5">
        <f t="shared" si="10"/>
        <v>-1756</v>
      </c>
      <c r="W25" s="5" t="str">
        <f t="shared" si="11"/>
        <v>RC</v>
      </c>
      <c r="X25" s="5" t="str">
        <f t="shared" si="12"/>
        <v>19.781%</v>
      </c>
      <c r="Y25" s="5"/>
      <c r="Z25" t="s">
        <v>40</v>
      </c>
    </row>
    <row r="26" spans="1:34">
      <c r="A26">
        <v>67</v>
      </c>
      <c r="B26" t="s">
        <v>104</v>
      </c>
      <c r="C26">
        <v>19842646</v>
      </c>
      <c r="D26">
        <v>0.2079</v>
      </c>
      <c r="E26">
        <v>0.20530000000000001</v>
      </c>
      <c r="F26">
        <v>177</v>
      </c>
      <c r="G26" t="s">
        <v>104</v>
      </c>
      <c r="H26">
        <v>13112812</v>
      </c>
      <c r="I26">
        <v>0.17660000000000001</v>
      </c>
      <c r="J26">
        <v>0.1741</v>
      </c>
      <c r="K26">
        <v>177</v>
      </c>
      <c r="L26" s="5" t="b">
        <f t="shared" si="0"/>
        <v>1</v>
      </c>
      <c r="M26" s="5">
        <f t="shared" si="1"/>
        <v>6729834</v>
      </c>
      <c r="N26" s="5" t="str">
        <f t="shared" si="2"/>
        <v>QE</v>
      </c>
      <c r="O26" s="5" t="str">
        <f t="shared" si="3"/>
        <v>66.084%</v>
      </c>
      <c r="P26" s="5">
        <f t="shared" si="4"/>
        <v>3.1299999999999994E-2</v>
      </c>
      <c r="Q26" s="5" t="str">
        <f t="shared" si="5"/>
        <v>QE</v>
      </c>
      <c r="R26" s="5" t="str">
        <f t="shared" si="6"/>
        <v>84.945%</v>
      </c>
      <c r="S26" s="5">
        <f t="shared" si="7"/>
        <v>3.1200000000000006E-2</v>
      </c>
      <c r="T26" s="5" t="str">
        <f t="shared" si="8"/>
        <v>QE</v>
      </c>
      <c r="U26" s="5" t="str">
        <f t="shared" si="9"/>
        <v>84.803%</v>
      </c>
      <c r="V26" s="5">
        <f t="shared" si="10"/>
        <v>0</v>
      </c>
      <c r="W26" s="5" t="str">
        <f t="shared" si="11"/>
        <v>TIE</v>
      </c>
      <c r="X26" s="5" t="str">
        <f t="shared" si="12"/>
        <v>100.000%</v>
      </c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62 Successes (92.54%), 5 Timeouts (7.46%), 0 Errors (0.00%).</v>
      </c>
    </row>
    <row r="27" spans="1:34">
      <c r="A27">
        <v>69</v>
      </c>
      <c r="B27" t="s">
        <v>104</v>
      </c>
      <c r="C27">
        <v>18537047</v>
      </c>
      <c r="D27">
        <v>0.1938</v>
      </c>
      <c r="E27">
        <v>0.19040000000000001</v>
      </c>
      <c r="F27">
        <v>159</v>
      </c>
      <c r="G27" t="s">
        <v>104</v>
      </c>
      <c r="H27">
        <v>13113354</v>
      </c>
      <c r="I27">
        <v>0.1547</v>
      </c>
      <c r="J27">
        <v>0.15329999999999999</v>
      </c>
      <c r="K27">
        <v>177</v>
      </c>
      <c r="L27" s="5" t="b">
        <f t="shared" si="0"/>
        <v>1</v>
      </c>
      <c r="M27" s="5">
        <f t="shared" si="1"/>
        <v>5423693</v>
      </c>
      <c r="N27" s="5" t="str">
        <f t="shared" si="2"/>
        <v>QE</v>
      </c>
      <c r="O27" s="5" t="str">
        <f t="shared" si="3"/>
        <v>70.741%</v>
      </c>
      <c r="P27" s="5">
        <f t="shared" si="4"/>
        <v>3.9099999999999996E-2</v>
      </c>
      <c r="Q27" s="5" t="str">
        <f t="shared" si="5"/>
        <v>QE</v>
      </c>
      <c r="R27" s="5" t="str">
        <f t="shared" si="6"/>
        <v>79.825%</v>
      </c>
      <c r="S27" s="5">
        <f t="shared" si="7"/>
        <v>3.7100000000000022E-2</v>
      </c>
      <c r="T27" s="5" t="str">
        <f t="shared" si="8"/>
        <v>QE</v>
      </c>
      <c r="U27" s="5" t="str">
        <f t="shared" si="9"/>
        <v>80.515%</v>
      </c>
      <c r="V27" s="5">
        <f t="shared" si="10"/>
        <v>-18</v>
      </c>
      <c r="W27" s="5" t="str">
        <f t="shared" si="11"/>
        <v>RC</v>
      </c>
      <c r="X27" s="5" t="str">
        <f t="shared" si="12"/>
        <v>89.831%</v>
      </c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47 Successes (70.15%), 0 Timeouts (0.00%), 20 Errors (29.85%).</v>
      </c>
    </row>
    <row r="28" spans="1:34">
      <c r="A28">
        <v>70</v>
      </c>
      <c r="B28" t="s">
        <v>104</v>
      </c>
      <c r="C28">
        <v>38389569</v>
      </c>
      <c r="D28">
        <v>0.3735</v>
      </c>
      <c r="E28">
        <v>0.36809999999999998</v>
      </c>
      <c r="F28">
        <v>327</v>
      </c>
      <c r="G28" t="s">
        <v>104</v>
      </c>
      <c r="H28">
        <v>24118952</v>
      </c>
      <c r="I28">
        <v>0.29530000000000001</v>
      </c>
      <c r="J28">
        <v>0.2843</v>
      </c>
      <c r="K28">
        <v>327</v>
      </c>
      <c r="L28" s="5" t="b">
        <f t="shared" si="0"/>
        <v>1</v>
      </c>
      <c r="M28" s="5">
        <f t="shared" si="1"/>
        <v>14270617</v>
      </c>
      <c r="N28" s="5" t="str">
        <f t="shared" si="2"/>
        <v>QE</v>
      </c>
      <c r="O28" s="5" t="str">
        <f t="shared" si="3"/>
        <v>62.827%</v>
      </c>
      <c r="P28" s="5">
        <f t="shared" si="4"/>
        <v>7.8199999999999992E-2</v>
      </c>
      <c r="Q28" s="5" t="str">
        <f t="shared" si="5"/>
        <v>QE</v>
      </c>
      <c r="R28" s="5" t="str">
        <f t="shared" si="6"/>
        <v>79.063%</v>
      </c>
      <c r="S28" s="5">
        <f t="shared" si="7"/>
        <v>8.3799999999999986E-2</v>
      </c>
      <c r="T28" s="5" t="str">
        <f t="shared" si="8"/>
        <v>QE</v>
      </c>
      <c r="U28" s="5" t="str">
        <f t="shared" si="9"/>
        <v>77.234%</v>
      </c>
      <c r="V28" s="5">
        <f t="shared" si="10"/>
        <v>0</v>
      </c>
      <c r="W28" s="5" t="str">
        <f t="shared" si="11"/>
        <v>TIE</v>
      </c>
      <c r="X28" s="5" t="str">
        <f t="shared" si="12"/>
        <v>100.000%</v>
      </c>
      <c r="Y28" s="5"/>
    </row>
    <row r="29" spans="1:34">
      <c r="A29">
        <v>72</v>
      </c>
      <c r="B29" t="s">
        <v>104</v>
      </c>
      <c r="C29">
        <v>35899300</v>
      </c>
      <c r="D29">
        <v>0.35620000000000002</v>
      </c>
      <c r="E29">
        <v>0.35039999999999999</v>
      </c>
      <c r="F29">
        <v>301</v>
      </c>
      <c r="G29" t="s">
        <v>104</v>
      </c>
      <c r="H29">
        <v>24961104</v>
      </c>
      <c r="I29">
        <v>0.29210000000000003</v>
      </c>
      <c r="J29">
        <v>0.28239999999999998</v>
      </c>
      <c r="K29">
        <v>327</v>
      </c>
      <c r="L29" s="5" t="b">
        <f t="shared" si="0"/>
        <v>1</v>
      </c>
      <c r="M29" s="5">
        <f t="shared" si="1"/>
        <v>10938196</v>
      </c>
      <c r="N29" s="5" t="str">
        <f t="shared" si="2"/>
        <v>QE</v>
      </c>
      <c r="O29" s="5" t="str">
        <f t="shared" si="3"/>
        <v>69.531%</v>
      </c>
      <c r="P29" s="5">
        <f t="shared" si="4"/>
        <v>6.409999999999999E-2</v>
      </c>
      <c r="Q29" s="5" t="str">
        <f t="shared" si="5"/>
        <v>QE</v>
      </c>
      <c r="R29" s="5" t="str">
        <f t="shared" si="6"/>
        <v>82.004%</v>
      </c>
      <c r="S29" s="5">
        <f t="shared" si="7"/>
        <v>6.8000000000000005E-2</v>
      </c>
      <c r="T29" s="5" t="str">
        <f t="shared" si="8"/>
        <v>QE</v>
      </c>
      <c r="U29" s="5" t="str">
        <f t="shared" si="9"/>
        <v>80.594%</v>
      </c>
      <c r="V29" s="5">
        <f t="shared" si="10"/>
        <v>-26</v>
      </c>
      <c r="W29" s="5" t="str">
        <f t="shared" si="11"/>
        <v>RC</v>
      </c>
      <c r="X29" s="5" t="str">
        <f t="shared" si="12"/>
        <v>92.049%</v>
      </c>
      <c r="Y29" s="5"/>
      <c r="Z29" t="s">
        <v>41</v>
      </c>
    </row>
    <row r="30" spans="1:34">
      <c r="A30">
        <v>73</v>
      </c>
      <c r="B30" t="s">
        <v>104</v>
      </c>
      <c r="C30">
        <v>37598813</v>
      </c>
      <c r="D30">
        <v>0.3906</v>
      </c>
      <c r="E30">
        <v>0.38279999999999997</v>
      </c>
      <c r="F30">
        <v>327</v>
      </c>
      <c r="G30" t="s">
        <v>104</v>
      </c>
      <c r="H30">
        <v>24147725</v>
      </c>
      <c r="I30">
        <v>0.29060000000000002</v>
      </c>
      <c r="J30">
        <v>0.28560000000000002</v>
      </c>
      <c r="K30">
        <v>327</v>
      </c>
      <c r="L30" s="5" t="b">
        <f t="shared" si="0"/>
        <v>1</v>
      </c>
      <c r="M30" s="5">
        <f t="shared" si="1"/>
        <v>13451088</v>
      </c>
      <c r="N30" s="5" t="str">
        <f t="shared" si="2"/>
        <v>QE</v>
      </c>
      <c r="O30" s="5" t="str">
        <f t="shared" si="3"/>
        <v>64.225%</v>
      </c>
      <c r="P30" s="5">
        <f t="shared" si="4"/>
        <v>9.9999999999999978E-2</v>
      </c>
      <c r="Q30" s="5" t="str">
        <f t="shared" si="5"/>
        <v>QE</v>
      </c>
      <c r="R30" s="5" t="str">
        <f t="shared" si="6"/>
        <v>74.398%</v>
      </c>
      <c r="S30" s="5">
        <f t="shared" si="7"/>
        <v>9.7199999999999953E-2</v>
      </c>
      <c r="T30" s="5" t="str">
        <f t="shared" si="8"/>
        <v>QE</v>
      </c>
      <c r="U30" s="5" t="str">
        <f t="shared" si="9"/>
        <v>74.608%</v>
      </c>
      <c r="V30" s="5">
        <f t="shared" si="10"/>
        <v>0</v>
      </c>
      <c r="W30" s="5" t="str">
        <f t="shared" si="11"/>
        <v>TIE</v>
      </c>
      <c r="X30" s="5" t="str">
        <f t="shared" si="12"/>
        <v>100.000%</v>
      </c>
      <c r="Y30" s="5"/>
      <c r="Z30" t="str">
        <f>Z7&amp;": "&amp;AC7&amp;" ("&amp;TEXT(AD7,"0.00%")&amp;"), "&amp;AC14&amp;" actual ("&amp;TEXT(AD14,"0.00%")&amp;")"</f>
        <v>RC: 52 (77.61%), 37 actual (55.22%)</v>
      </c>
    </row>
    <row r="31" spans="1:34">
      <c r="A31">
        <v>75</v>
      </c>
      <c r="B31" t="s">
        <v>105</v>
      </c>
      <c r="C31">
        <v>45525596</v>
      </c>
      <c r="D31">
        <v>0.4516</v>
      </c>
      <c r="E31">
        <v>0.44350000000000001</v>
      </c>
      <c r="F31">
        <v>195</v>
      </c>
      <c r="G31" t="s">
        <v>104</v>
      </c>
      <c r="H31">
        <v>91365224</v>
      </c>
      <c r="I31">
        <v>1.2453000000000001</v>
      </c>
      <c r="J31">
        <v>1.1998</v>
      </c>
      <c r="K31">
        <v>1131</v>
      </c>
      <c r="L31" s="5" t="b">
        <f t="shared" si="0"/>
        <v>0</v>
      </c>
      <c r="M31" s="5">
        <f t="shared" si="1"/>
        <v>-45839628</v>
      </c>
      <c r="N31" s="5" t="str">
        <f t="shared" si="2"/>
        <v>RC</v>
      </c>
      <c r="O31" s="5" t="str">
        <f t="shared" si="3"/>
        <v>49.828%</v>
      </c>
      <c r="P31" s="5">
        <f t="shared" si="4"/>
        <v>-0.79370000000000007</v>
      </c>
      <c r="Q31" s="5" t="str">
        <f t="shared" si="5"/>
        <v>RC</v>
      </c>
      <c r="R31" s="5" t="str">
        <f t="shared" si="6"/>
        <v>36.264%</v>
      </c>
      <c r="S31" s="5">
        <f t="shared" si="7"/>
        <v>-0.75629999999999997</v>
      </c>
      <c r="T31" s="5" t="str">
        <f t="shared" si="8"/>
        <v>RC</v>
      </c>
      <c r="U31" s="5" t="str">
        <f t="shared" si="9"/>
        <v>36.964%</v>
      </c>
      <c r="V31" s="5">
        <f t="shared" si="10"/>
        <v>-936</v>
      </c>
      <c r="W31" s="5" t="str">
        <f t="shared" si="11"/>
        <v>RC</v>
      </c>
      <c r="X31" s="5" t="str">
        <f t="shared" si="12"/>
        <v>17.241%</v>
      </c>
      <c r="Y31" s="5"/>
      <c r="Z31" t="str">
        <f>Z8&amp;": "&amp;AC8&amp;" ("&amp;TEXT(AD8,"0.00%")&amp;"), "&amp;AC15&amp;" actual ("&amp;TEXT(AD15,"0.00%")&amp;")"</f>
        <v>QE: 10 (14.93%), 10 actual (14.93%)</v>
      </c>
    </row>
    <row r="32" spans="1:34">
      <c r="A32">
        <v>76</v>
      </c>
      <c r="B32" t="s">
        <v>98</v>
      </c>
      <c r="C32">
        <v>2255496</v>
      </c>
      <c r="D32" s="22">
        <v>1.8700000000000001E-2</v>
      </c>
      <c r="E32" s="22">
        <v>1.8499999999999999E-2</v>
      </c>
      <c r="F32">
        <v>9</v>
      </c>
      <c r="G32" t="s">
        <v>98</v>
      </c>
      <c r="H32">
        <v>5141924</v>
      </c>
      <c r="I32" s="22">
        <v>6.88E-2</v>
      </c>
      <c r="J32" s="22">
        <v>6.6199999999999995E-2</v>
      </c>
      <c r="K32">
        <v>57</v>
      </c>
      <c r="L32" s="5" t="b">
        <f t="shared" si="0"/>
        <v>1</v>
      </c>
      <c r="M32" s="5">
        <f t="shared" si="1"/>
        <v>-2886428</v>
      </c>
      <c r="N32" s="5" t="str">
        <f t="shared" si="2"/>
        <v>RC</v>
      </c>
      <c r="O32" s="5" t="str">
        <f t="shared" si="3"/>
        <v>43.865%</v>
      </c>
      <c r="P32" s="5">
        <f t="shared" si="4"/>
        <v>-5.0099999999999999E-2</v>
      </c>
      <c r="Q32" s="5" t="str">
        <f t="shared" si="5"/>
        <v>RC</v>
      </c>
      <c r="R32" s="5" t="str">
        <f t="shared" si="6"/>
        <v>27.180%</v>
      </c>
      <c r="S32" s="5">
        <f t="shared" si="7"/>
        <v>-4.7699999999999992E-2</v>
      </c>
      <c r="T32" s="5" t="str">
        <f t="shared" si="8"/>
        <v>RC</v>
      </c>
      <c r="U32" s="5" t="str">
        <f t="shared" si="9"/>
        <v>27.946%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/>
    </row>
    <row r="33" spans="1:36">
      <c r="A33">
        <v>77</v>
      </c>
      <c r="B33" t="s">
        <v>105</v>
      </c>
      <c r="C33">
        <v>39879712</v>
      </c>
      <c r="D33">
        <v>0.39850000000000002</v>
      </c>
      <c r="E33">
        <v>0.38890000000000002</v>
      </c>
      <c r="F33">
        <v>195</v>
      </c>
      <c r="G33" t="s">
        <v>104</v>
      </c>
      <c r="H33">
        <v>92984864</v>
      </c>
      <c r="I33">
        <v>1.2405999999999999</v>
      </c>
      <c r="J33">
        <v>1.1819</v>
      </c>
      <c r="K33">
        <v>1131</v>
      </c>
      <c r="L33" s="5" t="b">
        <f t="shared" si="0"/>
        <v>0</v>
      </c>
      <c r="M33" s="5">
        <f t="shared" si="1"/>
        <v>-53105152</v>
      </c>
      <c r="N33" s="5" t="str">
        <f t="shared" si="2"/>
        <v>RC</v>
      </c>
      <c r="O33" s="5" t="str">
        <f t="shared" si="3"/>
        <v>42.888%</v>
      </c>
      <c r="P33" s="5">
        <f t="shared" si="4"/>
        <v>-0.84209999999999985</v>
      </c>
      <c r="Q33" s="5" t="str">
        <f t="shared" si="5"/>
        <v>RC</v>
      </c>
      <c r="R33" s="5" t="str">
        <f t="shared" si="6"/>
        <v>32.122%</v>
      </c>
      <c r="S33" s="5">
        <f t="shared" si="7"/>
        <v>-0.79299999999999993</v>
      </c>
      <c r="T33" s="5" t="str">
        <f t="shared" si="8"/>
        <v>RC</v>
      </c>
      <c r="U33" s="5" t="str">
        <f t="shared" si="9"/>
        <v>32.905%</v>
      </c>
      <c r="V33" s="5">
        <f t="shared" si="10"/>
        <v>-936</v>
      </c>
      <c r="W33" s="5" t="str">
        <f t="shared" si="11"/>
        <v>RC</v>
      </c>
      <c r="X33" s="5" t="str">
        <f t="shared" si="12"/>
        <v>17.241%</v>
      </c>
      <c r="Y33" s="5"/>
      <c r="Z33" t="s">
        <v>42</v>
      </c>
    </row>
    <row r="34" spans="1:36">
      <c r="A34">
        <v>78</v>
      </c>
      <c r="B34" t="s">
        <v>105</v>
      </c>
      <c r="C34">
        <v>47747887</v>
      </c>
      <c r="D34">
        <v>0.45629999999999998</v>
      </c>
      <c r="E34">
        <v>0.44440000000000002</v>
      </c>
      <c r="F34">
        <v>195</v>
      </c>
      <c r="G34" t="s">
        <v>104</v>
      </c>
      <c r="H34">
        <v>93055016</v>
      </c>
      <c r="I34">
        <v>1.2938000000000001</v>
      </c>
      <c r="J34">
        <v>1.2217</v>
      </c>
      <c r="K34">
        <v>1131</v>
      </c>
      <c r="L34" s="5" t="b">
        <f t="shared" si="0"/>
        <v>0</v>
      </c>
      <c r="M34" s="5">
        <f t="shared" si="1"/>
        <v>-45307129</v>
      </c>
      <c r="N34" s="5" t="str">
        <f t="shared" si="2"/>
        <v>RC</v>
      </c>
      <c r="O34" s="5" t="str">
        <f t="shared" si="3"/>
        <v>51.311%</v>
      </c>
      <c r="P34" s="5">
        <f t="shared" si="4"/>
        <v>-0.83750000000000013</v>
      </c>
      <c r="Q34" s="5" t="str">
        <f t="shared" si="5"/>
        <v>RC</v>
      </c>
      <c r="R34" s="5" t="str">
        <f t="shared" si="6"/>
        <v>35.268%</v>
      </c>
      <c r="S34" s="5">
        <f t="shared" si="7"/>
        <v>-0.77729999999999999</v>
      </c>
      <c r="T34" s="5" t="str">
        <f t="shared" si="8"/>
        <v>RC</v>
      </c>
      <c r="U34" s="5" t="str">
        <f t="shared" si="9"/>
        <v>36.376%</v>
      </c>
      <c r="V34" s="5">
        <f t="shared" si="10"/>
        <v>-936</v>
      </c>
      <c r="W34" s="5" t="str">
        <f t="shared" si="11"/>
        <v>RC</v>
      </c>
      <c r="X34" s="5" t="str">
        <f t="shared" si="12"/>
        <v>17.241%</v>
      </c>
      <c r="Y34" s="5"/>
      <c r="Z34" t="str">
        <f>Z7&amp;": "&amp;AG7&amp;" ("&amp;TEXT(AH7,"0.00%")&amp;"), "&amp;AG14&amp;" actual ("&amp;TEXT(AH14,"0.00%")&amp;")"</f>
        <v>RC: 56 (83.58%), 41 actual (61.19%)</v>
      </c>
    </row>
    <row r="35" spans="1:36">
      <c r="A35">
        <v>79</v>
      </c>
      <c r="B35" t="s">
        <v>105</v>
      </c>
      <c r="C35">
        <v>41371940</v>
      </c>
      <c r="D35">
        <v>0.41710000000000003</v>
      </c>
      <c r="E35">
        <v>0.40639999999999998</v>
      </c>
      <c r="F35">
        <v>195</v>
      </c>
      <c r="G35" t="s">
        <v>104</v>
      </c>
      <c r="H35">
        <v>93239393</v>
      </c>
      <c r="I35">
        <v>1.1984999999999999</v>
      </c>
      <c r="J35">
        <v>1.1389</v>
      </c>
      <c r="K35">
        <v>1131</v>
      </c>
      <c r="L35" s="5" t="b">
        <f t="shared" si="0"/>
        <v>0</v>
      </c>
      <c r="M35" s="5">
        <f t="shared" si="1"/>
        <v>-51867453</v>
      </c>
      <c r="N35" s="5" t="str">
        <f t="shared" si="2"/>
        <v>RC</v>
      </c>
      <c r="O35" s="5" t="str">
        <f t="shared" si="3"/>
        <v>44.372%</v>
      </c>
      <c r="P35" s="5">
        <f t="shared" si="4"/>
        <v>-0.78139999999999987</v>
      </c>
      <c r="Q35" s="5" t="str">
        <f t="shared" si="5"/>
        <v>RC</v>
      </c>
      <c r="R35" s="5" t="str">
        <f t="shared" si="6"/>
        <v>34.802%</v>
      </c>
      <c r="S35" s="5">
        <f t="shared" si="7"/>
        <v>-0.73250000000000004</v>
      </c>
      <c r="T35" s="5" t="str">
        <f t="shared" si="8"/>
        <v>RC</v>
      </c>
      <c r="U35" s="5" t="str">
        <f t="shared" si="9"/>
        <v>35.684%</v>
      </c>
      <c r="V35" s="5">
        <f t="shared" si="10"/>
        <v>-936</v>
      </c>
      <c r="W35" s="5" t="str">
        <f t="shared" si="11"/>
        <v>RC</v>
      </c>
      <c r="X35" s="5" t="str">
        <f t="shared" si="12"/>
        <v>17.241%</v>
      </c>
      <c r="Y35" s="5"/>
      <c r="Z35" t="str">
        <f>Z8&amp;": "&amp;AG8&amp;" ("&amp;TEXT(AH8,"0.00%")&amp;"), "&amp;AG15&amp;" actual ("&amp;TEXT(AH15,"0.00%")&amp;")"</f>
        <v>QE: 0 (0.00%), 0 actual (0.00%)</v>
      </c>
    </row>
    <row r="36" spans="1:36">
      <c r="A36">
        <v>80</v>
      </c>
      <c r="B36" t="s">
        <v>105</v>
      </c>
      <c r="C36">
        <v>45881080</v>
      </c>
      <c r="D36">
        <v>0.40629999999999999</v>
      </c>
      <c r="E36">
        <v>0.39979999999999999</v>
      </c>
      <c r="F36">
        <v>195</v>
      </c>
      <c r="G36" t="s">
        <v>104</v>
      </c>
      <c r="H36">
        <v>93283808</v>
      </c>
      <c r="I36">
        <v>1.1375</v>
      </c>
      <c r="J36">
        <v>1.0833999999999999</v>
      </c>
      <c r="K36">
        <v>1131</v>
      </c>
      <c r="L36" s="5" t="b">
        <f t="shared" si="0"/>
        <v>0</v>
      </c>
      <c r="M36" s="5">
        <f t="shared" si="1"/>
        <v>-47402728</v>
      </c>
      <c r="N36" s="5" t="str">
        <f t="shared" si="2"/>
        <v>RC</v>
      </c>
      <c r="O36" s="5" t="str">
        <f t="shared" si="3"/>
        <v>49.184%</v>
      </c>
      <c r="P36" s="5">
        <f t="shared" si="4"/>
        <v>-0.73119999999999996</v>
      </c>
      <c r="Q36" s="5" t="str">
        <f t="shared" si="5"/>
        <v>RC</v>
      </c>
      <c r="R36" s="5" t="str">
        <f t="shared" si="6"/>
        <v>35.719%</v>
      </c>
      <c r="S36" s="5">
        <f t="shared" si="7"/>
        <v>-0.68359999999999999</v>
      </c>
      <c r="T36" s="5" t="str">
        <f t="shared" si="8"/>
        <v>RC</v>
      </c>
      <c r="U36" s="5" t="str">
        <f t="shared" si="9"/>
        <v>36.902%</v>
      </c>
      <c r="V36" s="5">
        <f t="shared" si="10"/>
        <v>-936</v>
      </c>
      <c r="W36" s="5" t="str">
        <f t="shared" si="11"/>
        <v>RC</v>
      </c>
      <c r="X36" s="5" t="str">
        <f t="shared" si="12"/>
        <v>17.241%</v>
      </c>
      <c r="Y36" s="5"/>
    </row>
    <row r="37" spans="1:36">
      <c r="A37">
        <v>81</v>
      </c>
      <c r="B37" t="s">
        <v>98</v>
      </c>
      <c r="C37">
        <v>2256396</v>
      </c>
      <c r="D37" s="22">
        <v>1.5599999999999999E-2</v>
      </c>
      <c r="E37" s="22">
        <v>1.5800000000000002E-2</v>
      </c>
      <c r="F37">
        <v>9</v>
      </c>
      <c r="G37" t="s">
        <v>98</v>
      </c>
      <c r="H37">
        <v>5145059</v>
      </c>
      <c r="I37" s="22">
        <v>5.7799999999999997E-2</v>
      </c>
      <c r="J37" s="22">
        <v>5.7099999999999998E-2</v>
      </c>
      <c r="K37">
        <v>57</v>
      </c>
      <c r="L37" s="5" t="b">
        <f t="shared" si="0"/>
        <v>1</v>
      </c>
      <c r="M37" s="5">
        <f t="shared" si="1"/>
        <v>-2888663</v>
      </c>
      <c r="N37" s="5" t="str">
        <f t="shared" si="2"/>
        <v>RC</v>
      </c>
      <c r="O37" s="5" t="str">
        <f t="shared" si="3"/>
        <v>43.856%</v>
      </c>
      <c r="P37" s="5">
        <f t="shared" si="4"/>
        <v>-4.2200000000000001E-2</v>
      </c>
      <c r="Q37" s="5" t="str">
        <f t="shared" si="5"/>
        <v>RC</v>
      </c>
      <c r="R37" s="5" t="str">
        <f t="shared" si="6"/>
        <v>26.990%</v>
      </c>
      <c r="S37" s="5">
        <f t="shared" si="7"/>
        <v>-4.1299999999999996E-2</v>
      </c>
      <c r="T37" s="5" t="str">
        <f t="shared" si="8"/>
        <v>RC</v>
      </c>
      <c r="U37" s="5" t="str">
        <f t="shared" si="9"/>
        <v>27.671%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/>
    </row>
    <row r="38" spans="1:36">
      <c r="A38">
        <v>82</v>
      </c>
      <c r="B38" t="s">
        <v>105</v>
      </c>
      <c r="C38">
        <v>48046264</v>
      </c>
      <c r="D38">
        <v>0.4546</v>
      </c>
      <c r="E38">
        <v>0.44259999999999999</v>
      </c>
      <c r="F38">
        <v>195</v>
      </c>
      <c r="G38" t="s">
        <v>104</v>
      </c>
      <c r="H38">
        <v>93004261</v>
      </c>
      <c r="I38">
        <v>1.1187</v>
      </c>
      <c r="J38">
        <v>1.0608</v>
      </c>
      <c r="K38">
        <v>1131</v>
      </c>
      <c r="L38" s="5" t="b">
        <f t="shared" si="0"/>
        <v>0</v>
      </c>
      <c r="M38" s="5">
        <f t="shared" si="1"/>
        <v>-44957997</v>
      </c>
      <c r="N38" s="5" t="str">
        <f t="shared" si="2"/>
        <v>RC</v>
      </c>
      <c r="O38" s="5" t="str">
        <f t="shared" si="3"/>
        <v>51.660%</v>
      </c>
      <c r="P38" s="5">
        <f t="shared" si="4"/>
        <v>-0.66410000000000002</v>
      </c>
      <c r="Q38" s="5" t="str">
        <f t="shared" si="5"/>
        <v>RC</v>
      </c>
      <c r="R38" s="5" t="str">
        <f t="shared" si="6"/>
        <v>40.636%</v>
      </c>
      <c r="S38" s="5">
        <f t="shared" si="7"/>
        <v>-0.61819999999999997</v>
      </c>
      <c r="T38" s="5" t="str">
        <f t="shared" si="8"/>
        <v>RC</v>
      </c>
      <c r="U38" s="5" t="str">
        <f t="shared" si="9"/>
        <v>41.723%</v>
      </c>
      <c r="V38" s="5">
        <f t="shared" si="10"/>
        <v>-936</v>
      </c>
      <c r="W38" s="5" t="str">
        <f t="shared" si="11"/>
        <v>RC</v>
      </c>
      <c r="X38" s="5" t="str">
        <f t="shared" si="12"/>
        <v>17.241%</v>
      </c>
      <c r="Y38" s="5"/>
    </row>
    <row r="39" spans="1:36">
      <c r="A39">
        <v>83</v>
      </c>
      <c r="B39" t="s">
        <v>105</v>
      </c>
      <c r="C39">
        <v>48102063</v>
      </c>
      <c r="D39">
        <v>0.4234</v>
      </c>
      <c r="E39">
        <v>0.41670000000000001</v>
      </c>
      <c r="F39">
        <v>195</v>
      </c>
      <c r="G39" t="s">
        <v>104</v>
      </c>
      <c r="H39">
        <v>93668188</v>
      </c>
      <c r="I39">
        <v>1.1484000000000001</v>
      </c>
      <c r="J39">
        <v>1.0973999999999999</v>
      </c>
      <c r="K39">
        <v>1131</v>
      </c>
      <c r="L39" s="5" t="b">
        <f t="shared" si="0"/>
        <v>0</v>
      </c>
      <c r="M39" s="5">
        <f t="shared" si="1"/>
        <v>-45566125</v>
      </c>
      <c r="N39" s="5" t="str">
        <f t="shared" si="2"/>
        <v>RC</v>
      </c>
      <c r="O39" s="5" t="str">
        <f t="shared" si="3"/>
        <v>51.354%</v>
      </c>
      <c r="P39" s="5">
        <f t="shared" si="4"/>
        <v>-0.72500000000000009</v>
      </c>
      <c r="Q39" s="5" t="str">
        <f t="shared" si="5"/>
        <v>RC</v>
      </c>
      <c r="R39" s="5" t="str">
        <f t="shared" si="6"/>
        <v>36.869%</v>
      </c>
      <c r="S39" s="5">
        <f t="shared" si="7"/>
        <v>-0.68069999999999986</v>
      </c>
      <c r="T39" s="5" t="str">
        <f t="shared" si="8"/>
        <v>RC</v>
      </c>
      <c r="U39" s="5" t="str">
        <f t="shared" si="9"/>
        <v>37.972%</v>
      </c>
      <c r="V39" s="5">
        <f t="shared" si="10"/>
        <v>-936</v>
      </c>
      <c r="W39" s="5" t="str">
        <f t="shared" si="11"/>
        <v>RC</v>
      </c>
      <c r="X39" s="5" t="str">
        <f t="shared" si="12"/>
        <v>17.241%</v>
      </c>
      <c r="Y39" s="5"/>
    </row>
    <row r="40" spans="1:36">
      <c r="A40">
        <v>84</v>
      </c>
      <c r="B40" t="s">
        <v>105</v>
      </c>
      <c r="C40">
        <v>49197218</v>
      </c>
      <c r="D40">
        <v>0.44059999999999999</v>
      </c>
      <c r="E40">
        <v>0.42670000000000002</v>
      </c>
      <c r="F40">
        <v>195</v>
      </c>
      <c r="G40" t="s">
        <v>104</v>
      </c>
      <c r="H40">
        <v>100382287</v>
      </c>
      <c r="I40">
        <v>1.1640999999999999</v>
      </c>
      <c r="J40">
        <v>1.0912999999999999</v>
      </c>
      <c r="K40">
        <v>1131</v>
      </c>
      <c r="L40" s="5" t="b">
        <f t="shared" si="0"/>
        <v>0</v>
      </c>
      <c r="M40" s="5">
        <f t="shared" si="1"/>
        <v>-51185069</v>
      </c>
      <c r="N40" s="5" t="str">
        <f t="shared" si="2"/>
        <v>RC</v>
      </c>
      <c r="O40" s="5" t="str">
        <f t="shared" si="3"/>
        <v>49.010%</v>
      </c>
      <c r="P40" s="5">
        <f t="shared" si="4"/>
        <v>-0.72349999999999992</v>
      </c>
      <c r="Q40" s="5" t="str">
        <f t="shared" si="5"/>
        <v>RC</v>
      </c>
      <c r="R40" s="5" t="str">
        <f t="shared" si="6"/>
        <v>37.849%</v>
      </c>
      <c r="S40" s="5">
        <f t="shared" si="7"/>
        <v>-0.66459999999999986</v>
      </c>
      <c r="T40" s="5" t="str">
        <f t="shared" si="8"/>
        <v>RC</v>
      </c>
      <c r="U40" s="5" t="str">
        <f t="shared" si="9"/>
        <v>39.100%</v>
      </c>
      <c r="V40" s="5">
        <f t="shared" si="10"/>
        <v>-936</v>
      </c>
      <c r="W40" s="5" t="str">
        <f t="shared" si="11"/>
        <v>RC</v>
      </c>
      <c r="X40" s="5" t="str">
        <f t="shared" si="12"/>
        <v>17.241%</v>
      </c>
      <c r="Y40" s="5"/>
    </row>
    <row r="41" spans="1:36" ht="15" customHeight="1">
      <c r="A41">
        <v>86</v>
      </c>
      <c r="B41" t="s">
        <v>105</v>
      </c>
      <c r="C41">
        <v>93896834</v>
      </c>
      <c r="D41">
        <v>0.84060000000000001</v>
      </c>
      <c r="E41">
        <v>0.82130000000000003</v>
      </c>
      <c r="F41">
        <v>389</v>
      </c>
      <c r="G41" t="s">
        <v>108</v>
      </c>
      <c r="H41">
        <v>392285316</v>
      </c>
      <c r="I41">
        <v>5.1124999999999998</v>
      </c>
      <c r="J41">
        <v>4.5427</v>
      </c>
      <c r="K41">
        <v>3823</v>
      </c>
      <c r="L41" s="5" t="b">
        <f t="shared" si="0"/>
        <v>0</v>
      </c>
      <c r="M41" s="5">
        <f t="shared" si="1"/>
        <v>-298388482</v>
      </c>
      <c r="N41" s="5" t="str">
        <f t="shared" si="2"/>
        <v>RC</v>
      </c>
      <c r="O41" s="5" t="str">
        <f t="shared" si="3"/>
        <v>23.936%</v>
      </c>
      <c r="P41" s="5">
        <f t="shared" si="4"/>
        <v>-4.2718999999999996</v>
      </c>
      <c r="Q41" s="5" t="str">
        <f t="shared" si="5"/>
        <v>RC</v>
      </c>
      <c r="R41" s="5" t="str">
        <f t="shared" si="6"/>
        <v>16.442%</v>
      </c>
      <c r="S41" s="5">
        <f t="shared" si="7"/>
        <v>-3.7214</v>
      </c>
      <c r="T41" s="5" t="str">
        <f t="shared" si="8"/>
        <v>RC</v>
      </c>
      <c r="U41" s="5" t="str">
        <f t="shared" si="9"/>
        <v>18.080%</v>
      </c>
      <c r="V41" s="5">
        <f t="shared" si="10"/>
        <v>-3434</v>
      </c>
      <c r="W41" s="5" t="str">
        <f t="shared" si="11"/>
        <v>RC</v>
      </c>
      <c r="X41" s="5" t="str">
        <f t="shared" si="12"/>
        <v>10.175%</v>
      </c>
      <c r="Y41" s="5"/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  <c r="AF41" t="str">
        <f>'2'!Z41</f>
        <v>Both succeed:</v>
      </c>
      <c r="AG41" t="str">
        <f>'2'!AA41</f>
        <v>Total memory</v>
      </c>
      <c r="AH41" t="str">
        <f>'2'!AB41</f>
        <v>total cputime</v>
      </c>
      <c r="AI41" t="str">
        <f>'2'!AC41</f>
        <v>total realtime</v>
      </c>
      <c r="AJ41" t="str">
        <f>'2'!AD41</f>
        <v>total cells</v>
      </c>
    </row>
    <row r="42" spans="1:36">
      <c r="A42">
        <v>88</v>
      </c>
      <c r="B42" t="s">
        <v>105</v>
      </c>
      <c r="C42">
        <v>92119580</v>
      </c>
      <c r="D42">
        <v>0.82650000000000001</v>
      </c>
      <c r="E42">
        <v>0.80159999999999998</v>
      </c>
      <c r="F42">
        <v>383</v>
      </c>
      <c r="G42" t="s">
        <v>108</v>
      </c>
      <c r="H42">
        <v>395613187</v>
      </c>
      <c r="I42">
        <v>5.0860000000000003</v>
      </c>
      <c r="J42">
        <v>4.5255999999999998</v>
      </c>
      <c r="K42">
        <v>3823</v>
      </c>
      <c r="L42" s="5" t="b">
        <f t="shared" si="0"/>
        <v>0</v>
      </c>
      <c r="M42" s="5">
        <f t="shared" si="1"/>
        <v>-303493607</v>
      </c>
      <c r="N42" s="5" t="str">
        <f t="shared" si="2"/>
        <v>RC</v>
      </c>
      <c r="O42" s="5" t="str">
        <f t="shared" si="3"/>
        <v>23.285%</v>
      </c>
      <c r="P42" s="5">
        <f t="shared" si="4"/>
        <v>-4.2595000000000001</v>
      </c>
      <c r="Q42" s="5" t="str">
        <f t="shared" si="5"/>
        <v>RC</v>
      </c>
      <c r="R42" s="5" t="str">
        <f t="shared" si="6"/>
        <v>16.250%</v>
      </c>
      <c r="S42" s="5">
        <f t="shared" si="7"/>
        <v>-3.7239999999999998</v>
      </c>
      <c r="T42" s="5" t="str">
        <f t="shared" si="8"/>
        <v>RC</v>
      </c>
      <c r="U42" s="5" t="str">
        <f t="shared" si="9"/>
        <v>17.713%</v>
      </c>
      <c r="V42" s="5">
        <f t="shared" si="10"/>
        <v>-3440</v>
      </c>
      <c r="W42" s="5" t="str">
        <f t="shared" si="11"/>
        <v>RC</v>
      </c>
      <c r="X42" s="5" t="str">
        <f t="shared" si="12"/>
        <v>10.018%</v>
      </c>
      <c r="Y42" s="5"/>
      <c r="Z42" s="5" t="s">
        <v>30</v>
      </c>
      <c r="AA42">
        <f>SUMIFS(C2:C68,C2:C68,"&gt;0",H2:H68,"&gt;0")</f>
        <v>35191929409</v>
      </c>
      <c r="AB42">
        <f>SUMIFS(D2:D68,D2:D68,"&gt;0",I2:I68,"&gt;0")</f>
        <v>418.20759999999996</v>
      </c>
      <c r="AC42">
        <f>SUMIFS(E2:E68,E2:E68,"&gt;0",J2:J68,"&gt;0")</f>
        <v>325.69940000000003</v>
      </c>
      <c r="AD42">
        <f>SUMIFS(F2:F68,F2:F68,"&gt;0",K2:K68,"&gt;0")</f>
        <v>270723</v>
      </c>
      <c r="AF42" t="str">
        <f>'2'!Z42</f>
        <v>RC</v>
      </c>
      <c r="AG42">
        <f>'2'!AA42</f>
        <v>42730874777</v>
      </c>
      <c r="AH42">
        <f>'2'!AB42</f>
        <v>521.48759999999993</v>
      </c>
      <c r="AI42">
        <f>'2'!AC42</f>
        <v>401.9203</v>
      </c>
      <c r="AJ42">
        <f>'2'!AD42</f>
        <v>379712</v>
      </c>
    </row>
    <row r="43" spans="1:36">
      <c r="A43">
        <v>90</v>
      </c>
      <c r="B43" t="s">
        <v>105</v>
      </c>
      <c r="C43">
        <v>91106822</v>
      </c>
      <c r="D43">
        <v>0.82030000000000003</v>
      </c>
      <c r="E43">
        <v>0.79649999999999999</v>
      </c>
      <c r="F43">
        <v>375</v>
      </c>
      <c r="G43" t="s">
        <v>108</v>
      </c>
      <c r="H43">
        <v>339562036</v>
      </c>
      <c r="I43">
        <v>4.4359000000000002</v>
      </c>
      <c r="J43">
        <v>3.9285999999999999</v>
      </c>
      <c r="K43">
        <v>3257</v>
      </c>
      <c r="L43" s="5" t="b">
        <f t="shared" si="0"/>
        <v>0</v>
      </c>
      <c r="M43" s="5">
        <f t="shared" si="1"/>
        <v>-248455214</v>
      </c>
      <c r="N43" s="5" t="str">
        <f t="shared" si="2"/>
        <v>RC</v>
      </c>
      <c r="O43" s="5" t="str">
        <f t="shared" si="3"/>
        <v>26.831%</v>
      </c>
      <c r="P43" s="5">
        <f t="shared" si="4"/>
        <v>-3.6156000000000001</v>
      </c>
      <c r="Q43" s="5" t="str">
        <f t="shared" si="5"/>
        <v>RC</v>
      </c>
      <c r="R43" s="5" t="str">
        <f t="shared" si="6"/>
        <v>18.492%</v>
      </c>
      <c r="S43" s="5">
        <f t="shared" si="7"/>
        <v>-3.1320999999999999</v>
      </c>
      <c r="T43" s="5" t="str">
        <f t="shared" si="8"/>
        <v>RC</v>
      </c>
      <c r="U43" s="5" t="str">
        <f t="shared" si="9"/>
        <v>20.274%</v>
      </c>
      <c r="V43" s="5">
        <f t="shared" si="10"/>
        <v>-2882</v>
      </c>
      <c r="W43" s="5" t="str">
        <f t="shared" si="11"/>
        <v>RC</v>
      </c>
      <c r="X43" s="5" t="str">
        <f t="shared" si="12"/>
        <v>11.514%</v>
      </c>
      <c r="Y43" s="5"/>
      <c r="Z43" s="5" t="s">
        <v>31</v>
      </c>
      <c r="AA43">
        <f>SUMIFS(H2:H68,C2:C68,"&gt;0",H2:H68,"&gt;0")</f>
        <v>35103787583</v>
      </c>
      <c r="AB43">
        <f>SUMIFS(I2:I68,D2:D68,"&gt;0",I2:I68,"&gt;0")</f>
        <v>782.77190000000007</v>
      </c>
      <c r="AC43">
        <f>SUMIFS(J2:J68,E2:E68,"&gt;0",J2:J68,"&gt;0")</f>
        <v>471.82620000000003</v>
      </c>
      <c r="AD43">
        <f>SUMIFS(K2:K68,F2:F68,"&gt;0",K2:K68,"&gt;0")</f>
        <v>320717</v>
      </c>
      <c r="AF43" t="str">
        <f>'2'!Z43</f>
        <v>QE</v>
      </c>
      <c r="AG43">
        <f>'2'!AA43</f>
        <v>44594599962</v>
      </c>
      <c r="AH43">
        <f>'2'!AB43</f>
        <v>1037.4718</v>
      </c>
      <c r="AI43">
        <f>'2'!AC43</f>
        <v>605.7183</v>
      </c>
      <c r="AJ43">
        <f>'2'!AD43</f>
        <v>380004</v>
      </c>
    </row>
    <row r="44" spans="1:36">
      <c r="A44">
        <v>92</v>
      </c>
      <c r="B44" t="s">
        <v>105</v>
      </c>
      <c r="C44">
        <v>7211501637</v>
      </c>
      <c r="D44">
        <v>89.751599999999996</v>
      </c>
      <c r="E44">
        <v>69.391400000000004</v>
      </c>
      <c r="F44">
        <v>57809</v>
      </c>
      <c r="G44" t="s">
        <v>102</v>
      </c>
      <c r="H44" t="s">
        <v>57</v>
      </c>
      <c r="I44" t="s">
        <v>57</v>
      </c>
      <c r="J44" t="s">
        <v>57</v>
      </c>
      <c r="K44" t="s">
        <v>57</v>
      </c>
      <c r="L44" s="5" t="str">
        <f t="shared" si="0"/>
        <v>--</v>
      </c>
      <c r="M44" s="5" t="str">
        <f t="shared" si="1"/>
        <v>--</v>
      </c>
      <c r="N44" s="5" t="str">
        <f t="shared" si="2"/>
        <v>RC</v>
      </c>
      <c r="O44" s="5" t="str">
        <f t="shared" si="3"/>
        <v>--</v>
      </c>
      <c r="P44" s="5" t="str">
        <f t="shared" si="4"/>
        <v>--</v>
      </c>
      <c r="Q44" s="5" t="str">
        <f t="shared" si="5"/>
        <v>RC</v>
      </c>
      <c r="R44" s="5" t="str">
        <f t="shared" si="6"/>
        <v>--</v>
      </c>
      <c r="S44" s="5" t="str">
        <f t="shared" si="7"/>
        <v>--</v>
      </c>
      <c r="T44" s="5" t="str">
        <f t="shared" si="8"/>
        <v>RC</v>
      </c>
      <c r="U44" s="5" t="str">
        <f t="shared" si="9"/>
        <v>--</v>
      </c>
      <c r="V44" s="5" t="str">
        <f t="shared" si="10"/>
        <v>--</v>
      </c>
      <c r="W44" s="5" t="str">
        <f t="shared" si="11"/>
        <v>RC</v>
      </c>
      <c r="X44" s="5" t="str">
        <f t="shared" si="12"/>
        <v>--</v>
      </c>
      <c r="Y44" s="5"/>
    </row>
    <row r="45" spans="1:36">
      <c r="A45">
        <v>93</v>
      </c>
      <c r="B45" t="s">
        <v>105</v>
      </c>
      <c r="C45">
        <v>93578045</v>
      </c>
      <c r="D45">
        <v>0.84219999999999995</v>
      </c>
      <c r="E45">
        <v>0.8175</v>
      </c>
      <c r="F45">
        <v>389</v>
      </c>
      <c r="G45" t="s">
        <v>108</v>
      </c>
      <c r="H45">
        <v>342593326</v>
      </c>
      <c r="I45">
        <v>4.3686999999999996</v>
      </c>
      <c r="J45">
        <v>3.9203000000000001</v>
      </c>
      <c r="K45">
        <v>3257</v>
      </c>
      <c r="L45" s="5" t="b">
        <f t="shared" si="0"/>
        <v>0</v>
      </c>
      <c r="M45" s="5">
        <f t="shared" si="1"/>
        <v>-249015281</v>
      </c>
      <c r="N45" s="5" t="str">
        <f t="shared" si="2"/>
        <v>RC</v>
      </c>
      <c r="O45" s="5" t="str">
        <f t="shared" si="3"/>
        <v>27.315%</v>
      </c>
      <c r="P45" s="5">
        <f t="shared" si="4"/>
        <v>-3.5264999999999995</v>
      </c>
      <c r="Q45" s="5" t="str">
        <f t="shared" si="5"/>
        <v>RC</v>
      </c>
      <c r="R45" s="5" t="str">
        <f t="shared" si="6"/>
        <v>19.278%</v>
      </c>
      <c r="S45" s="5">
        <f t="shared" si="7"/>
        <v>-3.1028000000000002</v>
      </c>
      <c r="T45" s="5" t="str">
        <f t="shared" si="8"/>
        <v>RC</v>
      </c>
      <c r="U45" s="5" t="str">
        <f t="shared" si="9"/>
        <v>20.853%</v>
      </c>
      <c r="V45" s="5">
        <f t="shared" si="10"/>
        <v>-2868</v>
      </c>
      <c r="W45" s="5" t="str">
        <f t="shared" si="11"/>
        <v>RC</v>
      </c>
      <c r="X45" s="5" t="str">
        <f t="shared" si="12"/>
        <v>11.944%</v>
      </c>
      <c r="Y45" s="5"/>
    </row>
    <row r="46" spans="1:36">
      <c r="A46">
        <v>94</v>
      </c>
      <c r="B46" t="s">
        <v>105</v>
      </c>
      <c r="C46">
        <v>12498938353</v>
      </c>
      <c r="D46">
        <v>160.2047</v>
      </c>
      <c r="E46">
        <v>120.5194</v>
      </c>
      <c r="F46">
        <v>97187</v>
      </c>
      <c r="G46" t="s">
        <v>102</v>
      </c>
      <c r="H46" t="s">
        <v>57</v>
      </c>
      <c r="I46" t="s">
        <v>57</v>
      </c>
      <c r="J46" t="s">
        <v>57</v>
      </c>
      <c r="K46" t="s">
        <v>57</v>
      </c>
      <c r="L46" s="5" t="str">
        <f t="shared" si="0"/>
        <v>--</v>
      </c>
      <c r="M46" s="5" t="str">
        <f t="shared" si="1"/>
        <v>--</v>
      </c>
      <c r="N46" s="5" t="str">
        <f t="shared" si="2"/>
        <v>RC</v>
      </c>
      <c r="O46" s="5" t="str">
        <f t="shared" si="3"/>
        <v>--</v>
      </c>
      <c r="P46" s="5" t="str">
        <f t="shared" si="4"/>
        <v>--</v>
      </c>
      <c r="Q46" s="5" t="str">
        <f t="shared" si="5"/>
        <v>RC</v>
      </c>
      <c r="R46" s="5" t="str">
        <f t="shared" si="6"/>
        <v>--</v>
      </c>
      <c r="S46" s="5" t="str">
        <f t="shared" si="7"/>
        <v>--</v>
      </c>
      <c r="T46" s="5" t="str">
        <f t="shared" si="8"/>
        <v>RC</v>
      </c>
      <c r="U46" s="5" t="str">
        <f t="shared" si="9"/>
        <v>--</v>
      </c>
      <c r="V46" s="5" t="str">
        <f t="shared" si="10"/>
        <v>--</v>
      </c>
      <c r="W46" s="5" t="str">
        <f t="shared" si="11"/>
        <v>RC</v>
      </c>
      <c r="X46" s="5" t="str">
        <f t="shared" si="12"/>
        <v>--</v>
      </c>
      <c r="Y46" s="5"/>
      <c r="Z46" t="s">
        <v>116</v>
      </c>
      <c r="AA46" s="23">
        <f>AA42/AA43</f>
        <v>1.0025108921876762</v>
      </c>
      <c r="AB46" s="23">
        <f>AB42/AB43</f>
        <v>0.53426496275607227</v>
      </c>
      <c r="AC46" s="23">
        <f>AC42/AC43</f>
        <v>0.69029528245782024</v>
      </c>
      <c r="AD46" s="23">
        <f>AD42/AD43</f>
        <v>0.84411802305459327</v>
      </c>
      <c r="AF46" t="str">
        <f>'2'!Z46</f>
        <v>RC % of QE</v>
      </c>
      <c r="AG46">
        <f>'2'!AA46</f>
        <v>0.95820737966955372</v>
      </c>
      <c r="AH46">
        <f>'2'!AB46</f>
        <v>0.50265231305564151</v>
      </c>
      <c r="AI46">
        <f>'2'!AC46</f>
        <v>0.66354326755523152</v>
      </c>
      <c r="AJ46">
        <f>'2'!AD46</f>
        <v>0.99923158703592596</v>
      </c>
    </row>
    <row r="47" spans="1:36">
      <c r="A47">
        <v>96</v>
      </c>
      <c r="B47" t="s">
        <v>105</v>
      </c>
      <c r="C47">
        <v>12509188157</v>
      </c>
      <c r="D47">
        <v>162.71719999999999</v>
      </c>
      <c r="E47">
        <v>119.7084</v>
      </c>
      <c r="F47">
        <v>97187</v>
      </c>
      <c r="G47" t="s">
        <v>102</v>
      </c>
      <c r="H47" t="s">
        <v>57</v>
      </c>
      <c r="I47" t="s">
        <v>57</v>
      </c>
      <c r="J47" t="s">
        <v>57</v>
      </c>
      <c r="K47" t="s">
        <v>57</v>
      </c>
      <c r="L47" s="5" t="str">
        <f t="shared" si="0"/>
        <v>--</v>
      </c>
      <c r="M47" s="5" t="str">
        <f t="shared" si="1"/>
        <v>--</v>
      </c>
      <c r="N47" s="5" t="str">
        <f t="shared" si="2"/>
        <v>RC</v>
      </c>
      <c r="O47" s="5" t="str">
        <f t="shared" si="3"/>
        <v>--</v>
      </c>
      <c r="P47" s="5" t="str">
        <f t="shared" si="4"/>
        <v>--</v>
      </c>
      <c r="Q47" s="5" t="str">
        <f t="shared" si="5"/>
        <v>RC</v>
      </c>
      <c r="R47" s="5" t="str">
        <f t="shared" si="6"/>
        <v>--</v>
      </c>
      <c r="S47" s="5" t="str">
        <f t="shared" si="7"/>
        <v>--</v>
      </c>
      <c r="T47" s="5" t="str">
        <f t="shared" si="8"/>
        <v>RC</v>
      </c>
      <c r="U47" s="5" t="str">
        <f t="shared" si="9"/>
        <v>--</v>
      </c>
      <c r="V47" s="5" t="str">
        <f t="shared" si="10"/>
        <v>--</v>
      </c>
      <c r="W47" s="5" t="str">
        <f t="shared" si="11"/>
        <v>RC</v>
      </c>
      <c r="X47" s="5" t="str">
        <f t="shared" si="12"/>
        <v>--</v>
      </c>
      <c r="Y47" s="5"/>
      <c r="Z47" t="s">
        <v>117</v>
      </c>
      <c r="AA47" s="23">
        <f>1/AA46</f>
        <v>0.9974953966014305</v>
      </c>
      <c r="AB47" s="23">
        <f>1/AB46</f>
        <v>1.8717304515747684</v>
      </c>
      <c r="AC47" s="23">
        <f>1/AC46</f>
        <v>1.4486554166203562</v>
      </c>
      <c r="AD47" s="23">
        <f>1/AD46</f>
        <v>1.1846684618595391</v>
      </c>
      <c r="AF47" t="str">
        <f>'2'!Z47</f>
        <v>QE % of RC</v>
      </c>
      <c r="AG47">
        <f>'2'!AA47</f>
        <v>1.0436154231507369</v>
      </c>
      <c r="AH47">
        <f>'2'!AB47</f>
        <v>1.9894467289346864</v>
      </c>
      <c r="AI47">
        <f>'2'!AC47</f>
        <v>1.5070607282090505</v>
      </c>
      <c r="AJ47">
        <f>'2'!AD47</f>
        <v>1.0007690038766222</v>
      </c>
    </row>
    <row r="48" spans="1:36">
      <c r="A48">
        <v>98</v>
      </c>
      <c r="B48" t="s">
        <v>105</v>
      </c>
      <c r="C48">
        <v>12494082752</v>
      </c>
      <c r="D48">
        <v>165.28899999999999</v>
      </c>
      <c r="E48">
        <v>119.4247</v>
      </c>
      <c r="F48">
        <v>97187</v>
      </c>
      <c r="G48" t="s">
        <v>102</v>
      </c>
      <c r="H48" t="s">
        <v>57</v>
      </c>
      <c r="I48" t="s">
        <v>57</v>
      </c>
      <c r="J48" t="s">
        <v>57</v>
      </c>
      <c r="K48" t="s">
        <v>57</v>
      </c>
      <c r="L48" s="5" t="str">
        <f t="shared" si="0"/>
        <v>--</v>
      </c>
      <c r="M48" s="5" t="str">
        <f t="shared" si="1"/>
        <v>--</v>
      </c>
      <c r="N48" s="5" t="str">
        <f t="shared" si="2"/>
        <v>RC</v>
      </c>
      <c r="O48" s="5" t="str">
        <f t="shared" si="3"/>
        <v>--</v>
      </c>
      <c r="P48" s="5" t="str">
        <f t="shared" si="4"/>
        <v>--</v>
      </c>
      <c r="Q48" s="5" t="str">
        <f t="shared" si="5"/>
        <v>RC</v>
      </c>
      <c r="R48" s="5" t="str">
        <f t="shared" si="6"/>
        <v>--</v>
      </c>
      <c r="S48" s="5" t="str">
        <f t="shared" si="7"/>
        <v>--</v>
      </c>
      <c r="T48" s="5" t="str">
        <f t="shared" si="8"/>
        <v>RC</v>
      </c>
      <c r="U48" s="5" t="str">
        <f t="shared" si="9"/>
        <v>--</v>
      </c>
      <c r="V48" s="5" t="str">
        <f t="shared" si="10"/>
        <v>--</v>
      </c>
      <c r="W48" s="5" t="str">
        <f t="shared" si="11"/>
        <v>RC</v>
      </c>
      <c r="X48" s="5" t="str">
        <f t="shared" si="12"/>
        <v>--</v>
      </c>
      <c r="Y48" s="5"/>
    </row>
    <row r="49" spans="1:35">
      <c r="A49">
        <v>99</v>
      </c>
      <c r="B49" t="s">
        <v>105</v>
      </c>
      <c r="C49">
        <v>13665357365</v>
      </c>
      <c r="D49">
        <v>172.94380000000001</v>
      </c>
      <c r="E49">
        <v>127.7945</v>
      </c>
      <c r="F49">
        <v>97187</v>
      </c>
      <c r="G49" t="s">
        <v>102</v>
      </c>
      <c r="H49" t="s">
        <v>57</v>
      </c>
      <c r="I49" t="s">
        <v>57</v>
      </c>
      <c r="J49" t="s">
        <v>57</v>
      </c>
      <c r="K49" t="s">
        <v>57</v>
      </c>
      <c r="L49" s="5" t="str">
        <f t="shared" si="0"/>
        <v>--</v>
      </c>
      <c r="M49" s="5" t="str">
        <f t="shared" si="1"/>
        <v>--</v>
      </c>
      <c r="N49" s="5" t="str">
        <f t="shared" si="2"/>
        <v>RC</v>
      </c>
      <c r="O49" s="5" t="str">
        <f t="shared" si="3"/>
        <v>--</v>
      </c>
      <c r="P49" s="5" t="str">
        <f t="shared" si="4"/>
        <v>--</v>
      </c>
      <c r="Q49" s="5" t="str">
        <f t="shared" si="5"/>
        <v>RC</v>
      </c>
      <c r="R49" s="5" t="str">
        <f t="shared" si="6"/>
        <v>--</v>
      </c>
      <c r="S49" s="5" t="str">
        <f t="shared" si="7"/>
        <v>--</v>
      </c>
      <c r="T49" s="5" t="str">
        <f t="shared" si="8"/>
        <v>RC</v>
      </c>
      <c r="U49" s="5" t="str">
        <f t="shared" si="9"/>
        <v>--</v>
      </c>
      <c r="V49" s="5" t="str">
        <f t="shared" si="10"/>
        <v>--</v>
      </c>
      <c r="W49" s="5" t="str">
        <f t="shared" si="11"/>
        <v>RC</v>
      </c>
      <c r="X49" s="5" t="str">
        <f t="shared" si="12"/>
        <v>--</v>
      </c>
      <c r="Y49" s="5"/>
    </row>
    <row r="50" spans="1:35">
      <c r="A50">
        <v>101</v>
      </c>
      <c r="B50" t="s">
        <v>105</v>
      </c>
      <c r="C50">
        <v>12492109136</v>
      </c>
      <c r="D50">
        <v>163.13749999999999</v>
      </c>
      <c r="E50">
        <v>119.045</v>
      </c>
      <c r="F50">
        <v>97187</v>
      </c>
      <c r="G50" t="s">
        <v>102</v>
      </c>
      <c r="H50" t="s">
        <v>57</v>
      </c>
      <c r="I50" t="s">
        <v>57</v>
      </c>
      <c r="J50" t="s">
        <v>57</v>
      </c>
      <c r="K50" t="s">
        <v>57</v>
      </c>
      <c r="L50" s="5" t="str">
        <f t="shared" si="0"/>
        <v>--</v>
      </c>
      <c r="M50" s="5" t="str">
        <f t="shared" si="1"/>
        <v>--</v>
      </c>
      <c r="N50" s="5" t="str">
        <f t="shared" si="2"/>
        <v>RC</v>
      </c>
      <c r="O50" s="5" t="str">
        <f t="shared" si="3"/>
        <v>--</v>
      </c>
      <c r="P50" s="5" t="str">
        <f t="shared" si="4"/>
        <v>--</v>
      </c>
      <c r="Q50" s="5" t="str">
        <f t="shared" si="5"/>
        <v>RC</v>
      </c>
      <c r="R50" s="5" t="str">
        <f t="shared" si="6"/>
        <v>--</v>
      </c>
      <c r="S50" s="5" t="str">
        <f t="shared" si="7"/>
        <v>--</v>
      </c>
      <c r="T50" s="5" t="str">
        <f t="shared" si="8"/>
        <v>RC</v>
      </c>
      <c r="U50" s="5" t="str">
        <f t="shared" si="9"/>
        <v>--</v>
      </c>
      <c r="V50" s="5" t="str">
        <f t="shared" si="10"/>
        <v>--</v>
      </c>
      <c r="W50" s="5" t="str">
        <f t="shared" si="11"/>
        <v>RC</v>
      </c>
      <c r="X50" s="5" t="str">
        <f t="shared" si="12"/>
        <v>--</v>
      </c>
      <c r="Y50" s="5"/>
    </row>
    <row r="51" spans="1:35">
      <c r="A51">
        <v>103</v>
      </c>
      <c r="B51" t="s">
        <v>105</v>
      </c>
      <c r="C51">
        <v>7210865478</v>
      </c>
      <c r="D51">
        <v>91.165599999999998</v>
      </c>
      <c r="E51">
        <v>70.4405</v>
      </c>
      <c r="F51">
        <v>57809</v>
      </c>
      <c r="G51" t="s">
        <v>102</v>
      </c>
      <c r="H51" t="s">
        <v>57</v>
      </c>
      <c r="I51" t="s">
        <v>57</v>
      </c>
      <c r="J51" t="s">
        <v>57</v>
      </c>
      <c r="K51" t="s">
        <v>57</v>
      </c>
      <c r="L51" s="5" t="str">
        <f t="shared" si="0"/>
        <v>--</v>
      </c>
      <c r="M51" s="5" t="str">
        <f t="shared" si="1"/>
        <v>--</v>
      </c>
      <c r="N51" s="5" t="str">
        <f t="shared" si="2"/>
        <v>RC</v>
      </c>
      <c r="O51" s="5" t="str">
        <f t="shared" si="3"/>
        <v>--</v>
      </c>
      <c r="P51" s="5" t="str">
        <f t="shared" si="4"/>
        <v>--</v>
      </c>
      <c r="Q51" s="5" t="str">
        <f t="shared" si="5"/>
        <v>RC</v>
      </c>
      <c r="R51" s="5" t="str">
        <f t="shared" si="6"/>
        <v>--</v>
      </c>
      <c r="S51" s="5" t="str">
        <f t="shared" si="7"/>
        <v>--</v>
      </c>
      <c r="T51" s="5" t="str">
        <f t="shared" si="8"/>
        <v>RC</v>
      </c>
      <c r="U51" s="5" t="str">
        <f t="shared" si="9"/>
        <v>--</v>
      </c>
      <c r="V51" s="5" t="str">
        <f t="shared" si="10"/>
        <v>--</v>
      </c>
      <c r="W51" s="5" t="str">
        <f t="shared" si="11"/>
        <v>RC</v>
      </c>
      <c r="X51" s="5" t="str">
        <f t="shared" si="12"/>
        <v>--</v>
      </c>
      <c r="Y51" s="5"/>
    </row>
    <row r="52" spans="1:35">
      <c r="A52">
        <v>105</v>
      </c>
      <c r="B52" t="s">
        <v>105</v>
      </c>
      <c r="C52">
        <v>17443497929</v>
      </c>
      <c r="D52">
        <v>236.76560000000001</v>
      </c>
      <c r="E52">
        <v>170.5256</v>
      </c>
      <c r="F52">
        <v>134735</v>
      </c>
      <c r="G52" t="s">
        <v>102</v>
      </c>
      <c r="H52" t="s">
        <v>57</v>
      </c>
      <c r="I52" t="s">
        <v>57</v>
      </c>
      <c r="J52" t="s">
        <v>57</v>
      </c>
      <c r="K52" t="s">
        <v>57</v>
      </c>
      <c r="L52" s="5" t="str">
        <f t="shared" si="0"/>
        <v>--</v>
      </c>
      <c r="M52" s="5" t="str">
        <f t="shared" si="1"/>
        <v>--</v>
      </c>
      <c r="N52" s="5" t="str">
        <f t="shared" si="2"/>
        <v>RC</v>
      </c>
      <c r="O52" s="5" t="str">
        <f t="shared" si="3"/>
        <v>--</v>
      </c>
      <c r="P52" s="5" t="str">
        <f t="shared" si="4"/>
        <v>--</v>
      </c>
      <c r="Q52" s="5" t="str">
        <f t="shared" si="5"/>
        <v>RC</v>
      </c>
      <c r="R52" s="5" t="str">
        <f t="shared" si="6"/>
        <v>--</v>
      </c>
      <c r="S52" s="5" t="str">
        <f t="shared" si="7"/>
        <v>--</v>
      </c>
      <c r="T52" s="5" t="str">
        <f t="shared" si="8"/>
        <v>RC</v>
      </c>
      <c r="U52" s="5" t="str">
        <f t="shared" si="9"/>
        <v>--</v>
      </c>
      <c r="V52" s="5" t="str">
        <f t="shared" si="10"/>
        <v>--</v>
      </c>
      <c r="W52" s="5" t="str">
        <f t="shared" si="11"/>
        <v>RC</v>
      </c>
      <c r="X52" s="5" t="str">
        <f t="shared" si="12"/>
        <v>--</v>
      </c>
      <c r="Y52" s="5"/>
    </row>
    <row r="53" spans="1:35">
      <c r="A53">
        <v>106</v>
      </c>
      <c r="B53" t="s">
        <v>105</v>
      </c>
      <c r="C53">
        <v>7987341888</v>
      </c>
      <c r="D53">
        <v>98.334299999999999</v>
      </c>
      <c r="E53">
        <v>75.208500000000001</v>
      </c>
      <c r="F53">
        <v>64429</v>
      </c>
      <c r="G53" t="s">
        <v>102</v>
      </c>
      <c r="H53" t="s">
        <v>57</v>
      </c>
      <c r="I53" t="s">
        <v>57</v>
      </c>
      <c r="J53" t="s">
        <v>57</v>
      </c>
      <c r="K53" t="s">
        <v>57</v>
      </c>
      <c r="L53" s="5" t="str">
        <f t="shared" si="0"/>
        <v>--</v>
      </c>
      <c r="M53" s="5" t="str">
        <f t="shared" si="1"/>
        <v>--</v>
      </c>
      <c r="N53" s="5" t="str">
        <f t="shared" si="2"/>
        <v>RC</v>
      </c>
      <c r="O53" s="5" t="str">
        <f t="shared" si="3"/>
        <v>--</v>
      </c>
      <c r="P53" s="5" t="str">
        <f t="shared" si="4"/>
        <v>--</v>
      </c>
      <c r="Q53" s="5" t="str">
        <f t="shared" si="5"/>
        <v>RC</v>
      </c>
      <c r="R53" s="5" t="str">
        <f t="shared" si="6"/>
        <v>--</v>
      </c>
      <c r="S53" s="5" t="str">
        <f t="shared" si="7"/>
        <v>--</v>
      </c>
      <c r="T53" s="5" t="str">
        <f t="shared" si="8"/>
        <v>RC</v>
      </c>
      <c r="U53" s="5" t="str">
        <f t="shared" si="9"/>
        <v>--</v>
      </c>
      <c r="V53" s="5" t="str">
        <f t="shared" si="10"/>
        <v>--</v>
      </c>
      <c r="W53" s="5" t="str">
        <f t="shared" si="11"/>
        <v>RC</v>
      </c>
      <c r="X53" s="5" t="str">
        <f t="shared" si="12"/>
        <v>--</v>
      </c>
      <c r="Y53" s="5"/>
      <c r="AA53">
        <f>AA42/AG42</f>
        <v>0.8235714712758968</v>
      </c>
      <c r="AB53">
        <f t="shared" ref="AB53:AD54" si="13">AB42/AH42</f>
        <v>0.80195118733408044</v>
      </c>
      <c r="AC53">
        <f t="shared" si="13"/>
        <v>0.81035817300096569</v>
      </c>
      <c r="AD53">
        <f t="shared" si="13"/>
        <v>0.71296930305073314</v>
      </c>
    </row>
    <row r="54" spans="1:35">
      <c r="A54">
        <v>108</v>
      </c>
      <c r="B54" t="s">
        <v>105</v>
      </c>
      <c r="C54">
        <v>17412921595</v>
      </c>
      <c r="D54">
        <v>237.3</v>
      </c>
      <c r="E54">
        <v>169.74039999999999</v>
      </c>
      <c r="F54">
        <v>134735</v>
      </c>
      <c r="G54" t="s">
        <v>102</v>
      </c>
      <c r="H54" t="s">
        <v>57</v>
      </c>
      <c r="I54" t="s">
        <v>57</v>
      </c>
      <c r="J54" t="s">
        <v>57</v>
      </c>
      <c r="K54" t="s">
        <v>57</v>
      </c>
      <c r="L54" s="5" t="str">
        <f t="shared" si="0"/>
        <v>--</v>
      </c>
      <c r="M54" s="5" t="str">
        <f t="shared" si="1"/>
        <v>--</v>
      </c>
      <c r="N54" s="5" t="str">
        <f t="shared" si="2"/>
        <v>RC</v>
      </c>
      <c r="O54" s="5" t="str">
        <f t="shared" si="3"/>
        <v>--</v>
      </c>
      <c r="P54" s="5" t="str">
        <f t="shared" si="4"/>
        <v>--</v>
      </c>
      <c r="Q54" s="5" t="str">
        <f t="shared" si="5"/>
        <v>RC</v>
      </c>
      <c r="R54" s="5" t="str">
        <f t="shared" si="6"/>
        <v>--</v>
      </c>
      <c r="S54" s="5" t="str">
        <f t="shared" si="7"/>
        <v>--</v>
      </c>
      <c r="T54" s="5" t="str">
        <f t="shared" si="8"/>
        <v>RC</v>
      </c>
      <c r="U54" s="5" t="str">
        <f t="shared" si="9"/>
        <v>--</v>
      </c>
      <c r="V54" s="5" t="str">
        <f t="shared" si="10"/>
        <v>--</v>
      </c>
      <c r="W54" s="5" t="str">
        <f t="shared" si="11"/>
        <v>RC</v>
      </c>
      <c r="X54" s="5" t="str">
        <f t="shared" si="12"/>
        <v>--</v>
      </c>
      <c r="Y54" s="5"/>
      <c r="AA54">
        <f>AA43/AG43</f>
        <v>0.78717574802583001</v>
      </c>
      <c r="AB54">
        <f t="shared" si="13"/>
        <v>0.75449944759944321</v>
      </c>
      <c r="AC54">
        <f t="shared" si="13"/>
        <v>0.77895318665458846</v>
      </c>
      <c r="AD54">
        <f t="shared" si="13"/>
        <v>0.84398322122925018</v>
      </c>
    </row>
    <row r="55" spans="1:35">
      <c r="A55">
        <v>109</v>
      </c>
      <c r="B55" t="s">
        <v>105</v>
      </c>
      <c r="C55">
        <v>17422478541</v>
      </c>
      <c r="D55">
        <v>235.5609</v>
      </c>
      <c r="E55">
        <v>169.56800000000001</v>
      </c>
      <c r="F55">
        <v>134735</v>
      </c>
      <c r="G55" t="s">
        <v>102</v>
      </c>
      <c r="H55" t="s">
        <v>57</v>
      </c>
      <c r="I55" t="s">
        <v>57</v>
      </c>
      <c r="J55" t="s">
        <v>57</v>
      </c>
      <c r="K55" t="s">
        <v>57</v>
      </c>
      <c r="L55" s="5" t="str">
        <f t="shared" si="0"/>
        <v>--</v>
      </c>
      <c r="M55" s="5" t="str">
        <f t="shared" si="1"/>
        <v>--</v>
      </c>
      <c r="N55" s="5" t="str">
        <f t="shared" si="2"/>
        <v>RC</v>
      </c>
      <c r="O55" s="5" t="str">
        <f t="shared" si="3"/>
        <v>--</v>
      </c>
      <c r="P55" s="5" t="str">
        <f t="shared" si="4"/>
        <v>--</v>
      </c>
      <c r="Q55" s="5" t="str">
        <f t="shared" si="5"/>
        <v>RC</v>
      </c>
      <c r="R55" s="5" t="str">
        <f t="shared" si="6"/>
        <v>--</v>
      </c>
      <c r="S55" s="5" t="str">
        <f t="shared" si="7"/>
        <v>--</v>
      </c>
      <c r="T55" s="5" t="str">
        <f t="shared" si="8"/>
        <v>RC</v>
      </c>
      <c r="U55" s="5" t="str">
        <f t="shared" si="9"/>
        <v>--</v>
      </c>
      <c r="V55" s="5" t="str">
        <f t="shared" si="10"/>
        <v>--</v>
      </c>
      <c r="W55" s="5" t="str">
        <f t="shared" si="11"/>
        <v>RC</v>
      </c>
      <c r="X55" s="5" t="str">
        <f t="shared" si="12"/>
        <v>--</v>
      </c>
      <c r="Y55" s="5"/>
    </row>
    <row r="56" spans="1:35">
      <c r="A56">
        <v>112</v>
      </c>
      <c r="B56" t="s">
        <v>105</v>
      </c>
      <c r="C56">
        <v>7990925600</v>
      </c>
      <c r="D56">
        <v>98.498500000000007</v>
      </c>
      <c r="E56">
        <v>74.982200000000006</v>
      </c>
      <c r="F56">
        <v>64429</v>
      </c>
      <c r="G56" t="s">
        <v>102</v>
      </c>
      <c r="H56" t="s">
        <v>57</v>
      </c>
      <c r="I56" t="s">
        <v>57</v>
      </c>
      <c r="J56" t="s">
        <v>57</v>
      </c>
      <c r="K56" t="s">
        <v>57</v>
      </c>
      <c r="L56" s="5" t="str">
        <f t="shared" si="0"/>
        <v>--</v>
      </c>
      <c r="M56" s="5" t="str">
        <f t="shared" si="1"/>
        <v>--</v>
      </c>
      <c r="N56" s="5" t="str">
        <f t="shared" si="2"/>
        <v>RC</v>
      </c>
      <c r="O56" s="5" t="str">
        <f t="shared" si="3"/>
        <v>--</v>
      </c>
      <c r="P56" s="5" t="str">
        <f t="shared" si="4"/>
        <v>--</v>
      </c>
      <c r="Q56" s="5" t="str">
        <f t="shared" si="5"/>
        <v>RC</v>
      </c>
      <c r="R56" s="5" t="str">
        <f t="shared" si="6"/>
        <v>--</v>
      </c>
      <c r="S56" s="5" t="str">
        <f t="shared" si="7"/>
        <v>--</v>
      </c>
      <c r="T56" s="5" t="str">
        <f t="shared" si="8"/>
        <v>RC</v>
      </c>
      <c r="U56" s="5" t="str">
        <f t="shared" si="9"/>
        <v>--</v>
      </c>
      <c r="V56" s="5" t="str">
        <f t="shared" si="10"/>
        <v>--</v>
      </c>
      <c r="W56" s="5" t="str">
        <f t="shared" si="11"/>
        <v>RC</v>
      </c>
      <c r="X56" s="5" t="str">
        <f t="shared" si="12"/>
        <v>--</v>
      </c>
      <c r="Y56" s="5"/>
    </row>
    <row r="57" spans="1:35">
      <c r="A57">
        <v>114</v>
      </c>
      <c r="B57" t="s">
        <v>105</v>
      </c>
      <c r="C57">
        <v>17437940375</v>
      </c>
      <c r="D57">
        <v>238.19069999999999</v>
      </c>
      <c r="E57">
        <v>169.8348</v>
      </c>
      <c r="F57">
        <v>134735</v>
      </c>
      <c r="G57" t="s">
        <v>102</v>
      </c>
      <c r="H57" t="s">
        <v>57</v>
      </c>
      <c r="I57" t="s">
        <v>57</v>
      </c>
      <c r="J57" t="s">
        <v>57</v>
      </c>
      <c r="K57" t="s">
        <v>57</v>
      </c>
      <c r="L57" s="5" t="str">
        <f t="shared" si="0"/>
        <v>--</v>
      </c>
      <c r="M57" s="5" t="str">
        <f t="shared" si="1"/>
        <v>--</v>
      </c>
      <c r="N57" s="5" t="str">
        <f t="shared" si="2"/>
        <v>RC</v>
      </c>
      <c r="O57" s="5" t="str">
        <f t="shared" si="3"/>
        <v>--</v>
      </c>
      <c r="P57" s="5" t="str">
        <f t="shared" si="4"/>
        <v>--</v>
      </c>
      <c r="Q57" s="5" t="str">
        <f t="shared" si="5"/>
        <v>RC</v>
      </c>
      <c r="R57" s="5" t="str">
        <f t="shared" si="6"/>
        <v>--</v>
      </c>
      <c r="S57" s="5" t="str">
        <f t="shared" si="7"/>
        <v>--</v>
      </c>
      <c r="T57" s="5" t="str">
        <f t="shared" si="8"/>
        <v>RC</v>
      </c>
      <c r="U57" s="5" t="str">
        <f t="shared" si="9"/>
        <v>--</v>
      </c>
      <c r="V57" s="5" t="str">
        <f t="shared" si="10"/>
        <v>--</v>
      </c>
      <c r="W57" s="5" t="str">
        <f t="shared" si="11"/>
        <v>RC</v>
      </c>
      <c r="X57" s="5" t="str">
        <f t="shared" si="12"/>
        <v>--</v>
      </c>
      <c r="Y57" s="5"/>
    </row>
    <row r="58" spans="1:35">
      <c r="A58">
        <v>115</v>
      </c>
      <c r="B58" t="s">
        <v>105</v>
      </c>
      <c r="C58">
        <v>17441440189</v>
      </c>
      <c r="D58">
        <v>238.64529999999999</v>
      </c>
      <c r="E58">
        <v>170.0187</v>
      </c>
      <c r="F58">
        <v>134735</v>
      </c>
      <c r="G58" t="s">
        <v>102</v>
      </c>
      <c r="H58" t="s">
        <v>57</v>
      </c>
      <c r="I58" t="s">
        <v>57</v>
      </c>
      <c r="J58" t="s">
        <v>57</v>
      </c>
      <c r="K58" t="s">
        <v>57</v>
      </c>
      <c r="L58" s="5" t="str">
        <f t="shared" si="0"/>
        <v>--</v>
      </c>
      <c r="M58" s="5" t="str">
        <f t="shared" si="1"/>
        <v>--</v>
      </c>
      <c r="N58" s="5" t="str">
        <f t="shared" si="2"/>
        <v>RC</v>
      </c>
      <c r="O58" s="5" t="str">
        <f t="shared" si="3"/>
        <v>--</v>
      </c>
      <c r="P58" s="5" t="str">
        <f t="shared" si="4"/>
        <v>--</v>
      </c>
      <c r="Q58" s="5" t="str">
        <f t="shared" si="5"/>
        <v>RC</v>
      </c>
      <c r="R58" s="5" t="str">
        <f t="shared" si="6"/>
        <v>--</v>
      </c>
      <c r="S58" s="5" t="str">
        <f t="shared" si="7"/>
        <v>--</v>
      </c>
      <c r="T58" s="5" t="str">
        <f t="shared" si="8"/>
        <v>RC</v>
      </c>
      <c r="U58" s="5" t="str">
        <f t="shared" si="9"/>
        <v>--</v>
      </c>
      <c r="V58" s="5" t="str">
        <f t="shared" si="10"/>
        <v>--</v>
      </c>
      <c r="W58" s="5" t="str">
        <f t="shared" si="11"/>
        <v>RC</v>
      </c>
      <c r="X58" s="5" t="str">
        <f t="shared" si="12"/>
        <v>--</v>
      </c>
      <c r="Y58" s="5"/>
    </row>
    <row r="59" spans="1:35">
      <c r="A59">
        <v>118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102</v>
      </c>
      <c r="H59" t="s">
        <v>57</v>
      </c>
      <c r="I59" t="s">
        <v>57</v>
      </c>
      <c r="J59" t="s">
        <v>57</v>
      </c>
      <c r="K59" t="s">
        <v>57</v>
      </c>
      <c r="L59" s="5" t="str">
        <f t="shared" si="0"/>
        <v>--</v>
      </c>
      <c r="M59" s="5" t="str">
        <f t="shared" si="1"/>
        <v>--</v>
      </c>
      <c r="N59" s="5" t="str">
        <f t="shared" si="2"/>
        <v>--</v>
      </c>
      <c r="O59" s="5" t="str">
        <f t="shared" si="3"/>
        <v>--</v>
      </c>
      <c r="P59" s="5" t="str">
        <f t="shared" si="4"/>
        <v>--</v>
      </c>
      <c r="Q59" s="5" t="str">
        <f t="shared" si="5"/>
        <v>--</v>
      </c>
      <c r="R59" s="5" t="str">
        <f t="shared" si="6"/>
        <v>--</v>
      </c>
      <c r="S59" s="5" t="str">
        <f t="shared" si="7"/>
        <v>--</v>
      </c>
      <c r="T59" s="5" t="str">
        <f t="shared" si="8"/>
        <v>--</v>
      </c>
      <c r="U59" s="5" t="str">
        <f t="shared" si="9"/>
        <v>--</v>
      </c>
      <c r="V59" s="5" t="str">
        <f t="shared" si="10"/>
        <v>--</v>
      </c>
      <c r="W59" s="5" t="str">
        <f t="shared" si="11"/>
        <v>--</v>
      </c>
      <c r="X59" s="5" t="str">
        <f t="shared" si="12"/>
        <v>--</v>
      </c>
      <c r="Y59" s="5"/>
    </row>
    <row r="60" spans="1:35" ht="15" customHeight="1">
      <c r="A60">
        <v>119</v>
      </c>
      <c r="B60" t="s">
        <v>105</v>
      </c>
      <c r="C60">
        <v>17447726936</v>
      </c>
      <c r="D60">
        <v>238.6078</v>
      </c>
      <c r="E60">
        <v>169.84</v>
      </c>
      <c r="F60">
        <v>134735</v>
      </c>
      <c r="G60" t="s">
        <v>102</v>
      </c>
      <c r="H60" t="s">
        <v>57</v>
      </c>
      <c r="I60" t="s">
        <v>57</v>
      </c>
      <c r="J60" t="s">
        <v>57</v>
      </c>
      <c r="K60" t="s">
        <v>57</v>
      </c>
      <c r="L60" s="5" t="str">
        <f t="shared" si="0"/>
        <v>--</v>
      </c>
      <c r="M60" s="5" t="str">
        <f t="shared" si="1"/>
        <v>--</v>
      </c>
      <c r="N60" s="5" t="str">
        <f t="shared" si="2"/>
        <v>RC</v>
      </c>
      <c r="O60" s="5" t="str">
        <f t="shared" si="3"/>
        <v>--</v>
      </c>
      <c r="P60" s="5" t="str">
        <f t="shared" si="4"/>
        <v>--</v>
      </c>
      <c r="Q60" s="5" t="str">
        <f t="shared" si="5"/>
        <v>RC</v>
      </c>
      <c r="R60" s="5" t="str">
        <f t="shared" si="6"/>
        <v>--</v>
      </c>
      <c r="S60" s="5" t="str">
        <f t="shared" si="7"/>
        <v>--</v>
      </c>
      <c r="T60" s="5" t="str">
        <f t="shared" si="8"/>
        <v>RC</v>
      </c>
      <c r="U60" s="5" t="str">
        <f t="shared" si="9"/>
        <v>--</v>
      </c>
      <c r="V60" s="5" t="str">
        <f t="shared" si="10"/>
        <v>--</v>
      </c>
      <c r="W60" s="5" t="str">
        <f t="shared" si="11"/>
        <v>RC</v>
      </c>
      <c r="X60" s="5" t="str">
        <f t="shared" si="12"/>
        <v>--</v>
      </c>
      <c r="Y60" s="5"/>
      <c r="Z60" s="2" t="s">
        <v>118</v>
      </c>
      <c r="AA60" s="2" t="s">
        <v>112</v>
      </c>
      <c r="AB60" s="2" t="s">
        <v>113</v>
      </c>
      <c r="AC60" s="2" t="s">
        <v>114</v>
      </c>
      <c r="AD60" s="2" t="s">
        <v>115</v>
      </c>
      <c r="AE60" s="2" t="s">
        <v>119</v>
      </c>
      <c r="AF60" s="2" t="s">
        <v>112</v>
      </c>
      <c r="AG60" s="2" t="s">
        <v>113</v>
      </c>
      <c r="AH60" s="2" t="s">
        <v>114</v>
      </c>
      <c r="AI60" s="2" t="s">
        <v>115</v>
      </c>
    </row>
    <row r="61" spans="1:35">
      <c r="A61">
        <v>121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102</v>
      </c>
      <c r="H61" t="s">
        <v>57</v>
      </c>
      <c r="I61" t="s">
        <v>57</v>
      </c>
      <c r="J61" t="s">
        <v>57</v>
      </c>
      <c r="K61" t="s">
        <v>57</v>
      </c>
      <c r="L61" s="5" t="str">
        <f t="shared" si="0"/>
        <v>--</v>
      </c>
      <c r="M61" s="5" t="str">
        <f t="shared" si="1"/>
        <v>--</v>
      </c>
      <c r="N61" s="5" t="str">
        <f t="shared" si="2"/>
        <v>--</v>
      </c>
      <c r="O61" s="5" t="str">
        <f t="shared" si="3"/>
        <v>--</v>
      </c>
      <c r="P61" s="5" t="str">
        <f t="shared" si="4"/>
        <v>--</v>
      </c>
      <c r="Q61" s="5" t="str">
        <f t="shared" si="5"/>
        <v>--</v>
      </c>
      <c r="R61" s="5" t="str">
        <f t="shared" si="6"/>
        <v>--</v>
      </c>
      <c r="S61" s="5" t="str">
        <f t="shared" si="7"/>
        <v>--</v>
      </c>
      <c r="T61" s="5" t="str">
        <f t="shared" si="8"/>
        <v>--</v>
      </c>
      <c r="U61" s="5" t="str">
        <f t="shared" si="9"/>
        <v>--</v>
      </c>
      <c r="V61" s="5" t="str">
        <f t="shared" si="10"/>
        <v>--</v>
      </c>
      <c r="W61" s="5" t="str">
        <f t="shared" si="11"/>
        <v>--</v>
      </c>
      <c r="X61" s="5" t="str">
        <f t="shared" si="12"/>
        <v>--</v>
      </c>
      <c r="Y61" s="5"/>
      <c r="Z61" s="5" t="s">
        <v>30</v>
      </c>
      <c r="AA61">
        <f>SUMIFS(C2:C68,C2:C68,"&gt;0",H2:H68,"&gt;0",$L$2:$L$68,TRUE)</f>
        <v>33045526342</v>
      </c>
      <c r="AB61">
        <f>SUMIFS(D2:D68,D2:D68,"&gt;0",I2:I68,"&gt;0",$L$2:$L$68,TRUE)</f>
        <v>397.97649999999999</v>
      </c>
      <c r="AC61">
        <f>SUMIFS(E2:E68,E2:E68,"&gt;0",J2:J68,"&gt;0",$L$2:$L$68,TRUE)</f>
        <v>306.07059999999996</v>
      </c>
      <c r="AD61">
        <f>SUMIFS(F2:F68,F2:F68,"&gt;0",K2:K68,"&gt;0",$L$2:$L$68,TRUE)</f>
        <v>261522</v>
      </c>
      <c r="AE61" s="5" t="s">
        <v>30</v>
      </c>
      <c r="AF61">
        <f>SUMIFS(C2:C68,C2:C68,"&gt;0",H2:H68,"&gt;0",$L$2:$L$68,FALSE)</f>
        <v>2146403067</v>
      </c>
      <c r="AG61">
        <f>SUMIFS(D2:D68,D2:D68,"&gt;0",I2:I68,"&gt;0",$L$2:$L$68,FALSE)</f>
        <v>20.231099999999994</v>
      </c>
      <c r="AH61">
        <f>SUMIFS(E2:E68,E2:E68,"&gt;0",J2:J68,"&gt;0",$L$2:$L$68,FALSE)</f>
        <v>19.628800000000002</v>
      </c>
      <c r="AI61">
        <f>SUMIFS(F2:F68,F2:F68,"&gt;0",K2:K68,"&gt;0",$L$2:$L$68,FALSE)</f>
        <v>9201</v>
      </c>
    </row>
    <row r="62" spans="1:35">
      <c r="A62">
        <v>123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102</v>
      </c>
      <c r="H62" t="s">
        <v>57</v>
      </c>
      <c r="I62" t="s">
        <v>57</v>
      </c>
      <c r="J62" t="s">
        <v>57</v>
      </c>
      <c r="K62" t="s">
        <v>57</v>
      </c>
      <c r="L62" s="5" t="str">
        <f t="shared" si="0"/>
        <v>--</v>
      </c>
      <c r="M62" s="5" t="str">
        <f t="shared" si="1"/>
        <v>--</v>
      </c>
      <c r="N62" s="5" t="str">
        <f t="shared" si="2"/>
        <v>--</v>
      </c>
      <c r="O62" s="5" t="str">
        <f t="shared" si="3"/>
        <v>--</v>
      </c>
      <c r="P62" s="5" t="str">
        <f t="shared" si="4"/>
        <v>--</v>
      </c>
      <c r="Q62" s="5" t="str">
        <f t="shared" si="5"/>
        <v>--</v>
      </c>
      <c r="R62" s="5" t="str">
        <f t="shared" si="6"/>
        <v>--</v>
      </c>
      <c r="S62" s="5" t="str">
        <f t="shared" si="7"/>
        <v>--</v>
      </c>
      <c r="T62" s="5" t="str">
        <f t="shared" si="8"/>
        <v>--</v>
      </c>
      <c r="U62" s="5" t="str">
        <f t="shared" si="9"/>
        <v>--</v>
      </c>
      <c r="V62" s="5" t="str">
        <f t="shared" si="10"/>
        <v>--</v>
      </c>
      <c r="W62" s="5" t="str">
        <f t="shared" si="11"/>
        <v>--</v>
      </c>
      <c r="X62" s="5" t="str">
        <f t="shared" si="12"/>
        <v>--</v>
      </c>
      <c r="Y62" s="5"/>
      <c r="Z62" s="5" t="s">
        <v>31</v>
      </c>
      <c r="AA62">
        <f>SUMIFS(H2:H68,C2:C68,"&gt;0",H2:H68,"&gt;0",$L$2:$L$68,TRUE)</f>
        <v>29397603678</v>
      </c>
      <c r="AB62">
        <f>SUMIFS(I2:I68,D2:D68,"&gt;0",I2:I68,"&gt;0",$L$2:$L$68,TRUE)</f>
        <v>705.44680000000005</v>
      </c>
      <c r="AC62">
        <f>SUMIFS(J2:J68,E2:E68,"&gt;0",J2:J68,"&gt;0",$L$2:$L$68,TRUE)</f>
        <v>401.80119999999999</v>
      </c>
      <c r="AD62">
        <f>SUMIFS(K2:K68,F2:F68,"&gt;0",K2:K68,"&gt;0",$L$2:$L$68,TRUE)</f>
        <v>261858</v>
      </c>
      <c r="AE62" s="5" t="s">
        <v>31</v>
      </c>
      <c r="AF62">
        <f>SUMIFS(H2:H68,C2:C68,"&gt;0",H2:H68,"&gt;0",$L$2:$L$68,FALSE)</f>
        <v>5706183905</v>
      </c>
      <c r="AG62">
        <f>SUMIFS(I2:I68,D2:D68,"&gt;0",I2:I68,"&gt;0",$L$2:$L$68,FALSE)</f>
        <v>77.325100000000006</v>
      </c>
      <c r="AH62">
        <f>SUMIFS(J2:J68,E2:E68,"&gt;0",J2:J68,"&gt;0",$L$2:$L$68,FALSE)</f>
        <v>70.024999999999991</v>
      </c>
      <c r="AI62">
        <f>SUMIFS(K2:K68,F2:F68,"&gt;0",K2:K68,"&gt;0",$L$2:$L$68,FALSE)</f>
        <v>58859</v>
      </c>
    </row>
    <row r="63" spans="1:35">
      <c r="A63">
        <v>125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102</v>
      </c>
      <c r="H63" t="s">
        <v>57</v>
      </c>
      <c r="I63" t="s">
        <v>57</v>
      </c>
      <c r="J63" t="s">
        <v>57</v>
      </c>
      <c r="K63" t="s">
        <v>57</v>
      </c>
      <c r="L63" s="5" t="str">
        <f t="shared" si="0"/>
        <v>--</v>
      </c>
      <c r="M63" s="5" t="str">
        <f t="shared" si="1"/>
        <v>--</v>
      </c>
      <c r="N63" s="5" t="str">
        <f t="shared" si="2"/>
        <v>--</v>
      </c>
      <c r="O63" s="5" t="str">
        <f t="shared" si="3"/>
        <v>--</v>
      </c>
      <c r="P63" s="5" t="str">
        <f t="shared" si="4"/>
        <v>--</v>
      </c>
      <c r="Q63" s="5" t="str">
        <f t="shared" si="5"/>
        <v>--</v>
      </c>
      <c r="R63" s="5" t="str">
        <f t="shared" si="6"/>
        <v>--</v>
      </c>
      <c r="S63" s="5" t="str">
        <f t="shared" si="7"/>
        <v>--</v>
      </c>
      <c r="T63" s="5" t="str">
        <f t="shared" si="8"/>
        <v>--</v>
      </c>
      <c r="U63" s="5" t="str">
        <f t="shared" si="9"/>
        <v>--</v>
      </c>
      <c r="V63" s="5" t="str">
        <f t="shared" si="10"/>
        <v>--</v>
      </c>
      <c r="W63" s="5" t="str">
        <f t="shared" si="11"/>
        <v>--</v>
      </c>
      <c r="X63" s="5" t="str">
        <f t="shared" si="12"/>
        <v>--</v>
      </c>
      <c r="Y63" s="5"/>
    </row>
    <row r="64" spans="1:35">
      <c r="A64">
        <v>126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102</v>
      </c>
      <c r="H64" t="s">
        <v>57</v>
      </c>
      <c r="I64" t="s">
        <v>57</v>
      </c>
      <c r="J64" t="s">
        <v>57</v>
      </c>
      <c r="K64" t="s">
        <v>57</v>
      </c>
      <c r="L64" s="5" t="str">
        <f t="shared" si="0"/>
        <v>--</v>
      </c>
      <c r="M64" s="5" t="str">
        <f t="shared" si="1"/>
        <v>--</v>
      </c>
      <c r="N64" s="5" t="str">
        <f t="shared" si="2"/>
        <v>--</v>
      </c>
      <c r="O64" s="5" t="str">
        <f t="shared" si="3"/>
        <v>--</v>
      </c>
      <c r="P64" s="5" t="str">
        <f t="shared" si="4"/>
        <v>--</v>
      </c>
      <c r="Q64" s="5" t="str">
        <f t="shared" si="5"/>
        <v>--</v>
      </c>
      <c r="R64" s="5" t="str">
        <f t="shared" si="6"/>
        <v>--</v>
      </c>
      <c r="S64" s="5" t="str">
        <f t="shared" si="7"/>
        <v>--</v>
      </c>
      <c r="T64" s="5" t="str">
        <f t="shared" si="8"/>
        <v>--</v>
      </c>
      <c r="U64" s="5" t="str">
        <f t="shared" si="9"/>
        <v>--</v>
      </c>
      <c r="V64" s="5" t="str">
        <f t="shared" si="10"/>
        <v>--</v>
      </c>
      <c r="W64" s="5" t="str">
        <f t="shared" si="11"/>
        <v>--</v>
      </c>
      <c r="X64" s="5" t="str">
        <f t="shared" si="12"/>
        <v>--</v>
      </c>
      <c r="Y64" s="5"/>
    </row>
    <row r="65" spans="1:35">
      <c r="A65">
        <v>128</v>
      </c>
      <c r="B65" t="s">
        <v>106</v>
      </c>
      <c r="C65">
        <v>11932030212</v>
      </c>
      <c r="D65">
        <v>144.62809999999999</v>
      </c>
      <c r="E65">
        <v>110.66459999999999</v>
      </c>
      <c r="F65">
        <v>93723</v>
      </c>
      <c r="G65" t="s">
        <v>106</v>
      </c>
      <c r="H65">
        <v>11073697273</v>
      </c>
      <c r="I65">
        <v>293.74529999999999</v>
      </c>
      <c r="J65">
        <v>155.48929999999999</v>
      </c>
      <c r="K65">
        <v>93737</v>
      </c>
      <c r="L65" s="5" t="b">
        <f t="shared" si="0"/>
        <v>1</v>
      </c>
      <c r="M65" s="5">
        <f t="shared" si="1"/>
        <v>858332939</v>
      </c>
      <c r="N65" s="5" t="str">
        <f t="shared" si="2"/>
        <v>QE</v>
      </c>
      <c r="O65" s="5" t="str">
        <f t="shared" si="3"/>
        <v>92.806%</v>
      </c>
      <c r="P65" s="5">
        <f t="shared" si="4"/>
        <v>-149.1172</v>
      </c>
      <c r="Q65" s="5" t="str">
        <f t="shared" si="5"/>
        <v>RC</v>
      </c>
      <c r="R65" s="5" t="str">
        <f t="shared" si="6"/>
        <v>49.236%</v>
      </c>
      <c r="S65" s="5">
        <f t="shared" si="7"/>
        <v>-44.824699999999993</v>
      </c>
      <c r="T65" s="5" t="str">
        <f t="shared" si="8"/>
        <v>RC</v>
      </c>
      <c r="U65" s="5" t="str">
        <f t="shared" si="9"/>
        <v>71.172%</v>
      </c>
      <c r="V65" s="5">
        <f t="shared" si="10"/>
        <v>-14</v>
      </c>
      <c r="W65" s="5" t="str">
        <f t="shared" si="11"/>
        <v>RC</v>
      </c>
      <c r="X65" s="5" t="str">
        <f t="shared" si="12"/>
        <v>99.985%</v>
      </c>
      <c r="Y65" s="5"/>
      <c r="Z65" t="s">
        <v>116</v>
      </c>
      <c r="AA65" s="23">
        <f>AA61/AA62</f>
        <v>1.1240891163768549</v>
      </c>
      <c r="AB65" s="23">
        <f>AB61/AB62</f>
        <v>0.56414813987390677</v>
      </c>
      <c r="AC65" s="23">
        <f>AC61/AC62</f>
        <v>0.7617463561582194</v>
      </c>
      <c r="AD65" s="23">
        <f>AD61/AD62</f>
        <v>0.9987168618105996</v>
      </c>
      <c r="AE65" t="s">
        <v>116</v>
      </c>
      <c r="AF65" s="23">
        <f>AF61/AF62</f>
        <v>0.37615385391263517</v>
      </c>
      <c r="AG65" s="23">
        <f>AG61/AG62</f>
        <v>0.26163690703277453</v>
      </c>
      <c r="AH65" s="23">
        <f>AH61/AH62</f>
        <v>0.28031131738664766</v>
      </c>
      <c r="AI65" s="23">
        <f>AI61/AI62</f>
        <v>0.15632273738935423</v>
      </c>
    </row>
    <row r="66" spans="1:35">
      <c r="A66">
        <v>129</v>
      </c>
      <c r="B66" t="s">
        <v>106</v>
      </c>
      <c r="C66">
        <v>4434728885</v>
      </c>
      <c r="D66">
        <v>52.426600000000001</v>
      </c>
      <c r="E66">
        <v>40.4833</v>
      </c>
      <c r="F66">
        <v>35729</v>
      </c>
      <c r="G66" t="s">
        <v>106</v>
      </c>
      <c r="H66">
        <v>3560301850</v>
      </c>
      <c r="I66">
        <v>67.143799999999999</v>
      </c>
      <c r="J66">
        <v>45.303800000000003</v>
      </c>
      <c r="K66">
        <v>35743</v>
      </c>
      <c r="L66" s="5" t="b">
        <f t="shared" si="0"/>
        <v>1</v>
      </c>
      <c r="M66" s="5">
        <f t="shared" si="1"/>
        <v>874427035</v>
      </c>
      <c r="N66" s="5" t="str">
        <f t="shared" si="2"/>
        <v>QE</v>
      </c>
      <c r="O66" s="5" t="str">
        <f t="shared" si="3"/>
        <v>80.282%</v>
      </c>
      <c r="P66" s="5">
        <f t="shared" si="4"/>
        <v>-14.717199999999998</v>
      </c>
      <c r="Q66" s="5" t="str">
        <f t="shared" si="5"/>
        <v>RC</v>
      </c>
      <c r="R66" s="5" t="str">
        <f t="shared" si="6"/>
        <v>78.081%</v>
      </c>
      <c r="S66" s="5">
        <f t="shared" si="7"/>
        <v>-4.8205000000000027</v>
      </c>
      <c r="T66" s="5" t="str">
        <f t="shared" si="8"/>
        <v>RC</v>
      </c>
      <c r="U66" s="5" t="str">
        <f t="shared" si="9"/>
        <v>89.360%</v>
      </c>
      <c r="V66" s="5">
        <f t="shared" si="10"/>
        <v>-14</v>
      </c>
      <c r="W66" s="5" t="str">
        <f t="shared" si="11"/>
        <v>RC</v>
      </c>
      <c r="X66" s="5" t="str">
        <f t="shared" si="12"/>
        <v>99.961%</v>
      </c>
      <c r="Y66" s="5"/>
      <c r="Z66" t="s">
        <v>117</v>
      </c>
      <c r="AA66" s="23">
        <f>1/AA65</f>
        <v>0.88960918260927846</v>
      </c>
      <c r="AB66" s="23">
        <f>1/AB65</f>
        <v>1.7725840596115603</v>
      </c>
      <c r="AC66" s="23">
        <f>1/AC65</f>
        <v>1.3127729353946445</v>
      </c>
      <c r="AD66" s="23">
        <f>1/AD65</f>
        <v>1.0012847867483425</v>
      </c>
      <c r="AE66" t="s">
        <v>117</v>
      </c>
      <c r="AF66" s="23">
        <f>1/AF65</f>
        <v>2.6584866527308217</v>
      </c>
      <c r="AG66" s="23">
        <f>1/AG65</f>
        <v>3.8220907414821745</v>
      </c>
      <c r="AH66" s="23">
        <f>1/AH65</f>
        <v>3.5674620965112482</v>
      </c>
      <c r="AI66" s="23">
        <f>1/AI65</f>
        <v>6.397022062819258</v>
      </c>
    </row>
    <row r="67" spans="1:35">
      <c r="A67">
        <v>131</v>
      </c>
      <c r="B67" t="s">
        <v>106</v>
      </c>
      <c r="C67">
        <v>11940023970</v>
      </c>
      <c r="D67">
        <v>146.17339999999999</v>
      </c>
      <c r="E67">
        <v>111.38509999999999</v>
      </c>
      <c r="F67">
        <v>93723</v>
      </c>
      <c r="G67" t="s">
        <v>106</v>
      </c>
      <c r="H67">
        <v>11033382004</v>
      </c>
      <c r="I67">
        <v>285.6234</v>
      </c>
      <c r="J67">
        <v>154.6217</v>
      </c>
      <c r="K67">
        <v>93737</v>
      </c>
      <c r="L67" s="5" t="b">
        <f>IF(OR(ISNUMBER(SEARCH("ERROR", B67)), ISNUMBER(SEARCH("ERROR", G67)), ISNUMBER(SEARCH("TIME OUT", B67)), ISNUMBER(SEARCH("TIME OUT", G67))), "--", B67=G67)</f>
        <v>1</v>
      </c>
      <c r="M67" s="5">
        <f>IF(OR(ISNUMBER(SEARCH("ERROR", C67)), ISNUMBER(SEARCH("ERROR", H67)), ISNUMBER(SEARCH("TIME OUT", C67)), ISNUMBER(SEARCH("TIME OUT", H67))),"--",C67-H67)</f>
        <v>906641966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QE</v>
      </c>
      <c r="O67" s="5" t="str">
        <f>IF(M67="--","--",TEXT(MIN(C67,H67)/MAX(C67,H67),"0.000%"))</f>
        <v>92.407%</v>
      </c>
      <c r="P67" s="5">
        <f>IF(OR(ISNUMBER(SEARCH("ERROR", D67)), ISNUMBER(SEARCH("ERROR", I67)), ISNUMBER(SEARCH("TIME OUT", D67)), ISNUMBER(SEARCH("TIME OUT", I67))),"--",D67-I67)</f>
        <v>-139.45000000000002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RC</v>
      </c>
      <c r="R67" s="5" t="str">
        <f>IF(P67="--","--",TEXT(MIN(D67,I67)/MAX(D67,I67),"0.000%"))</f>
        <v>51.177%</v>
      </c>
      <c r="S67" s="5">
        <f>IF(OR(ISNUMBER(SEARCH("ERROR", E67)), ISNUMBER(SEARCH("ERROR", J67)), ISNUMBER(SEARCH("TIME OUT", E67)), ISNUMBER(SEARCH("TIME OUT", J67))),"--",E67-J67)</f>
        <v>-43.23660000000001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RC</v>
      </c>
      <c r="U67" s="5" t="str">
        <f>IF(S67="--","--",TEXT(MIN(E67,J67)/MAX(E67,J67),"0.000%"))</f>
        <v>72.037%</v>
      </c>
      <c r="V67" s="5">
        <f>IF(OR(ISNUMBER(SEARCH("ERROR", F67)), ISNUMBER(SEARCH("ERROR", K67)), ISNUMBER(SEARCH("TIME OUT", F67)), ISNUMBER(SEARCH("TIME OUT", K67))),"--",F67-K67)</f>
        <v>-14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RC</v>
      </c>
      <c r="X67" s="5" t="str">
        <f>IF(V67="--","--",TEXT(MIN(F67,K67)/MAX(F67,K67),"0.000%"))</f>
        <v>99.985%</v>
      </c>
      <c r="Y67" s="5"/>
    </row>
    <row r="68" spans="1:35">
      <c r="A68">
        <v>132</v>
      </c>
      <c r="B68" t="s">
        <v>106</v>
      </c>
      <c r="C68">
        <v>4429173089</v>
      </c>
      <c r="D68">
        <v>51.774999999999999</v>
      </c>
      <c r="E68">
        <v>40.6066</v>
      </c>
      <c r="F68">
        <v>35729</v>
      </c>
      <c r="G68" t="s">
        <v>106</v>
      </c>
      <c r="H68">
        <v>3510761315</v>
      </c>
      <c r="I68">
        <v>56.378100000000003</v>
      </c>
      <c r="J68">
        <v>43.883299999999998</v>
      </c>
      <c r="K68">
        <v>35743</v>
      </c>
      <c r="L68" s="5" t="b">
        <f>IF(OR(ISNUMBER(SEARCH("ERROR", B68)), ISNUMBER(SEARCH("ERROR", G68)), ISNUMBER(SEARCH("TIME OUT", B68)), ISNUMBER(SEARCH("TIME OUT", G68))), "--", B68=G68)</f>
        <v>1</v>
      </c>
      <c r="M68" s="5">
        <f>IF(OR(ISNUMBER(SEARCH("ERROR", C68)), ISNUMBER(SEARCH("ERROR", H68)), ISNUMBER(SEARCH("TIME OUT", C68)), ISNUMBER(SEARCH("TIME OUT", H68))),"--",C68-H68)</f>
        <v>918411774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QE</v>
      </c>
      <c r="O68" s="5" t="str">
        <f>IF(M68="--","--",TEXT(MIN(C68,H68)/MAX(C68,H68),"0.000%"))</f>
        <v>79.264%</v>
      </c>
      <c r="P68" s="5">
        <f>IF(OR(ISNUMBER(SEARCH("ERROR", D68)), ISNUMBER(SEARCH("ERROR", I68)), ISNUMBER(SEARCH("TIME OUT", D68)), ISNUMBER(SEARCH("TIME OUT", I68))),"--",D68-I68)</f>
        <v>-4.6031000000000049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RC</v>
      </c>
      <c r="R68" s="5" t="str">
        <f>IF(P68="--","--",TEXT(MIN(D68,I68)/MAX(D68,I68),"0.000%"))</f>
        <v>91.835%</v>
      </c>
      <c r="S68" s="5">
        <f>IF(OR(ISNUMBER(SEARCH("ERROR", E68)), ISNUMBER(SEARCH("ERROR", J68)), ISNUMBER(SEARCH("TIME OUT", E68)), ISNUMBER(SEARCH("TIME OUT", J68))),"--",E68-J68)</f>
        <v>-3.2766999999999982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RC</v>
      </c>
      <c r="U68" s="5" t="str">
        <f>IF(S68="--","--",TEXT(MIN(E68,J68)/MAX(E68,J68),"0.000%"))</f>
        <v>92.533%</v>
      </c>
      <c r="V68" s="5">
        <f>IF(OR(ISNUMBER(SEARCH("ERROR", F68)), ISNUMBER(SEARCH("ERROR", K68)), ISNUMBER(SEARCH("TIME OUT", F68)), ISNUMBER(SEARCH("TIME OUT", K68))),"--",F68-K68)</f>
        <v>-14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RC</v>
      </c>
      <c r="X68" s="5" t="str">
        <f>IF(V68="--","--",TEXT(MIN(F68,K68)/MAX(F68,K68),"0.000%"))</f>
        <v>99.961%</v>
      </c>
      <c r="Y68" s="5"/>
    </row>
    <row r="70" spans="1:35">
      <c r="N70" s="5"/>
    </row>
    <row r="81" spans="27:30">
      <c r="AA81" s="2"/>
      <c r="AB81" s="2"/>
      <c r="AC81" s="2"/>
      <c r="AD81" s="2"/>
    </row>
  </sheetData>
  <autoFilter ref="A1:X68" xr:uid="{1FBE0BE5-CF3B-4A07-A181-FAE6F4256769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31" priority="22" operator="containsText" text="ERROR">
      <formula>NOT(ISERROR(SEARCH("ERROR",A1)))</formula>
    </cfRule>
    <cfRule type="containsText" dxfId="30" priority="28" operator="containsText" text="TIME OUT">
      <formula>NOT(ISERROR(SEARCH("TIME OUT",A1)))</formula>
    </cfRule>
  </conditionalFormatting>
  <conditionalFormatting sqref="L2:L69 L71:L1048576">
    <cfRule type="cellIs" dxfId="29" priority="24" operator="equal">
      <formula>TRUE</formula>
    </cfRule>
  </conditionalFormatting>
  <conditionalFormatting sqref="L1:S1 X1:AG1">
    <cfRule type="containsText" dxfId="28" priority="23" operator="containsText" text="TIME OUT">
      <formula>NOT(ISERROR(SEARCH("TIME OUT",L1)))</formula>
    </cfRule>
  </conditionalFormatting>
  <conditionalFormatting sqref="Z41:AD41">
    <cfRule type="containsText" dxfId="27" priority="10" operator="containsText" text="TIME OUT">
      <formula>NOT(ISERROR(SEARCH("TIME OUT",Z41)))</formula>
    </cfRule>
  </conditionalFormatting>
  <conditionalFormatting sqref="Z60:AI60">
    <cfRule type="containsText" dxfId="26" priority="2" operator="containsText" text="TIME OUT">
      <formula>NOT(ISERROR(SEARCH("TIME OUT",Z60)))</formula>
    </cfRule>
  </conditionalFormatting>
  <conditionalFormatting sqref="AA81:AD81">
    <cfRule type="containsText" dxfId="25" priority="1" operator="containsText" text="TIME OUT">
      <formula>NOT(ISERROR(SEARCH("TIME OUT",AA81)))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85CA-D87F-4980-BF1E-6D3E1B06F0E1}">
  <dimension ref="A1:AQ70"/>
  <sheetViews>
    <sheetView zoomScale="80" zoomScaleNormal="80" workbookViewId="0">
      <pane xSplit="1" ySplit="1" topLeftCell="H5" activePane="bottomRight" state="frozen"/>
      <selection pane="topRight" activeCell="B1" sqref="B1"/>
      <selection pane="bottomLeft" activeCell="A2" sqref="A2"/>
      <selection pane="bottomRight" activeCell="Z35" sqref="Z35"/>
    </sheetView>
  </sheetViews>
  <sheetFormatPr defaultRowHeight="1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24" t="s">
        <v>120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>
      <c r="A2">
        <v>17</v>
      </c>
      <c r="B2" t="s">
        <v>100</v>
      </c>
      <c r="C2">
        <v>19837390</v>
      </c>
      <c r="D2">
        <v>0.16880000000000001</v>
      </c>
      <c r="E2">
        <v>0.16950000000000001</v>
      </c>
      <c r="F2">
        <v>177</v>
      </c>
      <c r="G2" t="s">
        <v>100</v>
      </c>
      <c r="H2">
        <v>13108624</v>
      </c>
      <c r="I2">
        <v>0.13900000000000001</v>
      </c>
      <c r="J2">
        <v>0.1384</v>
      </c>
      <c r="K2">
        <v>177</v>
      </c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6728766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QE</v>
      </c>
      <c r="O2" s="5" t="str">
        <f>IF(M2="--","--",TEXT(MIN(C2,H2)/MAX(C2,H2),"0.000%"))</f>
        <v>66.080%</v>
      </c>
      <c r="P2" s="5">
        <f>IF(OR(ISNUMBER(SEARCH("ERROR", D2)), ISNUMBER(SEARCH("ERROR", I2)), ISNUMBER(SEARCH("TIME OUT", D2)), ISNUMBER(SEARCH("TIME OUT", I2))),"--",D2-I2)</f>
        <v>2.9799999999999993E-2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QE</v>
      </c>
      <c r="R2" s="5" t="str">
        <f>IF(P2="--","--",TEXT(MIN(D2,I2)/MAX(D2,I2),"0.000%"))</f>
        <v>82.346%</v>
      </c>
      <c r="S2" s="5">
        <f>IF(OR(ISNUMBER(SEARCH("ERROR", E2)), ISNUMBER(SEARCH("ERROR", J2)), ISNUMBER(SEARCH("TIME OUT", E2)), ISNUMBER(SEARCH("TIME OUT", J2))),"--",E2-J2)</f>
        <v>3.1100000000000017E-2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QE</v>
      </c>
      <c r="U2" s="5" t="str">
        <f>IF(S2="--","--",TEXT(MIN(E2,J2)/MAX(E2,J2),"0.000%"))</f>
        <v>81.652%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str">
        <f>IF(V2="--","--",TEXT(MIN(F2,K2)/MAX(F2,K2),"0.000%"))</f>
        <v>100.000%</v>
      </c>
      <c r="Y2" s="5" t="b">
        <f>G2='5'!G2</f>
        <v>1</v>
      </c>
      <c r="Z2">
        <f>AVERAGE(C:C)</f>
        <v>512965304.23880595</v>
      </c>
      <c r="AA2">
        <f>AVERAGE(D:D)</f>
        <v>5.5177014925373138</v>
      </c>
      <c r="AB2">
        <f>AVERAGE(E:E)</f>
        <v>4.6453820895522391</v>
      </c>
      <c r="AC2">
        <f>AVERAGE(F:F)</f>
        <v>3252.6417910447763</v>
      </c>
      <c r="AD2">
        <f>AVERAGE(H:H)</f>
        <v>411455226.38805968</v>
      </c>
      <c r="AE2">
        <f>AVERAGE(I:I)</f>
        <v>5.9992014925373125</v>
      </c>
      <c r="AF2">
        <f>AVERAGE(J:J)</f>
        <v>4.8970089552238818</v>
      </c>
      <c r="AG2">
        <f>AVERAGE(K:K)</f>
        <v>3667.1194029850744</v>
      </c>
      <c r="AH2">
        <f>AVERAGE(M:M)</f>
        <v>101510077.85074627</v>
      </c>
      <c r="AI2">
        <f>AVERAGE(P:P)</f>
        <v>-0.48149999999999982</v>
      </c>
      <c r="AJ2">
        <f>AVERAGE(S:S)</f>
        <v>-0.25162686567164183</v>
      </c>
      <c r="AK2">
        <f>AVERAGE(V:V)</f>
        <v>-414.47761194029852</v>
      </c>
    </row>
    <row r="3" spans="1:43">
      <c r="A3">
        <v>19</v>
      </c>
      <c r="B3" t="s">
        <v>100</v>
      </c>
      <c r="C3">
        <v>18520615</v>
      </c>
      <c r="D3">
        <v>0.16569999999999999</v>
      </c>
      <c r="E3">
        <v>0.16220000000000001</v>
      </c>
      <c r="F3">
        <v>159</v>
      </c>
      <c r="G3" t="s">
        <v>100</v>
      </c>
      <c r="H3">
        <v>13103042</v>
      </c>
      <c r="I3">
        <v>0.13900000000000001</v>
      </c>
      <c r="J3">
        <v>0.13619999999999999</v>
      </c>
      <c r="K3">
        <v>177</v>
      </c>
      <c r="L3" s="5" t="b">
        <f t="shared" ref="L3:L66" si="0">IF(OR(ISNUMBER(SEARCH("ERROR", B3)), ISNUMBER(SEARCH("ERROR", G3)), ISNUMBER(SEARCH("TIME OUT", B3)), ISNUMBER(SEARCH("TIME OUT", G3))), "--", B3=G3)</f>
        <v>1</v>
      </c>
      <c r="M3" s="5">
        <f t="shared" ref="M3:M66" si="1">IF(OR(ISNUMBER(SEARCH("ERROR", C3)), ISNUMBER(SEARCH("ERROR", H3)), ISNUMBER(SEARCH("TIME OUT", C3)), ISNUMBER(SEARCH("TIME OUT", H3))),"--",C3-H3)</f>
        <v>5417573</v>
      </c>
      <c r="N3" s="5" t="str">
        <f t="shared" ref="N3:N66" si="2">IF(AND(OR(ISNUMBER(SEARCH("TIME OUT", C3)), ISNUMBER(SEARCH("ERROR", C3))), OR(ISNUMBER(SEARCH("TIME OUT", H3)), ISNUMBER(SEARCH("ERROR", H3)))), "--", IF(OR(ISNUMBER(SEARCH("TIME OUT", C3)), ISNUMBER(SEARCH("ERROR", C3))), "QE", IF(OR(ISNUMBER(SEARCH("TIME OUT", H3)), ISNUMBER(SEARCH("ERROR", H3))), "RC", IF(M3=0, "TIE", IF(M3&gt;0, "QE", "RC")))))</f>
        <v>QE</v>
      </c>
      <c r="O3" s="5" t="str">
        <f t="shared" ref="O3:O66" si="3">IF(M3="--","--",TEXT(MIN(C3,H3)/MAX(C3,H3),"0.000%"))</f>
        <v>70.748%</v>
      </c>
      <c r="P3" s="5">
        <f t="shared" ref="P3:P66" si="4">IF(OR(ISNUMBER(SEARCH("ERROR", D3)), ISNUMBER(SEARCH("ERROR", I3)), ISNUMBER(SEARCH("TIME OUT", D3)), ISNUMBER(SEARCH("TIME OUT", I3))),"--",D3-I3)</f>
        <v>2.6699999999999974E-2</v>
      </c>
      <c r="Q3" s="5" t="str">
        <f t="shared" ref="Q3:Q66" si="5">IF(AND(OR(ISNUMBER(SEARCH("TIME OUT", D3)), ISNUMBER(SEARCH("ERROR", D3))), OR(ISNUMBER(SEARCH("TIME OUT", I3)), ISNUMBER(SEARCH("ERROR", I3)))), "--", IF(OR(ISNUMBER(SEARCH("TIME OUT", D3)), ISNUMBER(SEARCH("ERROR", D3))), "QE", IF(OR(ISNUMBER(SEARCH("TIME OUT", I3)), ISNUMBER(SEARCH("ERROR", I3))), "RC", IF(P3=0, "TIE", IF(P3&gt;0, "QE", "RC")))))</f>
        <v>QE</v>
      </c>
      <c r="R3" s="5" t="str">
        <f t="shared" ref="R3:R66" si="6">IF(P3="--","--",TEXT(MIN(D3,I3)/MAX(D3,I3),"0.000%"))</f>
        <v>83.887%</v>
      </c>
      <c r="S3" s="5">
        <f t="shared" ref="S3:S66" si="7">IF(OR(ISNUMBER(SEARCH("ERROR", E3)), ISNUMBER(SEARCH("ERROR", J3)), ISNUMBER(SEARCH("TIME OUT", E3)), ISNUMBER(SEARCH("TIME OUT", J3))),"--",E3-J3)</f>
        <v>2.6000000000000023E-2</v>
      </c>
      <c r="T3" s="5" t="str">
        <f t="shared" ref="T3:T66" si="8">IF(AND(OR(ISNUMBER(SEARCH("TIME OUT", E3)), ISNUMBER(SEARCH("ERROR", E3))), OR(ISNUMBER(SEARCH("TIME OUT", J3)), ISNUMBER(SEARCH("ERROR", J3)))), "--", IF(OR(ISNUMBER(SEARCH("TIME OUT", E3)), ISNUMBER(SEARCH("ERROR", E3))), "QE", IF(OR(ISNUMBER(SEARCH("TIME OUT", J3)), ISNUMBER(SEARCH("ERROR", J3))), "RC", IF(S3=0, "TIE", IF(S3&gt;0, "QE", "RC")))))</f>
        <v>QE</v>
      </c>
      <c r="U3" s="5" t="str">
        <f t="shared" ref="U3:U66" si="9">IF(S3="--","--",TEXT(MIN(E3,J3)/MAX(E3,J3),"0.000%"))</f>
        <v>83.970%</v>
      </c>
      <c r="V3" s="5">
        <f t="shared" ref="V3:V66" si="10">IF(OR(ISNUMBER(SEARCH("ERROR", F3)), ISNUMBER(SEARCH("ERROR", K3)), ISNUMBER(SEARCH("TIME OUT", F3)), ISNUMBER(SEARCH("TIME OUT", K3))),"--",F3-K3)</f>
        <v>-18</v>
      </c>
      <c r="W3" s="5" t="str">
        <f t="shared" ref="W3:W66" si="11">IF(AND(OR(ISNUMBER(SEARCH("TIME OUT", F3)), ISNUMBER(SEARCH("ERROR", F3))), OR(ISNUMBER(SEARCH("TIME OUT", K3)), ISNUMBER(SEARCH("ERROR", K3)))), "--", IF(OR(ISNUMBER(SEARCH("TIME OUT", F3)), ISNUMBER(SEARCH("ERROR", F3))), "QE", IF(OR(ISNUMBER(SEARCH("TIME OUT", K3)), ISNUMBER(SEARCH("ERROR", K3))), "RC", IF(V3=0, "TIE", IF(V3&gt;0, "QE", "RC")))))</f>
        <v>RC</v>
      </c>
      <c r="X3" s="5" t="str">
        <f t="shared" ref="X3:X66" si="12">IF(V3="--","--",TEXT(MIN(F3,K3)/MAX(F3,K3),"0.000%"))</f>
        <v>89.831%</v>
      </c>
      <c r="Y3" s="5" t="b">
        <f>G3='5'!G3</f>
        <v>1</v>
      </c>
    </row>
    <row r="4" spans="1:43">
      <c r="A4">
        <v>20</v>
      </c>
      <c r="B4" t="s">
        <v>100</v>
      </c>
      <c r="C4">
        <v>38373508</v>
      </c>
      <c r="D4">
        <v>0.35149999999999998</v>
      </c>
      <c r="E4">
        <v>0.34449999999999997</v>
      </c>
      <c r="F4">
        <v>327</v>
      </c>
      <c r="G4" t="s">
        <v>100</v>
      </c>
      <c r="H4">
        <v>24110344</v>
      </c>
      <c r="I4">
        <v>0.2641</v>
      </c>
      <c r="J4">
        <v>0.25619999999999998</v>
      </c>
      <c r="K4">
        <v>327</v>
      </c>
      <c r="L4" s="5" t="b">
        <f t="shared" si="0"/>
        <v>1</v>
      </c>
      <c r="M4" s="5">
        <f t="shared" si="1"/>
        <v>14263164</v>
      </c>
      <c r="N4" s="5" t="str">
        <f t="shared" si="2"/>
        <v>QE</v>
      </c>
      <c r="O4" s="5" t="str">
        <f t="shared" si="3"/>
        <v>62.831%</v>
      </c>
      <c r="P4" s="5">
        <f t="shared" si="4"/>
        <v>8.7399999999999978E-2</v>
      </c>
      <c r="Q4" s="5" t="str">
        <f t="shared" si="5"/>
        <v>QE</v>
      </c>
      <c r="R4" s="5" t="str">
        <f t="shared" si="6"/>
        <v>75.135%</v>
      </c>
      <c r="S4" s="5">
        <f t="shared" si="7"/>
        <v>8.829999999999999E-2</v>
      </c>
      <c r="T4" s="5" t="str">
        <f t="shared" si="8"/>
        <v>QE</v>
      </c>
      <c r="U4" s="5" t="str">
        <f t="shared" si="9"/>
        <v>74.369%</v>
      </c>
      <c r="V4" s="5">
        <f t="shared" si="10"/>
        <v>0</v>
      </c>
      <c r="W4" s="5" t="str">
        <f t="shared" si="11"/>
        <v>TIE</v>
      </c>
      <c r="X4" s="5" t="str">
        <f t="shared" si="12"/>
        <v>100.000%</v>
      </c>
      <c r="Y4" s="5" t="b">
        <f>G4='5'!G4</f>
        <v>1</v>
      </c>
    </row>
    <row r="5" spans="1:43">
      <c r="A5">
        <v>22</v>
      </c>
      <c r="B5" t="s">
        <v>100</v>
      </c>
      <c r="C5">
        <v>35882679</v>
      </c>
      <c r="D5">
        <v>0.31869999999999998</v>
      </c>
      <c r="E5">
        <v>0.31459999999999999</v>
      </c>
      <c r="F5">
        <v>301</v>
      </c>
      <c r="G5" t="s">
        <v>100</v>
      </c>
      <c r="H5">
        <v>24920195</v>
      </c>
      <c r="I5">
        <v>0.28120000000000001</v>
      </c>
      <c r="J5">
        <v>0.2722</v>
      </c>
      <c r="K5">
        <v>327</v>
      </c>
      <c r="L5" s="5" t="b">
        <f t="shared" si="0"/>
        <v>1</v>
      </c>
      <c r="M5" s="5">
        <f t="shared" si="1"/>
        <v>10962484</v>
      </c>
      <c r="N5" s="5" t="str">
        <f t="shared" si="2"/>
        <v>QE</v>
      </c>
      <c r="O5" s="5" t="str">
        <f t="shared" si="3"/>
        <v>69.449%</v>
      </c>
      <c r="P5" s="5">
        <f t="shared" si="4"/>
        <v>3.7499999999999978E-2</v>
      </c>
      <c r="Q5" s="5" t="str">
        <f t="shared" si="5"/>
        <v>QE</v>
      </c>
      <c r="R5" s="5" t="str">
        <f t="shared" si="6"/>
        <v>88.233%</v>
      </c>
      <c r="S5" s="5">
        <f t="shared" si="7"/>
        <v>4.2399999999999993E-2</v>
      </c>
      <c r="T5" s="5" t="str">
        <f t="shared" si="8"/>
        <v>QE</v>
      </c>
      <c r="U5" s="5" t="str">
        <f t="shared" si="9"/>
        <v>86.523%</v>
      </c>
      <c r="V5" s="5">
        <f t="shared" si="10"/>
        <v>-26</v>
      </c>
      <c r="W5" s="5" t="str">
        <f t="shared" si="11"/>
        <v>RC</v>
      </c>
      <c r="X5" s="5" t="str">
        <f t="shared" si="12"/>
        <v>92.049%</v>
      </c>
      <c r="Y5" s="5" t="b">
        <f>G5='5'!G5</f>
        <v>1</v>
      </c>
    </row>
    <row r="6" spans="1:43">
      <c r="A6">
        <v>23</v>
      </c>
      <c r="B6" t="s">
        <v>100</v>
      </c>
      <c r="C6">
        <v>38397052</v>
      </c>
      <c r="D6">
        <v>0.35780000000000001</v>
      </c>
      <c r="E6">
        <v>0.34989999999999999</v>
      </c>
      <c r="F6">
        <v>327</v>
      </c>
      <c r="G6" t="s">
        <v>100</v>
      </c>
      <c r="H6">
        <v>24146612</v>
      </c>
      <c r="I6">
        <v>0.25779999999999997</v>
      </c>
      <c r="J6">
        <v>0.25419999999999998</v>
      </c>
      <c r="K6">
        <v>327</v>
      </c>
      <c r="L6" s="5" t="b">
        <f t="shared" si="0"/>
        <v>1</v>
      </c>
      <c r="M6" s="5">
        <f t="shared" si="1"/>
        <v>14250440</v>
      </c>
      <c r="N6" s="5" t="str">
        <f t="shared" si="2"/>
        <v>QE</v>
      </c>
      <c r="O6" s="5" t="str">
        <f t="shared" si="3"/>
        <v>62.887%</v>
      </c>
      <c r="P6" s="5">
        <f t="shared" si="4"/>
        <v>0.10000000000000003</v>
      </c>
      <c r="Q6" s="5" t="str">
        <f t="shared" si="5"/>
        <v>QE</v>
      </c>
      <c r="R6" s="5" t="str">
        <f t="shared" si="6"/>
        <v>72.051%</v>
      </c>
      <c r="S6" s="5">
        <f t="shared" si="7"/>
        <v>9.5700000000000007E-2</v>
      </c>
      <c r="T6" s="5" t="str">
        <f t="shared" si="8"/>
        <v>QE</v>
      </c>
      <c r="U6" s="5" t="str">
        <f t="shared" si="9"/>
        <v>72.649%</v>
      </c>
      <c r="V6" s="5">
        <f t="shared" si="10"/>
        <v>0</v>
      </c>
      <c r="W6" s="5" t="str">
        <f t="shared" si="11"/>
        <v>TIE</v>
      </c>
      <c r="X6" s="5" t="str">
        <f t="shared" si="12"/>
        <v>100.000%</v>
      </c>
      <c r="Y6" s="5" t="b">
        <f>G6='5'!G6</f>
        <v>1</v>
      </c>
      <c r="AA6" s="30" t="s">
        <v>26</v>
      </c>
      <c r="AB6" s="30"/>
      <c r="AC6" s="30" t="s">
        <v>27</v>
      </c>
      <c r="AD6" s="30"/>
      <c r="AE6" s="30" t="s">
        <v>28</v>
      </c>
      <c r="AF6" s="30"/>
      <c r="AG6" s="30" t="s">
        <v>29</v>
      </c>
      <c r="AH6" s="30"/>
      <c r="AJ6" s="30" t="s">
        <v>36</v>
      </c>
      <c r="AK6" s="30"/>
      <c r="AL6" s="30" t="s">
        <v>37</v>
      </c>
      <c r="AM6" s="30"/>
      <c r="AN6" s="30" t="s">
        <v>38</v>
      </c>
      <c r="AO6" s="30"/>
      <c r="AP6" s="30" t="s">
        <v>39</v>
      </c>
      <c r="AQ6" s="30"/>
    </row>
    <row r="7" spans="1:43">
      <c r="A7">
        <v>25</v>
      </c>
      <c r="B7" t="s">
        <v>107</v>
      </c>
      <c r="C7">
        <v>84530979</v>
      </c>
      <c r="D7">
        <v>0.77500000000000002</v>
      </c>
      <c r="E7">
        <v>0.75109999999999999</v>
      </c>
      <c r="F7">
        <v>673</v>
      </c>
      <c r="G7" t="s">
        <v>107</v>
      </c>
      <c r="H7">
        <v>119038560</v>
      </c>
      <c r="I7">
        <v>1.5125</v>
      </c>
      <c r="J7">
        <v>1.4083000000000001</v>
      </c>
      <c r="K7">
        <v>1259</v>
      </c>
      <c r="L7" s="5" t="b">
        <f t="shared" si="0"/>
        <v>1</v>
      </c>
      <c r="M7" s="5">
        <f t="shared" si="1"/>
        <v>-34507581</v>
      </c>
      <c r="N7" s="5" t="str">
        <f t="shared" si="2"/>
        <v>RC</v>
      </c>
      <c r="O7" s="5" t="str">
        <f t="shared" si="3"/>
        <v>71.011%</v>
      </c>
      <c r="P7" s="5">
        <f t="shared" si="4"/>
        <v>-0.73749999999999993</v>
      </c>
      <c r="Q7" s="5" t="str">
        <f t="shared" si="5"/>
        <v>RC</v>
      </c>
      <c r="R7" s="5" t="str">
        <f t="shared" si="6"/>
        <v>51.240%</v>
      </c>
      <c r="S7" s="5">
        <f t="shared" si="7"/>
        <v>-0.65720000000000012</v>
      </c>
      <c r="T7" s="5" t="str">
        <f t="shared" si="8"/>
        <v>RC</v>
      </c>
      <c r="U7" s="5" t="str">
        <f t="shared" si="9"/>
        <v>53.334%</v>
      </c>
      <c r="V7" s="5">
        <f t="shared" si="10"/>
        <v>-586</v>
      </c>
      <c r="W7" s="5" t="str">
        <f t="shared" si="11"/>
        <v>RC</v>
      </c>
      <c r="X7" s="5" t="str">
        <f t="shared" si="12"/>
        <v>53.455%</v>
      </c>
      <c r="Y7" s="5" t="b">
        <f>G7='5'!G7</f>
        <v>0</v>
      </c>
      <c r="Z7" s="5" t="s">
        <v>30</v>
      </c>
      <c r="AA7">
        <f>COUNTIF(N:N,$Z7)</f>
        <v>33</v>
      </c>
      <c r="AB7" s="6">
        <f>AA7/AA$11</f>
        <v>0.4925373134328358</v>
      </c>
      <c r="AC7">
        <f>COUNTIF(Q:Q,$Z7)</f>
        <v>35</v>
      </c>
      <c r="AD7" s="6">
        <f>AC7/AC$11</f>
        <v>0.52238805970149249</v>
      </c>
      <c r="AE7">
        <f>COUNTIF(T:T,$Z7)</f>
        <v>35</v>
      </c>
      <c r="AF7" s="6">
        <f>AE7/AE$11</f>
        <v>0.52238805970149249</v>
      </c>
      <c r="AG7">
        <f>COUNTIF(W:W,$Z7)</f>
        <v>61</v>
      </c>
      <c r="AH7" s="6">
        <f>AG7/AG$11</f>
        <v>0.91044776119402981</v>
      </c>
      <c r="AJ7">
        <f>COUNTA(B2:B68)-COUNTIF(B2:B68,"*TIME OUT*")-COUNTIF(B2:B68,"*ERROR*")</f>
        <v>67</v>
      </c>
      <c r="AK7" s="6">
        <f>AJ7/67</f>
        <v>1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67</v>
      </c>
      <c r="AQ7" s="6">
        <f>AK7+AM7+AO7</f>
        <v>1</v>
      </c>
    </row>
    <row r="8" spans="1:43">
      <c r="A8">
        <v>26</v>
      </c>
      <c r="B8" t="s">
        <v>96</v>
      </c>
      <c r="C8">
        <v>2246236</v>
      </c>
      <c r="D8" s="22">
        <v>1.72E-2</v>
      </c>
      <c r="E8" s="22">
        <v>1.6799999999999999E-2</v>
      </c>
      <c r="F8">
        <v>9</v>
      </c>
      <c r="G8" t="s">
        <v>96</v>
      </c>
      <c r="H8">
        <v>5138862</v>
      </c>
      <c r="I8" s="22">
        <v>5.7799999999999997E-2</v>
      </c>
      <c r="J8" s="22">
        <v>5.6500000000000002E-2</v>
      </c>
      <c r="K8">
        <v>57</v>
      </c>
      <c r="L8" s="5" t="b">
        <f t="shared" si="0"/>
        <v>1</v>
      </c>
      <c r="M8" s="5">
        <f t="shared" si="1"/>
        <v>-2892626</v>
      </c>
      <c r="N8" s="5" t="str">
        <f t="shared" si="2"/>
        <v>RC</v>
      </c>
      <c r="O8" s="5" t="str">
        <f t="shared" si="3"/>
        <v>43.711%</v>
      </c>
      <c r="P8" s="5">
        <f t="shared" si="4"/>
        <v>-4.0599999999999997E-2</v>
      </c>
      <c r="Q8" s="5" t="str">
        <f t="shared" si="5"/>
        <v>RC</v>
      </c>
      <c r="R8" s="5" t="str">
        <f t="shared" si="6"/>
        <v>29.758%</v>
      </c>
      <c r="S8" s="5">
        <f t="shared" si="7"/>
        <v>-3.9699999999999999E-2</v>
      </c>
      <c r="T8" s="5" t="str">
        <f t="shared" si="8"/>
        <v>RC</v>
      </c>
      <c r="U8" s="5" t="str">
        <f t="shared" si="9"/>
        <v>29.735%</v>
      </c>
      <c r="V8" s="5">
        <f t="shared" si="10"/>
        <v>-48</v>
      </c>
      <c r="W8" s="5" t="str">
        <f t="shared" si="11"/>
        <v>RC</v>
      </c>
      <c r="X8" s="5" t="str">
        <f t="shared" si="12"/>
        <v>15.789%</v>
      </c>
      <c r="Y8" s="5" t="b">
        <f>G8='5'!G8</f>
        <v>1</v>
      </c>
      <c r="Z8" s="5" t="s">
        <v>31</v>
      </c>
      <c r="AA8">
        <f>COUNTIF(N:N,$Z8)</f>
        <v>34</v>
      </c>
      <c r="AB8" s="6">
        <f>AA8/AA$11</f>
        <v>0.5074626865671642</v>
      </c>
      <c r="AC8">
        <f>COUNTIF(Q:Q,$Z8)</f>
        <v>32</v>
      </c>
      <c r="AD8" s="6">
        <f>AC8/AC$11</f>
        <v>0.47761194029850745</v>
      </c>
      <c r="AE8">
        <f>COUNTIF(T:T,$Z8)</f>
        <v>32</v>
      </c>
      <c r="AF8" s="6">
        <f>AE8/AE$11</f>
        <v>0.47761194029850745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67</v>
      </c>
      <c r="AK8" s="6">
        <f>AJ8/67</f>
        <v>1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67</v>
      </c>
      <c r="AQ8" s="6">
        <f>AK8+AM8+AO8</f>
        <v>1</v>
      </c>
    </row>
    <row r="9" spans="1:43">
      <c r="A9">
        <v>27</v>
      </c>
      <c r="B9" t="s">
        <v>107</v>
      </c>
      <c r="C9">
        <v>81579644</v>
      </c>
      <c r="D9">
        <v>0.76559999999999995</v>
      </c>
      <c r="E9">
        <v>0.74160000000000004</v>
      </c>
      <c r="F9">
        <v>653</v>
      </c>
      <c r="G9" t="s">
        <v>107</v>
      </c>
      <c r="H9">
        <v>115835000</v>
      </c>
      <c r="I9">
        <v>1.4406000000000001</v>
      </c>
      <c r="J9">
        <v>1.3728</v>
      </c>
      <c r="K9">
        <v>1259</v>
      </c>
      <c r="L9" s="5" t="b">
        <f t="shared" si="0"/>
        <v>1</v>
      </c>
      <c r="M9" s="5">
        <f t="shared" si="1"/>
        <v>-34255356</v>
      </c>
      <c r="N9" s="5" t="str">
        <f t="shared" si="2"/>
        <v>RC</v>
      </c>
      <c r="O9" s="5" t="str">
        <f t="shared" si="3"/>
        <v>70.427%</v>
      </c>
      <c r="P9" s="5">
        <f t="shared" si="4"/>
        <v>-0.67500000000000016</v>
      </c>
      <c r="Q9" s="5" t="str">
        <f t="shared" si="5"/>
        <v>RC</v>
      </c>
      <c r="R9" s="5" t="str">
        <f t="shared" si="6"/>
        <v>53.145%</v>
      </c>
      <c r="S9" s="5">
        <f t="shared" si="7"/>
        <v>-0.63119999999999998</v>
      </c>
      <c r="T9" s="5" t="str">
        <f t="shared" si="8"/>
        <v>RC</v>
      </c>
      <c r="U9" s="5" t="str">
        <f t="shared" si="9"/>
        <v>54.021%</v>
      </c>
      <c r="V9" s="5">
        <f t="shared" si="10"/>
        <v>-606</v>
      </c>
      <c r="W9" s="5" t="str">
        <f t="shared" si="11"/>
        <v>RC</v>
      </c>
      <c r="X9" s="5" t="str">
        <f t="shared" si="12"/>
        <v>51.867%</v>
      </c>
      <c r="Y9" s="5" t="b">
        <f>G9='5'!G9</f>
        <v>0</v>
      </c>
      <c r="Z9" s="5" t="s">
        <v>32</v>
      </c>
      <c r="AA9">
        <f>COUNTIF(N:N,$Z9)</f>
        <v>0</v>
      </c>
      <c r="AB9" s="6">
        <f>AA9/AA$11</f>
        <v>0</v>
      </c>
      <c r="AC9">
        <f>COUNTIF(Q:Q,$Z9)</f>
        <v>0</v>
      </c>
      <c r="AD9" s="6">
        <f>AC9/AC$11</f>
        <v>0</v>
      </c>
      <c r="AE9">
        <f>COUNTIF(T:T,$Z9)</f>
        <v>0</v>
      </c>
      <c r="AF9" s="6">
        <f>AE9/AE$11</f>
        <v>0</v>
      </c>
      <c r="AG9">
        <f>COUNTIF(W:W,$Z9)</f>
        <v>6</v>
      </c>
      <c r="AH9" s="6">
        <f>AG9/AG$11</f>
        <v>8.9552238805970144E-2</v>
      </c>
    </row>
    <row r="10" spans="1:43">
      <c r="A10">
        <v>28</v>
      </c>
      <c r="B10" t="s">
        <v>100</v>
      </c>
      <c r="C10">
        <v>74018905</v>
      </c>
      <c r="D10">
        <v>0.67349999999999999</v>
      </c>
      <c r="E10">
        <v>0.65659999999999996</v>
      </c>
      <c r="F10">
        <v>579</v>
      </c>
      <c r="G10" t="s">
        <v>100</v>
      </c>
      <c r="H10">
        <v>93274218</v>
      </c>
      <c r="I10">
        <v>1.1546000000000001</v>
      </c>
      <c r="J10">
        <v>1.0831</v>
      </c>
      <c r="K10">
        <v>1131</v>
      </c>
      <c r="L10" s="5" t="b">
        <f t="shared" si="0"/>
        <v>1</v>
      </c>
      <c r="M10" s="5">
        <f t="shared" si="1"/>
        <v>-19255313</v>
      </c>
      <c r="N10" s="5" t="str">
        <f t="shared" si="2"/>
        <v>RC</v>
      </c>
      <c r="O10" s="5" t="str">
        <f t="shared" si="3"/>
        <v>79.356%</v>
      </c>
      <c r="P10" s="5">
        <f t="shared" si="4"/>
        <v>-0.48110000000000008</v>
      </c>
      <c r="Q10" s="5" t="str">
        <f t="shared" si="5"/>
        <v>RC</v>
      </c>
      <c r="R10" s="5" t="str">
        <f t="shared" si="6"/>
        <v>58.332%</v>
      </c>
      <c r="S10" s="5">
        <f t="shared" si="7"/>
        <v>-0.42649999999999999</v>
      </c>
      <c r="T10" s="5" t="str">
        <f t="shared" si="8"/>
        <v>RC</v>
      </c>
      <c r="U10" s="5" t="str">
        <f t="shared" si="9"/>
        <v>60.622%</v>
      </c>
      <c r="V10" s="5">
        <f t="shared" si="10"/>
        <v>-552</v>
      </c>
      <c r="W10" s="5" t="str">
        <f t="shared" si="11"/>
        <v>RC</v>
      </c>
      <c r="X10" s="5" t="str">
        <f t="shared" si="12"/>
        <v>51.194%</v>
      </c>
      <c r="Y10" s="5" t="b">
        <f>G10='5'!G10</f>
        <v>1</v>
      </c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>
      <c r="A11">
        <v>29</v>
      </c>
      <c r="B11" t="s">
        <v>100</v>
      </c>
      <c r="C11">
        <v>64456995</v>
      </c>
      <c r="D11">
        <v>0.58120000000000005</v>
      </c>
      <c r="E11">
        <v>0.56359999999999999</v>
      </c>
      <c r="F11">
        <v>525</v>
      </c>
      <c r="G11" t="s">
        <v>100</v>
      </c>
      <c r="H11">
        <v>94228716</v>
      </c>
      <c r="I11">
        <v>1.1359999999999999</v>
      </c>
      <c r="J11">
        <v>1.0783</v>
      </c>
      <c r="K11">
        <v>1131</v>
      </c>
      <c r="L11" s="5" t="b">
        <f t="shared" si="0"/>
        <v>1</v>
      </c>
      <c r="M11" s="5">
        <f t="shared" si="1"/>
        <v>-29771721</v>
      </c>
      <c r="N11" s="5" t="str">
        <f t="shared" si="2"/>
        <v>RC</v>
      </c>
      <c r="O11" s="5" t="str">
        <f t="shared" si="3"/>
        <v>68.405%</v>
      </c>
      <c r="P11" s="5">
        <f t="shared" si="4"/>
        <v>-0.55479999999999985</v>
      </c>
      <c r="Q11" s="5" t="str">
        <f t="shared" si="5"/>
        <v>RC</v>
      </c>
      <c r="R11" s="5" t="str">
        <f t="shared" si="6"/>
        <v>51.162%</v>
      </c>
      <c r="S11" s="5">
        <f t="shared" si="7"/>
        <v>-0.51470000000000005</v>
      </c>
      <c r="T11" s="5" t="str">
        <f t="shared" si="8"/>
        <v>RC</v>
      </c>
      <c r="U11" s="5" t="str">
        <f t="shared" si="9"/>
        <v>52.267%</v>
      </c>
      <c r="V11" s="5">
        <f t="shared" si="10"/>
        <v>-606</v>
      </c>
      <c r="W11" s="5" t="str">
        <f t="shared" si="11"/>
        <v>RC</v>
      </c>
      <c r="X11" s="5" t="str">
        <f t="shared" si="12"/>
        <v>46.419%</v>
      </c>
      <c r="Y11" s="5" t="b">
        <f>G11='5'!G11</f>
        <v>1</v>
      </c>
      <c r="Z11" s="5" t="s">
        <v>33</v>
      </c>
      <c r="AA11">
        <f>COUNTA(N:N)-1</f>
        <v>67</v>
      </c>
      <c r="AB11" s="6">
        <f>AA11/AA$11</f>
        <v>1</v>
      </c>
      <c r="AC11">
        <f>COUNTA(O:O)-1</f>
        <v>67</v>
      </c>
      <c r="AD11" s="6">
        <f>AC11/AC$11</f>
        <v>1</v>
      </c>
      <c r="AE11">
        <f>COUNTA(P:P)-1</f>
        <v>67</v>
      </c>
      <c r="AF11" s="6">
        <f>AE11/AE$11</f>
        <v>1</v>
      </c>
      <c r="AG11">
        <f>COUNTA(Q:Q)-1</f>
        <v>67</v>
      </c>
      <c r="AH11" s="6">
        <f>AG11/AG$11</f>
        <v>1</v>
      </c>
    </row>
    <row r="12" spans="1:43">
      <c r="A12">
        <v>30</v>
      </c>
      <c r="B12" t="s">
        <v>107</v>
      </c>
      <c r="C12">
        <v>85156746</v>
      </c>
      <c r="D12">
        <v>0.77180000000000004</v>
      </c>
      <c r="E12">
        <v>0.745</v>
      </c>
      <c r="F12">
        <v>673</v>
      </c>
      <c r="G12" t="s">
        <v>107</v>
      </c>
      <c r="H12">
        <v>119453635</v>
      </c>
      <c r="I12">
        <v>1.4438</v>
      </c>
      <c r="J12">
        <v>1.3625</v>
      </c>
      <c r="K12">
        <v>1259</v>
      </c>
      <c r="L12" s="5" t="b">
        <f t="shared" si="0"/>
        <v>1</v>
      </c>
      <c r="M12" s="5">
        <f t="shared" si="1"/>
        <v>-34296889</v>
      </c>
      <c r="N12" s="5" t="str">
        <f t="shared" si="2"/>
        <v>RC</v>
      </c>
      <c r="O12" s="5" t="str">
        <f t="shared" si="3"/>
        <v>71.289%</v>
      </c>
      <c r="P12" s="5">
        <f t="shared" si="4"/>
        <v>-0.67199999999999993</v>
      </c>
      <c r="Q12" s="5" t="str">
        <f t="shared" si="5"/>
        <v>RC</v>
      </c>
      <c r="R12" s="5" t="str">
        <f t="shared" si="6"/>
        <v>53.456%</v>
      </c>
      <c r="S12" s="5">
        <f t="shared" si="7"/>
        <v>-0.61750000000000005</v>
      </c>
      <c r="T12" s="5" t="str">
        <f t="shared" si="8"/>
        <v>RC</v>
      </c>
      <c r="U12" s="5" t="str">
        <f t="shared" si="9"/>
        <v>54.679%</v>
      </c>
      <c r="V12" s="5">
        <f t="shared" si="10"/>
        <v>-586</v>
      </c>
      <c r="W12" s="5" t="str">
        <f t="shared" si="11"/>
        <v>RC</v>
      </c>
      <c r="X12" s="5" t="str">
        <f t="shared" si="12"/>
        <v>53.455%</v>
      </c>
      <c r="Y12" s="5" t="b">
        <f>G12='5'!G12</f>
        <v>0</v>
      </c>
    </row>
    <row r="13" spans="1:43">
      <c r="A13">
        <v>31</v>
      </c>
      <c r="B13" t="s">
        <v>96</v>
      </c>
      <c r="C13">
        <v>2037377</v>
      </c>
      <c r="D13" s="22">
        <v>1.4E-2</v>
      </c>
      <c r="E13" s="22">
        <v>1.55E-2</v>
      </c>
      <c r="F13">
        <v>9</v>
      </c>
      <c r="G13" t="s">
        <v>96</v>
      </c>
      <c r="H13">
        <v>5137192</v>
      </c>
      <c r="I13" s="22">
        <v>6.0900000000000003E-2</v>
      </c>
      <c r="J13" s="22">
        <v>5.9200000000000003E-2</v>
      </c>
      <c r="K13">
        <v>57</v>
      </c>
      <c r="L13" s="5" t="b">
        <f t="shared" si="0"/>
        <v>1</v>
      </c>
      <c r="M13" s="5">
        <f t="shared" si="1"/>
        <v>-3099815</v>
      </c>
      <c r="N13" s="5" t="str">
        <f t="shared" si="2"/>
        <v>RC</v>
      </c>
      <c r="O13" s="5" t="str">
        <f t="shared" si="3"/>
        <v>39.659%</v>
      </c>
      <c r="P13" s="5">
        <f t="shared" si="4"/>
        <v>-4.6900000000000004E-2</v>
      </c>
      <c r="Q13" s="5" t="str">
        <f t="shared" si="5"/>
        <v>RC</v>
      </c>
      <c r="R13" s="5" t="str">
        <f t="shared" si="6"/>
        <v>22.989%</v>
      </c>
      <c r="S13" s="5">
        <f t="shared" si="7"/>
        <v>-4.3700000000000003E-2</v>
      </c>
      <c r="T13" s="5" t="str">
        <f t="shared" si="8"/>
        <v>RC</v>
      </c>
      <c r="U13" s="5" t="str">
        <f t="shared" si="9"/>
        <v>26.182%</v>
      </c>
      <c r="V13" s="5">
        <f t="shared" si="10"/>
        <v>-48</v>
      </c>
      <c r="W13" s="5" t="str">
        <f t="shared" si="11"/>
        <v>RC</v>
      </c>
      <c r="X13" s="5" t="str">
        <f t="shared" si="12"/>
        <v>15.789%</v>
      </c>
      <c r="Y13" s="5" t="b">
        <f>G13='5'!G13</f>
        <v>1</v>
      </c>
      <c r="AA13" s="30" t="s">
        <v>26</v>
      </c>
      <c r="AB13" s="30"/>
      <c r="AC13" s="30" t="s">
        <v>27</v>
      </c>
      <c r="AD13" s="30"/>
      <c r="AE13" s="30" t="s">
        <v>28</v>
      </c>
      <c r="AF13" s="30"/>
      <c r="AG13" s="30" t="s">
        <v>29</v>
      </c>
      <c r="AH13" s="30"/>
    </row>
    <row r="14" spans="1:43">
      <c r="A14">
        <v>32</v>
      </c>
      <c r="B14" t="s">
        <v>107</v>
      </c>
      <c r="C14">
        <v>89642897</v>
      </c>
      <c r="D14">
        <v>0.83279999999999998</v>
      </c>
      <c r="E14">
        <v>0.79559999999999997</v>
      </c>
      <c r="F14">
        <v>653</v>
      </c>
      <c r="G14" t="s">
        <v>107</v>
      </c>
      <c r="H14">
        <v>119235852</v>
      </c>
      <c r="I14">
        <v>1.4624999999999999</v>
      </c>
      <c r="J14">
        <v>1.3676999999999999</v>
      </c>
      <c r="K14">
        <v>1259</v>
      </c>
      <c r="L14" s="5" t="b">
        <f t="shared" si="0"/>
        <v>1</v>
      </c>
      <c r="M14" s="5">
        <f t="shared" si="1"/>
        <v>-29592955</v>
      </c>
      <c r="N14" s="5" t="str">
        <f t="shared" si="2"/>
        <v>RC</v>
      </c>
      <c r="O14" s="5" t="str">
        <f t="shared" si="3"/>
        <v>75.181%</v>
      </c>
      <c r="P14" s="5">
        <f t="shared" si="4"/>
        <v>-0.62969999999999993</v>
      </c>
      <c r="Q14" s="5" t="str">
        <f t="shared" si="5"/>
        <v>RC</v>
      </c>
      <c r="R14" s="5" t="str">
        <f t="shared" si="6"/>
        <v>56.944%</v>
      </c>
      <c r="S14" s="5">
        <f t="shared" si="7"/>
        <v>-0.57209999999999994</v>
      </c>
      <c r="T14" s="5" t="str">
        <f t="shared" si="8"/>
        <v>RC</v>
      </c>
      <c r="U14" s="5" t="str">
        <f t="shared" si="9"/>
        <v>58.171%</v>
      </c>
      <c r="V14" s="5">
        <f t="shared" si="10"/>
        <v>-606</v>
      </c>
      <c r="W14" s="5" t="str">
        <f t="shared" si="11"/>
        <v>RC</v>
      </c>
      <c r="X14" s="5" t="str">
        <f t="shared" si="12"/>
        <v>51.867%</v>
      </c>
      <c r="Y14" s="5" t="b">
        <f>G14='5'!G14</f>
        <v>0</v>
      </c>
      <c r="Z14" s="5" t="s">
        <v>30</v>
      </c>
      <c r="AA14">
        <f>COUNTIF(N:N,$Z7)-COUNTIFS(N:N,$Z7,O:O,"--")</f>
        <v>33</v>
      </c>
      <c r="AB14" s="6">
        <f>AA14/AA$11</f>
        <v>0.4925373134328358</v>
      </c>
      <c r="AC14">
        <f>COUNTIF(Q:Q,$Z7)-COUNTIFS(Q:Q,$Z7,R:R,"--")</f>
        <v>35</v>
      </c>
      <c r="AD14" s="6">
        <f>AC14/AC$11</f>
        <v>0.52238805970149249</v>
      </c>
      <c r="AE14">
        <f>COUNTIF(T:T,$Z7)-COUNTIFS(T:T,$Z7,U:U,"--")</f>
        <v>35</v>
      </c>
      <c r="AF14" s="6">
        <f>AE14/AE$11</f>
        <v>0.52238805970149249</v>
      </c>
      <c r="AG14">
        <f>COUNTIF(W:W,$Z7)-COUNTIFS(W:W,$Z7,X:X,"--")</f>
        <v>61</v>
      </c>
      <c r="AH14" s="6">
        <f>AG14/AG$11</f>
        <v>0.91044776119402981</v>
      </c>
    </row>
    <row r="15" spans="1:43">
      <c r="A15">
        <v>33</v>
      </c>
      <c r="B15" t="s">
        <v>107</v>
      </c>
      <c r="C15">
        <v>89246167</v>
      </c>
      <c r="D15">
        <v>0.8125</v>
      </c>
      <c r="E15">
        <v>0.78110000000000002</v>
      </c>
      <c r="F15">
        <v>699</v>
      </c>
      <c r="G15" t="s">
        <v>107</v>
      </c>
      <c r="H15">
        <v>116846376</v>
      </c>
      <c r="I15">
        <v>1.4453</v>
      </c>
      <c r="J15">
        <v>1.3535999999999999</v>
      </c>
      <c r="K15">
        <v>1259</v>
      </c>
      <c r="L15" s="5" t="b">
        <f t="shared" si="0"/>
        <v>1</v>
      </c>
      <c r="M15" s="5">
        <f t="shared" si="1"/>
        <v>-27600209</v>
      </c>
      <c r="N15" s="5" t="str">
        <f t="shared" si="2"/>
        <v>RC</v>
      </c>
      <c r="O15" s="5" t="str">
        <f t="shared" si="3"/>
        <v>76.379%</v>
      </c>
      <c r="P15" s="5">
        <f t="shared" si="4"/>
        <v>-0.63280000000000003</v>
      </c>
      <c r="Q15" s="5" t="str">
        <f t="shared" si="5"/>
        <v>RC</v>
      </c>
      <c r="R15" s="5" t="str">
        <f t="shared" si="6"/>
        <v>56.217%</v>
      </c>
      <c r="S15" s="5">
        <f t="shared" si="7"/>
        <v>-0.5724999999999999</v>
      </c>
      <c r="T15" s="5" t="str">
        <f t="shared" si="8"/>
        <v>RC</v>
      </c>
      <c r="U15" s="5" t="str">
        <f t="shared" si="9"/>
        <v>57.705%</v>
      </c>
      <c r="V15" s="5">
        <f t="shared" si="10"/>
        <v>-560</v>
      </c>
      <c r="W15" s="5" t="str">
        <f t="shared" si="11"/>
        <v>RC</v>
      </c>
      <c r="X15" s="5" t="str">
        <f t="shared" si="12"/>
        <v>55.520%</v>
      </c>
      <c r="Y15" s="5" t="b">
        <f>G15='5'!G15</f>
        <v>0</v>
      </c>
      <c r="Z15" s="5" t="s">
        <v>31</v>
      </c>
      <c r="AA15">
        <f>COUNTIF(N:N,$Z8)-COUNTIFS(N:N,$Z8,O:O,"--")</f>
        <v>34</v>
      </c>
      <c r="AB15" s="6">
        <f>AA15/AA$11</f>
        <v>0.5074626865671642</v>
      </c>
      <c r="AC15">
        <f>COUNTIF(Q:Q,$Z8)-COUNTIFS(Q:Q,$Z8,R:R,"--")</f>
        <v>32</v>
      </c>
      <c r="AD15" s="6">
        <f>AC15/AC$11</f>
        <v>0.47761194029850745</v>
      </c>
      <c r="AE15">
        <f>COUNTIF(T:T,$Z8)-COUNTIFS(T:T,$Z8,U:U,"--")</f>
        <v>32</v>
      </c>
      <c r="AF15" s="6">
        <f>AE15/AE$11</f>
        <v>0.47761194029850745</v>
      </c>
      <c r="AG15">
        <f>COUNTIF(W:W,$Z8)-COUNTIFS(W:W,$Z8,X:X,"--")</f>
        <v>0</v>
      </c>
      <c r="AH15" s="6">
        <f>AG15/AG$11</f>
        <v>0</v>
      </c>
    </row>
    <row r="16" spans="1:43">
      <c r="A16">
        <v>34</v>
      </c>
      <c r="B16" t="s">
        <v>107</v>
      </c>
      <c r="C16">
        <v>93423805</v>
      </c>
      <c r="D16">
        <v>0.85</v>
      </c>
      <c r="E16">
        <v>0.81810000000000005</v>
      </c>
      <c r="F16">
        <v>653</v>
      </c>
      <c r="G16" t="s">
        <v>107</v>
      </c>
      <c r="H16">
        <v>116023175</v>
      </c>
      <c r="I16">
        <v>1.4359</v>
      </c>
      <c r="J16">
        <v>1.3532999999999999</v>
      </c>
      <c r="K16">
        <v>1259</v>
      </c>
      <c r="L16" s="5" t="b">
        <f t="shared" si="0"/>
        <v>1</v>
      </c>
      <c r="M16" s="5">
        <f t="shared" si="1"/>
        <v>-22599370</v>
      </c>
      <c r="N16" s="5" t="str">
        <f t="shared" si="2"/>
        <v>RC</v>
      </c>
      <c r="O16" s="5" t="str">
        <f t="shared" si="3"/>
        <v>80.522%</v>
      </c>
      <c r="P16" s="5">
        <f t="shared" si="4"/>
        <v>-0.58589999999999998</v>
      </c>
      <c r="Q16" s="5" t="str">
        <f t="shared" si="5"/>
        <v>RC</v>
      </c>
      <c r="R16" s="5" t="str">
        <f t="shared" si="6"/>
        <v>59.196%</v>
      </c>
      <c r="S16" s="5">
        <f t="shared" si="7"/>
        <v>-0.5351999999999999</v>
      </c>
      <c r="T16" s="5" t="str">
        <f t="shared" si="8"/>
        <v>RC</v>
      </c>
      <c r="U16" s="5" t="str">
        <f t="shared" si="9"/>
        <v>60.452%</v>
      </c>
      <c r="V16" s="5">
        <f t="shared" si="10"/>
        <v>-606</v>
      </c>
      <c r="W16" s="5" t="str">
        <f t="shared" si="11"/>
        <v>RC</v>
      </c>
      <c r="X16" s="5" t="str">
        <f t="shared" si="12"/>
        <v>51.867%</v>
      </c>
      <c r="Y16" s="5" t="b">
        <f>G16='5'!G16</f>
        <v>0</v>
      </c>
      <c r="Z16" s="5" t="s">
        <v>32</v>
      </c>
      <c r="AA16">
        <f>COUNTIF(N:N,$Z9)-COUNTIFS(N:N,$Z9,O:O,"--")</f>
        <v>0</v>
      </c>
      <c r="AB16" s="6">
        <f>AA16/AA$11</f>
        <v>0</v>
      </c>
      <c r="AC16">
        <f>COUNTIF(Q:Q,$Z9)-COUNTIFS(Q:Q,$Z9,R:R,"--")</f>
        <v>0</v>
      </c>
      <c r="AD16" s="6">
        <f>AC16/AC$11</f>
        <v>0</v>
      </c>
      <c r="AE16">
        <f>COUNTIF(T:T,$Z9)-COUNTIFS(T:T,$Z9,U:U,"--")</f>
        <v>0</v>
      </c>
      <c r="AF16" s="6">
        <f>AE16/AE$11</f>
        <v>0</v>
      </c>
      <c r="AG16">
        <f>COUNTIF(W:W,$Z9)-COUNTIFS(W:W,$Z9,X:X,"--")</f>
        <v>6</v>
      </c>
      <c r="AH16" s="6">
        <f>AG16/AG$11</f>
        <v>8.9552238805970144E-2</v>
      </c>
    </row>
    <row r="17" spans="1:34">
      <c r="A17">
        <v>36</v>
      </c>
      <c r="B17" t="s">
        <v>100</v>
      </c>
      <c r="C17">
        <v>125689336</v>
      </c>
      <c r="D17">
        <v>1.1780999999999999</v>
      </c>
      <c r="E17">
        <v>1.1178999999999999</v>
      </c>
      <c r="F17">
        <v>943</v>
      </c>
      <c r="G17" t="s">
        <v>100</v>
      </c>
      <c r="H17">
        <v>165831633</v>
      </c>
      <c r="I17">
        <v>2.0766</v>
      </c>
      <c r="J17">
        <v>1.9138999999999999</v>
      </c>
      <c r="K17">
        <v>1897</v>
      </c>
      <c r="L17" s="5" t="b">
        <f t="shared" si="0"/>
        <v>1</v>
      </c>
      <c r="M17" s="5">
        <f t="shared" si="1"/>
        <v>-40142297</v>
      </c>
      <c r="N17" s="5" t="str">
        <f t="shared" si="2"/>
        <v>RC</v>
      </c>
      <c r="O17" s="5" t="str">
        <f t="shared" si="3"/>
        <v>75.793%</v>
      </c>
      <c r="P17" s="5">
        <f t="shared" si="4"/>
        <v>-0.89850000000000008</v>
      </c>
      <c r="Q17" s="5" t="str">
        <f t="shared" si="5"/>
        <v>RC</v>
      </c>
      <c r="R17" s="5" t="str">
        <f t="shared" si="6"/>
        <v>56.732%</v>
      </c>
      <c r="S17" s="5">
        <f t="shared" si="7"/>
        <v>-0.79600000000000004</v>
      </c>
      <c r="T17" s="5" t="str">
        <f t="shared" si="8"/>
        <v>RC</v>
      </c>
      <c r="U17" s="5" t="str">
        <f t="shared" si="9"/>
        <v>58.410%</v>
      </c>
      <c r="V17" s="5">
        <f t="shared" si="10"/>
        <v>-954</v>
      </c>
      <c r="W17" s="5" t="str">
        <f t="shared" si="11"/>
        <v>RC</v>
      </c>
      <c r="X17" s="5" t="str">
        <f t="shared" si="12"/>
        <v>49.710%</v>
      </c>
      <c r="Y17" s="5" t="b">
        <f>G17='5'!G17</f>
        <v>0</v>
      </c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:34">
      <c r="A18">
        <v>38</v>
      </c>
      <c r="B18" t="s">
        <v>100</v>
      </c>
      <c r="C18">
        <v>125265376</v>
      </c>
      <c r="D18">
        <v>1.1561999999999999</v>
      </c>
      <c r="E18">
        <v>1.1102000000000001</v>
      </c>
      <c r="F18">
        <v>967</v>
      </c>
      <c r="G18" t="s">
        <v>100</v>
      </c>
      <c r="H18">
        <v>163429559</v>
      </c>
      <c r="I18">
        <v>2.0156000000000001</v>
      </c>
      <c r="J18">
        <v>1.8797999999999999</v>
      </c>
      <c r="K18">
        <v>1897</v>
      </c>
      <c r="L18" s="5" t="b">
        <f t="shared" si="0"/>
        <v>1</v>
      </c>
      <c r="M18" s="5">
        <f t="shared" si="1"/>
        <v>-38164183</v>
      </c>
      <c r="N18" s="5" t="str">
        <f t="shared" si="2"/>
        <v>RC</v>
      </c>
      <c r="O18" s="5" t="str">
        <f t="shared" si="3"/>
        <v>76.648%</v>
      </c>
      <c r="P18" s="5">
        <f t="shared" si="4"/>
        <v>-0.85940000000000016</v>
      </c>
      <c r="Q18" s="5" t="str">
        <f t="shared" si="5"/>
        <v>RC</v>
      </c>
      <c r="R18" s="5" t="str">
        <f t="shared" si="6"/>
        <v>57.363%</v>
      </c>
      <c r="S18" s="5">
        <f t="shared" si="7"/>
        <v>-0.76959999999999984</v>
      </c>
      <c r="T18" s="5" t="str">
        <f t="shared" si="8"/>
        <v>RC</v>
      </c>
      <c r="U18" s="5" t="str">
        <f t="shared" si="9"/>
        <v>59.059%</v>
      </c>
      <c r="V18" s="5">
        <f t="shared" si="10"/>
        <v>-930</v>
      </c>
      <c r="W18" s="5" t="str">
        <f t="shared" si="11"/>
        <v>RC</v>
      </c>
      <c r="X18" s="5" t="str">
        <f t="shared" si="12"/>
        <v>50.975%</v>
      </c>
      <c r="Y18" s="5" t="b">
        <f>G18='5'!G18</f>
        <v>0</v>
      </c>
      <c r="Z18" s="5" t="s">
        <v>33</v>
      </c>
      <c r="AA18">
        <f>COUNTA(N:N)-1</f>
        <v>67</v>
      </c>
      <c r="AB18" s="6">
        <f>AA18/AA$11</f>
        <v>1</v>
      </c>
      <c r="AC18">
        <f>COUNTA(O:O)-1</f>
        <v>67</v>
      </c>
      <c r="AD18" s="6">
        <f>AC18/AC$11</f>
        <v>1</v>
      </c>
      <c r="AE18">
        <f>COUNTA(P:P)-1</f>
        <v>67</v>
      </c>
      <c r="AF18" s="6">
        <f>AE18/AE$11</f>
        <v>1</v>
      </c>
      <c r="AG18">
        <f>COUNTA(Q:Q)-1</f>
        <v>67</v>
      </c>
      <c r="AH18" s="6">
        <f>AG18/AG$11</f>
        <v>1</v>
      </c>
    </row>
    <row r="19" spans="1:34">
      <c r="A19">
        <v>40</v>
      </c>
      <c r="B19" t="s">
        <v>107</v>
      </c>
      <c r="C19">
        <v>145125061</v>
      </c>
      <c r="D19">
        <v>1.3641000000000001</v>
      </c>
      <c r="E19">
        <v>1.2818000000000001</v>
      </c>
      <c r="F19">
        <v>1063</v>
      </c>
      <c r="G19" t="s">
        <v>107</v>
      </c>
      <c r="H19">
        <v>197910140</v>
      </c>
      <c r="I19">
        <v>2.4125000000000001</v>
      </c>
      <c r="J19">
        <v>2.2416</v>
      </c>
      <c r="K19">
        <v>1973</v>
      </c>
      <c r="L19" s="5" t="b">
        <f t="shared" si="0"/>
        <v>1</v>
      </c>
      <c r="M19" s="5">
        <f t="shared" si="1"/>
        <v>-52785079</v>
      </c>
      <c r="N19" s="5" t="str">
        <f t="shared" si="2"/>
        <v>RC</v>
      </c>
      <c r="O19" s="5" t="str">
        <f t="shared" si="3"/>
        <v>73.329%</v>
      </c>
      <c r="P19" s="5">
        <f t="shared" si="4"/>
        <v>-1.0484</v>
      </c>
      <c r="Q19" s="5" t="str">
        <f t="shared" si="5"/>
        <v>RC</v>
      </c>
      <c r="R19" s="5" t="str">
        <f t="shared" si="6"/>
        <v>56.543%</v>
      </c>
      <c r="S19" s="5">
        <f t="shared" si="7"/>
        <v>-0.95979999999999999</v>
      </c>
      <c r="T19" s="5" t="str">
        <f t="shared" si="8"/>
        <v>RC</v>
      </c>
      <c r="U19" s="5" t="str">
        <f t="shared" si="9"/>
        <v>57.182%</v>
      </c>
      <c r="V19" s="5">
        <f t="shared" si="10"/>
        <v>-910</v>
      </c>
      <c r="W19" s="5" t="str">
        <f t="shared" si="11"/>
        <v>RC</v>
      </c>
      <c r="X19" s="5" t="str">
        <f t="shared" si="12"/>
        <v>53.877%</v>
      </c>
      <c r="Y19" s="5" t="b">
        <f>G19='5'!G19</f>
        <v>0</v>
      </c>
      <c r="AD19">
        <f>COUNTIF(W:W,$Z8)-COUNTIFS(W:W,$Z8,V:V,"--")</f>
        <v>0</v>
      </c>
    </row>
    <row r="20" spans="1:34">
      <c r="A20">
        <v>41</v>
      </c>
      <c r="B20" t="s">
        <v>107</v>
      </c>
      <c r="C20">
        <v>149097392</v>
      </c>
      <c r="D20">
        <v>1.3953</v>
      </c>
      <c r="E20">
        <v>1.3168</v>
      </c>
      <c r="F20">
        <v>1125</v>
      </c>
      <c r="G20" t="s">
        <v>107</v>
      </c>
      <c r="H20">
        <v>198582299</v>
      </c>
      <c r="I20">
        <v>2.464</v>
      </c>
      <c r="J20">
        <v>2.2562000000000002</v>
      </c>
      <c r="K20">
        <v>1973</v>
      </c>
      <c r="L20" s="5" t="b">
        <f t="shared" si="0"/>
        <v>1</v>
      </c>
      <c r="M20" s="5">
        <f t="shared" si="1"/>
        <v>-49484907</v>
      </c>
      <c r="N20" s="5" t="str">
        <f t="shared" si="2"/>
        <v>RC</v>
      </c>
      <c r="O20" s="5" t="str">
        <f t="shared" si="3"/>
        <v>75.081%</v>
      </c>
      <c r="P20" s="5">
        <f t="shared" si="4"/>
        <v>-1.0687</v>
      </c>
      <c r="Q20" s="5" t="str">
        <f t="shared" si="5"/>
        <v>RC</v>
      </c>
      <c r="R20" s="5" t="str">
        <f t="shared" si="6"/>
        <v>56.627%</v>
      </c>
      <c r="S20" s="5">
        <f t="shared" si="7"/>
        <v>-0.93940000000000023</v>
      </c>
      <c r="T20" s="5" t="str">
        <f t="shared" si="8"/>
        <v>RC</v>
      </c>
      <c r="U20" s="5" t="str">
        <f t="shared" si="9"/>
        <v>58.364%</v>
      </c>
      <c r="V20" s="5">
        <f t="shared" si="10"/>
        <v>-848</v>
      </c>
      <c r="W20" s="5" t="str">
        <f t="shared" si="11"/>
        <v>RC</v>
      </c>
      <c r="X20" s="5" t="str">
        <f t="shared" si="12"/>
        <v>57.020%</v>
      </c>
      <c r="Y20" s="5" t="b">
        <f>G20='5'!G20</f>
        <v>0</v>
      </c>
    </row>
    <row r="21" spans="1:34">
      <c r="A21">
        <v>43</v>
      </c>
      <c r="B21" t="s">
        <v>100</v>
      </c>
      <c r="C21">
        <v>123250159</v>
      </c>
      <c r="D21">
        <v>1.1313</v>
      </c>
      <c r="E21">
        <v>1.0724</v>
      </c>
      <c r="F21">
        <v>919</v>
      </c>
      <c r="G21" t="s">
        <v>100</v>
      </c>
      <c r="H21">
        <v>164663345</v>
      </c>
      <c r="I21">
        <v>2.0327999999999999</v>
      </c>
      <c r="J21">
        <v>1.8996999999999999</v>
      </c>
      <c r="K21">
        <v>1897</v>
      </c>
      <c r="L21" s="5" t="b">
        <f t="shared" si="0"/>
        <v>1</v>
      </c>
      <c r="M21" s="5">
        <f t="shared" si="1"/>
        <v>-41413186</v>
      </c>
      <c r="N21" s="5" t="str">
        <f t="shared" si="2"/>
        <v>RC</v>
      </c>
      <c r="O21" s="5" t="str">
        <f t="shared" si="3"/>
        <v>74.850%</v>
      </c>
      <c r="P21" s="5">
        <f t="shared" si="4"/>
        <v>-0.90149999999999997</v>
      </c>
      <c r="Q21" s="5" t="str">
        <f t="shared" si="5"/>
        <v>RC</v>
      </c>
      <c r="R21" s="5" t="str">
        <f t="shared" si="6"/>
        <v>55.652%</v>
      </c>
      <c r="S21" s="5">
        <f t="shared" si="7"/>
        <v>-0.82729999999999992</v>
      </c>
      <c r="T21" s="5" t="str">
        <f t="shared" si="8"/>
        <v>RC</v>
      </c>
      <c r="U21" s="5" t="str">
        <f t="shared" si="9"/>
        <v>56.451%</v>
      </c>
      <c r="V21" s="5">
        <f t="shared" si="10"/>
        <v>-978</v>
      </c>
      <c r="W21" s="5" t="str">
        <f t="shared" si="11"/>
        <v>RC</v>
      </c>
      <c r="X21" s="5" t="str">
        <f t="shared" si="12"/>
        <v>48.445%</v>
      </c>
      <c r="Y21" s="5" t="b">
        <f>G21='5'!G21</f>
        <v>0</v>
      </c>
    </row>
    <row r="22" spans="1:34">
      <c r="A22">
        <v>45</v>
      </c>
      <c r="B22" t="s">
        <v>100</v>
      </c>
      <c r="C22">
        <v>308447129</v>
      </c>
      <c r="D22">
        <v>3.0125000000000002</v>
      </c>
      <c r="E22">
        <v>2.7789000000000001</v>
      </c>
      <c r="F22">
        <v>2405</v>
      </c>
      <c r="G22" t="s">
        <v>100</v>
      </c>
      <c r="H22">
        <v>658096389</v>
      </c>
      <c r="I22">
        <v>9.1547000000000001</v>
      </c>
      <c r="J22">
        <v>7.6894999999999998</v>
      </c>
      <c r="K22">
        <v>5677</v>
      </c>
      <c r="L22" s="5" t="b">
        <f t="shared" si="0"/>
        <v>1</v>
      </c>
      <c r="M22" s="5">
        <f t="shared" si="1"/>
        <v>-349649260</v>
      </c>
      <c r="N22" s="5" t="str">
        <f t="shared" si="2"/>
        <v>RC</v>
      </c>
      <c r="O22" s="5" t="str">
        <f t="shared" si="3"/>
        <v>46.870%</v>
      </c>
      <c r="P22" s="5">
        <f t="shared" si="4"/>
        <v>-6.1421999999999999</v>
      </c>
      <c r="Q22" s="5" t="str">
        <f t="shared" si="5"/>
        <v>RC</v>
      </c>
      <c r="R22" s="5" t="str">
        <f t="shared" si="6"/>
        <v>32.907%</v>
      </c>
      <c r="S22" s="5">
        <f t="shared" si="7"/>
        <v>-4.9105999999999996</v>
      </c>
      <c r="T22" s="5" t="str">
        <f t="shared" si="8"/>
        <v>RC</v>
      </c>
      <c r="U22" s="5" t="str">
        <f t="shared" si="9"/>
        <v>36.139%</v>
      </c>
      <c r="V22" s="5">
        <f t="shared" si="10"/>
        <v>-3272</v>
      </c>
      <c r="W22" s="5" t="str">
        <f t="shared" si="11"/>
        <v>RC</v>
      </c>
      <c r="X22" s="5" t="str">
        <f t="shared" si="12"/>
        <v>42.364%</v>
      </c>
      <c r="Y22" s="5" t="b">
        <f>G22='5'!G22</f>
        <v>1</v>
      </c>
    </row>
    <row r="23" spans="1:34">
      <c r="A23">
        <v>46</v>
      </c>
      <c r="B23" t="s">
        <v>100</v>
      </c>
      <c r="C23">
        <v>142540415</v>
      </c>
      <c r="D23">
        <v>1.4672000000000001</v>
      </c>
      <c r="E23">
        <v>1.3944000000000001</v>
      </c>
      <c r="F23">
        <v>1067</v>
      </c>
      <c r="G23" t="s">
        <v>100</v>
      </c>
      <c r="H23">
        <v>194212454</v>
      </c>
      <c r="I23">
        <v>2.6078000000000001</v>
      </c>
      <c r="J23">
        <v>2.4173</v>
      </c>
      <c r="K23">
        <v>2189</v>
      </c>
      <c r="L23" s="5" t="b">
        <f t="shared" si="0"/>
        <v>1</v>
      </c>
      <c r="M23" s="5">
        <f t="shared" si="1"/>
        <v>-51672039</v>
      </c>
      <c r="N23" s="5" t="str">
        <f t="shared" si="2"/>
        <v>RC</v>
      </c>
      <c r="O23" s="5" t="str">
        <f t="shared" si="3"/>
        <v>73.394%</v>
      </c>
      <c r="P23" s="5">
        <f t="shared" si="4"/>
        <v>-1.1406000000000001</v>
      </c>
      <c r="Q23" s="5" t="str">
        <f t="shared" si="5"/>
        <v>RC</v>
      </c>
      <c r="R23" s="5" t="str">
        <f t="shared" si="6"/>
        <v>56.262%</v>
      </c>
      <c r="S23" s="5">
        <f t="shared" si="7"/>
        <v>-1.0228999999999999</v>
      </c>
      <c r="T23" s="5" t="str">
        <f t="shared" si="8"/>
        <v>RC</v>
      </c>
      <c r="U23" s="5" t="str">
        <f t="shared" si="9"/>
        <v>57.684%</v>
      </c>
      <c r="V23" s="5">
        <f t="shared" si="10"/>
        <v>-1122</v>
      </c>
      <c r="W23" s="5" t="str">
        <f t="shared" si="11"/>
        <v>RC</v>
      </c>
      <c r="X23" s="5" t="str">
        <f t="shared" si="12"/>
        <v>48.744%</v>
      </c>
      <c r="Y23" s="5" t="b">
        <f>G23='5'!G23</f>
        <v>1</v>
      </c>
    </row>
    <row r="24" spans="1:34">
      <c r="A24">
        <v>48</v>
      </c>
      <c r="B24" t="s">
        <v>100</v>
      </c>
      <c r="C24">
        <v>308111661</v>
      </c>
      <c r="D24">
        <v>3.2046999999999999</v>
      </c>
      <c r="E24">
        <v>2.9540999999999999</v>
      </c>
      <c r="F24">
        <v>2405</v>
      </c>
      <c r="G24" t="s">
        <v>100</v>
      </c>
      <c r="H24">
        <v>670394402</v>
      </c>
      <c r="I24">
        <v>9.2984000000000009</v>
      </c>
      <c r="J24">
        <v>7.6959999999999997</v>
      </c>
      <c r="K24">
        <v>5677</v>
      </c>
      <c r="L24" s="5" t="b">
        <f t="shared" si="0"/>
        <v>1</v>
      </c>
      <c r="M24" s="5">
        <f t="shared" si="1"/>
        <v>-362282741</v>
      </c>
      <c r="N24" s="5" t="str">
        <f t="shared" si="2"/>
        <v>RC</v>
      </c>
      <c r="O24" s="5" t="str">
        <f t="shared" si="3"/>
        <v>45.960%</v>
      </c>
      <c r="P24" s="5">
        <f t="shared" si="4"/>
        <v>-6.093700000000001</v>
      </c>
      <c r="Q24" s="5" t="str">
        <f t="shared" si="5"/>
        <v>RC</v>
      </c>
      <c r="R24" s="5" t="str">
        <f t="shared" si="6"/>
        <v>34.465%</v>
      </c>
      <c r="S24" s="5">
        <f t="shared" si="7"/>
        <v>-4.7418999999999993</v>
      </c>
      <c r="T24" s="5" t="str">
        <f t="shared" si="8"/>
        <v>RC</v>
      </c>
      <c r="U24" s="5" t="str">
        <f t="shared" si="9"/>
        <v>38.385%</v>
      </c>
      <c r="V24" s="5">
        <f t="shared" si="10"/>
        <v>-3272</v>
      </c>
      <c r="W24" s="5" t="str">
        <f t="shared" si="11"/>
        <v>RC</v>
      </c>
      <c r="X24" s="5" t="str">
        <f t="shared" si="12"/>
        <v>42.364%</v>
      </c>
      <c r="Y24" s="5" t="b">
        <f>G24='5'!G24</f>
        <v>1</v>
      </c>
    </row>
    <row r="25" spans="1:34">
      <c r="A25">
        <v>49</v>
      </c>
      <c r="B25" t="s">
        <v>100</v>
      </c>
      <c r="C25">
        <v>141381232</v>
      </c>
      <c r="D25">
        <v>1.325</v>
      </c>
      <c r="E25">
        <v>1.2607999999999999</v>
      </c>
      <c r="F25">
        <v>1067</v>
      </c>
      <c r="G25" t="s">
        <v>100</v>
      </c>
      <c r="H25">
        <v>192129588</v>
      </c>
      <c r="I25">
        <v>2.4140999999999999</v>
      </c>
      <c r="J25">
        <v>2.2254999999999998</v>
      </c>
      <c r="K25">
        <v>2189</v>
      </c>
      <c r="L25" s="5" t="b">
        <f t="shared" si="0"/>
        <v>1</v>
      </c>
      <c r="M25" s="5">
        <f t="shared" si="1"/>
        <v>-50748356</v>
      </c>
      <c r="N25" s="5" t="str">
        <f t="shared" si="2"/>
        <v>RC</v>
      </c>
      <c r="O25" s="5" t="str">
        <f t="shared" si="3"/>
        <v>73.586%</v>
      </c>
      <c r="P25" s="5">
        <f t="shared" si="4"/>
        <v>-1.0891</v>
      </c>
      <c r="Q25" s="5" t="str">
        <f t="shared" si="5"/>
        <v>RC</v>
      </c>
      <c r="R25" s="5" t="str">
        <f t="shared" si="6"/>
        <v>54.886%</v>
      </c>
      <c r="S25" s="5">
        <f t="shared" si="7"/>
        <v>-0.96469999999999989</v>
      </c>
      <c r="T25" s="5" t="str">
        <f t="shared" si="8"/>
        <v>RC</v>
      </c>
      <c r="U25" s="5" t="str">
        <f t="shared" si="9"/>
        <v>56.652%</v>
      </c>
      <c r="V25" s="5">
        <f t="shared" si="10"/>
        <v>-1122</v>
      </c>
      <c r="W25" s="5" t="str">
        <f t="shared" si="11"/>
        <v>RC</v>
      </c>
      <c r="X25" s="5" t="str">
        <f t="shared" si="12"/>
        <v>48.744%</v>
      </c>
      <c r="Y25" s="5" t="b">
        <f>G25='5'!G25</f>
        <v>1</v>
      </c>
      <c r="Z25" t="s">
        <v>40</v>
      </c>
    </row>
    <row r="26" spans="1:34">
      <c r="A26">
        <v>67</v>
      </c>
      <c r="B26" t="s">
        <v>104</v>
      </c>
      <c r="C26">
        <v>19837538</v>
      </c>
      <c r="D26">
        <v>0.16880000000000001</v>
      </c>
      <c r="E26">
        <v>0.16450000000000001</v>
      </c>
      <c r="F26">
        <v>177</v>
      </c>
      <c r="G26" t="s">
        <v>104</v>
      </c>
      <c r="H26">
        <v>13100953</v>
      </c>
      <c r="I26">
        <v>0.13750000000000001</v>
      </c>
      <c r="J26">
        <v>0.1343</v>
      </c>
      <c r="K26">
        <v>177</v>
      </c>
      <c r="L26" s="5" t="b">
        <f t="shared" si="0"/>
        <v>1</v>
      </c>
      <c r="M26" s="5">
        <f t="shared" si="1"/>
        <v>6736585</v>
      </c>
      <c r="N26" s="5" t="str">
        <f t="shared" si="2"/>
        <v>QE</v>
      </c>
      <c r="O26" s="5" t="str">
        <f t="shared" si="3"/>
        <v>66.041%</v>
      </c>
      <c r="P26" s="5">
        <f t="shared" si="4"/>
        <v>3.1299999999999994E-2</v>
      </c>
      <c r="Q26" s="5" t="str">
        <f t="shared" si="5"/>
        <v>QE</v>
      </c>
      <c r="R26" s="5" t="str">
        <f t="shared" si="6"/>
        <v>81.457%</v>
      </c>
      <c r="S26" s="5">
        <f t="shared" si="7"/>
        <v>3.0200000000000005E-2</v>
      </c>
      <c r="T26" s="5" t="str">
        <f t="shared" si="8"/>
        <v>QE</v>
      </c>
      <c r="U26" s="5" t="str">
        <f t="shared" si="9"/>
        <v>81.641%</v>
      </c>
      <c r="V26" s="5">
        <f t="shared" si="10"/>
        <v>0</v>
      </c>
      <c r="W26" s="5" t="str">
        <f t="shared" si="11"/>
        <v>TIE</v>
      </c>
      <c r="X26" s="5" t="str">
        <f t="shared" si="12"/>
        <v>100.000%</v>
      </c>
      <c r="Y26" s="5" t="b">
        <f>G26='5'!G26</f>
        <v>1</v>
      </c>
      <c r="Z26" t="str">
        <f>Z7&amp;": "&amp;AJ7&amp;" "&amp;AJ6&amp;" ("&amp;TEXT(AK7,"0.00%")&amp;"), "&amp;AL7&amp;" "&amp;AL6&amp;" ("&amp;TEXT(AM7,"0.00%")&amp;"), "&amp;AN7&amp;" "&amp;AN6&amp;" ("&amp;TEXT(AO7,"0.00%")&amp;")."</f>
        <v>RC: 67 Successes (100.00%), 0 Timeouts (0.00%), 0 Errors (0.00%).</v>
      </c>
    </row>
    <row r="27" spans="1:34">
      <c r="A27">
        <v>69</v>
      </c>
      <c r="B27" t="s">
        <v>104</v>
      </c>
      <c r="C27">
        <v>18521640</v>
      </c>
      <c r="D27">
        <v>0.15629999999999999</v>
      </c>
      <c r="E27">
        <v>0.15620000000000001</v>
      </c>
      <c r="F27">
        <v>159</v>
      </c>
      <c r="G27" t="s">
        <v>104</v>
      </c>
      <c r="H27">
        <v>13102147</v>
      </c>
      <c r="I27">
        <v>0.1391</v>
      </c>
      <c r="J27">
        <v>0.13389999999999999</v>
      </c>
      <c r="K27">
        <v>177</v>
      </c>
      <c r="L27" s="5" t="b">
        <f t="shared" si="0"/>
        <v>1</v>
      </c>
      <c r="M27" s="5">
        <f t="shared" si="1"/>
        <v>5419493</v>
      </c>
      <c r="N27" s="5" t="str">
        <f t="shared" si="2"/>
        <v>QE</v>
      </c>
      <c r="O27" s="5" t="str">
        <f t="shared" si="3"/>
        <v>70.740%</v>
      </c>
      <c r="P27" s="5">
        <f t="shared" si="4"/>
        <v>1.7199999999999993E-2</v>
      </c>
      <c r="Q27" s="5" t="str">
        <f t="shared" si="5"/>
        <v>QE</v>
      </c>
      <c r="R27" s="5" t="str">
        <f t="shared" si="6"/>
        <v>88.996%</v>
      </c>
      <c r="S27" s="5">
        <f t="shared" si="7"/>
        <v>2.2300000000000014E-2</v>
      </c>
      <c r="T27" s="5" t="str">
        <f t="shared" si="8"/>
        <v>QE</v>
      </c>
      <c r="U27" s="5" t="str">
        <f t="shared" si="9"/>
        <v>85.723%</v>
      </c>
      <c r="V27" s="5">
        <f t="shared" si="10"/>
        <v>-18</v>
      </c>
      <c r="W27" s="5" t="str">
        <f t="shared" si="11"/>
        <v>RC</v>
      </c>
      <c r="X27" s="5" t="str">
        <f t="shared" si="12"/>
        <v>89.831%</v>
      </c>
      <c r="Y27" s="5" t="b">
        <f>G27='5'!G27</f>
        <v>1</v>
      </c>
      <c r="Z27" t="str">
        <f>Z8&amp;": "&amp;AJ8&amp;" "&amp;AJ6&amp;" ("&amp;TEXT(AK8,"0.00%")&amp;"), "&amp;AL8&amp;" "&amp;AL6&amp;" ("&amp;TEXT(AM8,"0.00%")&amp;"), "&amp;AN8&amp;" "&amp;AN6&amp;" ("&amp;TEXT(AO8,"0.00%")&amp;")."</f>
        <v>QE: 67 Successes (100.00%), 0 Timeouts (0.00%), 0 Errors (0.00%).</v>
      </c>
    </row>
    <row r="28" spans="1:34">
      <c r="A28">
        <v>70</v>
      </c>
      <c r="B28" t="s">
        <v>104</v>
      </c>
      <c r="C28">
        <v>38373347</v>
      </c>
      <c r="D28">
        <v>0.33439999999999998</v>
      </c>
      <c r="E28">
        <v>0.32679999999999998</v>
      </c>
      <c r="F28">
        <v>327</v>
      </c>
      <c r="G28" t="s">
        <v>104</v>
      </c>
      <c r="H28">
        <v>24108228</v>
      </c>
      <c r="I28">
        <v>0.2656</v>
      </c>
      <c r="J28">
        <v>0.25559999999999999</v>
      </c>
      <c r="K28">
        <v>327</v>
      </c>
      <c r="L28" s="5" t="b">
        <f t="shared" si="0"/>
        <v>1</v>
      </c>
      <c r="M28" s="5">
        <f t="shared" si="1"/>
        <v>14265119</v>
      </c>
      <c r="N28" s="5" t="str">
        <f t="shared" si="2"/>
        <v>QE</v>
      </c>
      <c r="O28" s="5" t="str">
        <f t="shared" si="3"/>
        <v>62.825%</v>
      </c>
      <c r="P28" s="5">
        <f t="shared" si="4"/>
        <v>6.8799999999999972E-2</v>
      </c>
      <c r="Q28" s="5" t="str">
        <f t="shared" si="5"/>
        <v>QE</v>
      </c>
      <c r="R28" s="5" t="str">
        <f t="shared" si="6"/>
        <v>79.426%</v>
      </c>
      <c r="S28" s="5">
        <f t="shared" si="7"/>
        <v>7.1199999999999986E-2</v>
      </c>
      <c r="T28" s="5" t="str">
        <f t="shared" si="8"/>
        <v>QE</v>
      </c>
      <c r="U28" s="5" t="str">
        <f t="shared" si="9"/>
        <v>78.213%</v>
      </c>
      <c r="V28" s="5">
        <f t="shared" si="10"/>
        <v>0</v>
      </c>
      <c r="W28" s="5" t="str">
        <f t="shared" si="11"/>
        <v>TIE</v>
      </c>
      <c r="X28" s="5" t="str">
        <f t="shared" si="12"/>
        <v>100.000%</v>
      </c>
      <c r="Y28" s="5" t="b">
        <f>G28='5'!G28</f>
        <v>1</v>
      </c>
    </row>
    <row r="29" spans="1:34">
      <c r="A29">
        <v>72</v>
      </c>
      <c r="B29" t="s">
        <v>104</v>
      </c>
      <c r="C29">
        <v>35883239</v>
      </c>
      <c r="D29">
        <v>0.31409999999999999</v>
      </c>
      <c r="E29">
        <v>0.308</v>
      </c>
      <c r="F29">
        <v>301</v>
      </c>
      <c r="G29" t="s">
        <v>104</v>
      </c>
      <c r="H29">
        <v>24932622</v>
      </c>
      <c r="I29">
        <v>0.25779999999999997</v>
      </c>
      <c r="J29">
        <v>0.25130000000000002</v>
      </c>
      <c r="K29">
        <v>327</v>
      </c>
      <c r="L29" s="5" t="b">
        <f t="shared" si="0"/>
        <v>1</v>
      </c>
      <c r="M29" s="5">
        <f t="shared" si="1"/>
        <v>10950617</v>
      </c>
      <c r="N29" s="5" t="str">
        <f t="shared" si="2"/>
        <v>QE</v>
      </c>
      <c r="O29" s="5" t="str">
        <f t="shared" si="3"/>
        <v>69.483%</v>
      </c>
      <c r="P29" s="5">
        <f t="shared" si="4"/>
        <v>5.6300000000000017E-2</v>
      </c>
      <c r="Q29" s="5" t="str">
        <f t="shared" si="5"/>
        <v>QE</v>
      </c>
      <c r="R29" s="5" t="str">
        <f t="shared" si="6"/>
        <v>82.076%</v>
      </c>
      <c r="S29" s="5">
        <f t="shared" si="7"/>
        <v>5.6699999999999973E-2</v>
      </c>
      <c r="T29" s="5" t="str">
        <f t="shared" si="8"/>
        <v>QE</v>
      </c>
      <c r="U29" s="5" t="str">
        <f t="shared" si="9"/>
        <v>81.591%</v>
      </c>
      <c r="V29" s="5">
        <f t="shared" si="10"/>
        <v>-26</v>
      </c>
      <c r="W29" s="5" t="str">
        <f t="shared" si="11"/>
        <v>RC</v>
      </c>
      <c r="X29" s="5" t="str">
        <f t="shared" si="12"/>
        <v>92.049%</v>
      </c>
      <c r="Y29" s="5" t="b">
        <f>G29='5'!G29</f>
        <v>1</v>
      </c>
      <c r="Z29" t="s">
        <v>41</v>
      </c>
    </row>
    <row r="30" spans="1:34">
      <c r="A30">
        <v>73</v>
      </c>
      <c r="B30" t="s">
        <v>104</v>
      </c>
      <c r="C30">
        <v>38415764</v>
      </c>
      <c r="D30">
        <v>0.33279999999999998</v>
      </c>
      <c r="E30">
        <v>0.3246</v>
      </c>
      <c r="F30">
        <v>327</v>
      </c>
      <c r="G30" t="s">
        <v>104</v>
      </c>
      <c r="H30">
        <v>24145224</v>
      </c>
      <c r="I30">
        <v>0.25159999999999999</v>
      </c>
      <c r="J30">
        <v>0.24909999999999999</v>
      </c>
      <c r="K30">
        <v>327</v>
      </c>
      <c r="L30" s="5" t="b">
        <f t="shared" si="0"/>
        <v>1</v>
      </c>
      <c r="M30" s="5">
        <f t="shared" si="1"/>
        <v>14270540</v>
      </c>
      <c r="N30" s="5" t="str">
        <f t="shared" si="2"/>
        <v>QE</v>
      </c>
      <c r="O30" s="5" t="str">
        <f t="shared" si="3"/>
        <v>62.852%</v>
      </c>
      <c r="P30" s="5">
        <f t="shared" si="4"/>
        <v>8.1199999999999994E-2</v>
      </c>
      <c r="Q30" s="5" t="str">
        <f t="shared" si="5"/>
        <v>QE</v>
      </c>
      <c r="R30" s="5" t="str">
        <f t="shared" si="6"/>
        <v>75.601%</v>
      </c>
      <c r="S30" s="5">
        <f t="shared" si="7"/>
        <v>7.5500000000000012E-2</v>
      </c>
      <c r="T30" s="5" t="str">
        <f t="shared" si="8"/>
        <v>QE</v>
      </c>
      <c r="U30" s="5" t="str">
        <f t="shared" si="9"/>
        <v>76.741%</v>
      </c>
      <c r="V30" s="5">
        <f t="shared" si="10"/>
        <v>0</v>
      </c>
      <c r="W30" s="5" t="str">
        <f t="shared" si="11"/>
        <v>TIE</v>
      </c>
      <c r="X30" s="5" t="str">
        <f t="shared" si="12"/>
        <v>100.000%</v>
      </c>
      <c r="Y30" s="5" t="b">
        <f>G30='5'!G30</f>
        <v>1</v>
      </c>
      <c r="Z30" t="str">
        <f>Z7&amp;": "&amp;AC7&amp;" ("&amp;TEXT(AD7,"0.00%")&amp;"), "&amp;AC14&amp;" actual ("&amp;TEXT(AD14,"0.00%")&amp;")"</f>
        <v>RC: 35 (52.24%), 35 actual (52.24%)</v>
      </c>
    </row>
    <row r="31" spans="1:34">
      <c r="A31">
        <v>75</v>
      </c>
      <c r="B31" t="s">
        <v>108</v>
      </c>
      <c r="C31">
        <v>84521361</v>
      </c>
      <c r="D31">
        <v>0.76249999999999996</v>
      </c>
      <c r="E31">
        <v>0.73799999999999999</v>
      </c>
      <c r="F31">
        <v>673</v>
      </c>
      <c r="G31" t="s">
        <v>108</v>
      </c>
      <c r="H31">
        <v>115880852</v>
      </c>
      <c r="I31">
        <v>1.4109</v>
      </c>
      <c r="J31">
        <v>1.3347</v>
      </c>
      <c r="K31">
        <v>1259</v>
      </c>
      <c r="L31" s="5" t="b">
        <f t="shared" si="0"/>
        <v>1</v>
      </c>
      <c r="M31" s="5">
        <f t="shared" si="1"/>
        <v>-31359491</v>
      </c>
      <c r="N31" s="5" t="str">
        <f t="shared" si="2"/>
        <v>RC</v>
      </c>
      <c r="O31" s="5" t="str">
        <f t="shared" si="3"/>
        <v>72.938%</v>
      </c>
      <c r="P31" s="5">
        <f t="shared" si="4"/>
        <v>-0.64840000000000009</v>
      </c>
      <c r="Q31" s="5" t="str">
        <f t="shared" si="5"/>
        <v>RC</v>
      </c>
      <c r="R31" s="5" t="str">
        <f t="shared" si="6"/>
        <v>54.044%</v>
      </c>
      <c r="S31" s="5">
        <f t="shared" si="7"/>
        <v>-0.59670000000000001</v>
      </c>
      <c r="T31" s="5" t="str">
        <f t="shared" si="8"/>
        <v>RC</v>
      </c>
      <c r="U31" s="5" t="str">
        <f t="shared" si="9"/>
        <v>55.293%</v>
      </c>
      <c r="V31" s="5">
        <f t="shared" si="10"/>
        <v>-586</v>
      </c>
      <c r="W31" s="5" t="str">
        <f t="shared" si="11"/>
        <v>RC</v>
      </c>
      <c r="X31" s="5" t="str">
        <f t="shared" si="12"/>
        <v>53.455%</v>
      </c>
      <c r="Y31" s="5" t="b">
        <f>G31='5'!G31</f>
        <v>0</v>
      </c>
      <c r="Z31" t="str">
        <f>Z8&amp;": "&amp;AC8&amp;" ("&amp;TEXT(AD8,"0.00%")&amp;"), "&amp;AC15&amp;" actual ("&amp;TEXT(AD15,"0.00%")&amp;")"</f>
        <v>QE: 32 (47.76%), 32 actual (47.76%)</v>
      </c>
    </row>
    <row r="32" spans="1:34">
      <c r="A32">
        <v>76</v>
      </c>
      <c r="B32" t="s">
        <v>98</v>
      </c>
      <c r="C32">
        <v>2246146</v>
      </c>
      <c r="D32" s="22">
        <v>1.5599999999999999E-2</v>
      </c>
      <c r="E32" s="22">
        <v>1.6199999999999999E-2</v>
      </c>
      <c r="F32">
        <v>9</v>
      </c>
      <c r="G32" t="s">
        <v>98</v>
      </c>
      <c r="H32">
        <v>5138954</v>
      </c>
      <c r="I32" s="22">
        <v>5.62E-2</v>
      </c>
      <c r="J32" s="22">
        <v>5.5399999999999998E-2</v>
      </c>
      <c r="K32">
        <v>57</v>
      </c>
      <c r="L32" s="5" t="b">
        <f t="shared" si="0"/>
        <v>1</v>
      </c>
      <c r="M32" s="5">
        <f t="shared" si="1"/>
        <v>-2892808</v>
      </c>
      <c r="N32" s="5" t="str">
        <f t="shared" si="2"/>
        <v>RC</v>
      </c>
      <c r="O32" s="5" t="str">
        <f t="shared" si="3"/>
        <v>43.708%</v>
      </c>
      <c r="P32" s="5">
        <f t="shared" si="4"/>
        <v>-4.0599999999999997E-2</v>
      </c>
      <c r="Q32" s="5" t="str">
        <f t="shared" si="5"/>
        <v>RC</v>
      </c>
      <c r="R32" s="5" t="str">
        <f t="shared" si="6"/>
        <v>27.758%</v>
      </c>
      <c r="S32" s="5">
        <f t="shared" si="7"/>
        <v>-3.9199999999999999E-2</v>
      </c>
      <c r="T32" s="5" t="str">
        <f t="shared" si="8"/>
        <v>RC</v>
      </c>
      <c r="U32" s="5" t="str">
        <f t="shared" si="9"/>
        <v>29.242%</v>
      </c>
      <c r="V32" s="5">
        <f t="shared" si="10"/>
        <v>-48</v>
      </c>
      <c r="W32" s="5" t="str">
        <f t="shared" si="11"/>
        <v>RC</v>
      </c>
      <c r="X32" s="5" t="str">
        <f t="shared" si="12"/>
        <v>15.789%</v>
      </c>
      <c r="Y32" s="5" t="b">
        <f>G32='5'!G32</f>
        <v>1</v>
      </c>
    </row>
    <row r="33" spans="1:36">
      <c r="A33">
        <v>77</v>
      </c>
      <c r="B33" t="s">
        <v>108</v>
      </c>
      <c r="C33">
        <v>81584398</v>
      </c>
      <c r="D33">
        <v>0.74529999999999996</v>
      </c>
      <c r="E33">
        <v>0.71709999999999996</v>
      </c>
      <c r="F33">
        <v>653</v>
      </c>
      <c r="G33" t="s">
        <v>108</v>
      </c>
      <c r="H33">
        <v>115873639</v>
      </c>
      <c r="I33">
        <v>1.45</v>
      </c>
      <c r="J33">
        <v>1.3431999999999999</v>
      </c>
      <c r="K33">
        <v>1259</v>
      </c>
      <c r="L33" s="5" t="b">
        <f t="shared" si="0"/>
        <v>1</v>
      </c>
      <c r="M33" s="5">
        <f t="shared" si="1"/>
        <v>-34289241</v>
      </c>
      <c r="N33" s="5" t="str">
        <f t="shared" si="2"/>
        <v>RC</v>
      </c>
      <c r="O33" s="5" t="str">
        <f t="shared" si="3"/>
        <v>70.408%</v>
      </c>
      <c r="P33" s="5">
        <f t="shared" si="4"/>
        <v>-0.70469999999999999</v>
      </c>
      <c r="Q33" s="5" t="str">
        <f t="shared" si="5"/>
        <v>RC</v>
      </c>
      <c r="R33" s="5" t="str">
        <f t="shared" si="6"/>
        <v>51.400%</v>
      </c>
      <c r="S33" s="5">
        <f t="shared" si="7"/>
        <v>-0.62609999999999999</v>
      </c>
      <c r="T33" s="5" t="str">
        <f t="shared" si="8"/>
        <v>RC</v>
      </c>
      <c r="U33" s="5" t="str">
        <f t="shared" si="9"/>
        <v>53.387%</v>
      </c>
      <c r="V33" s="5">
        <f t="shared" si="10"/>
        <v>-606</v>
      </c>
      <c r="W33" s="5" t="str">
        <f t="shared" si="11"/>
        <v>RC</v>
      </c>
      <c r="X33" s="5" t="str">
        <f t="shared" si="12"/>
        <v>51.867%</v>
      </c>
      <c r="Y33" s="5" t="b">
        <f>G33='5'!G33</f>
        <v>0</v>
      </c>
      <c r="Z33" t="s">
        <v>42</v>
      </c>
    </row>
    <row r="34" spans="1:36">
      <c r="A34">
        <v>78</v>
      </c>
      <c r="B34" t="s">
        <v>104</v>
      </c>
      <c r="C34">
        <v>74434524</v>
      </c>
      <c r="D34">
        <v>0.66869999999999996</v>
      </c>
      <c r="E34">
        <v>0.64849999999999997</v>
      </c>
      <c r="F34">
        <v>579</v>
      </c>
      <c r="G34" t="s">
        <v>104</v>
      </c>
      <c r="H34">
        <v>91195014</v>
      </c>
      <c r="I34">
        <v>1.1594</v>
      </c>
      <c r="J34">
        <v>1.0920000000000001</v>
      </c>
      <c r="K34">
        <v>1131</v>
      </c>
      <c r="L34" s="5" t="b">
        <f t="shared" si="0"/>
        <v>1</v>
      </c>
      <c r="M34" s="5">
        <f t="shared" si="1"/>
        <v>-16760490</v>
      </c>
      <c r="N34" s="5" t="str">
        <f t="shared" si="2"/>
        <v>RC</v>
      </c>
      <c r="O34" s="5" t="str">
        <f t="shared" si="3"/>
        <v>81.621%</v>
      </c>
      <c r="P34" s="5">
        <f t="shared" si="4"/>
        <v>-0.49070000000000003</v>
      </c>
      <c r="Q34" s="5" t="str">
        <f t="shared" si="5"/>
        <v>RC</v>
      </c>
      <c r="R34" s="5" t="str">
        <f t="shared" si="6"/>
        <v>57.676%</v>
      </c>
      <c r="S34" s="5">
        <f t="shared" si="7"/>
        <v>-0.44350000000000012</v>
      </c>
      <c r="T34" s="5" t="str">
        <f t="shared" si="8"/>
        <v>RC</v>
      </c>
      <c r="U34" s="5" t="str">
        <f t="shared" si="9"/>
        <v>59.386%</v>
      </c>
      <c r="V34" s="5">
        <f t="shared" si="10"/>
        <v>-552</v>
      </c>
      <c r="W34" s="5" t="str">
        <f t="shared" si="11"/>
        <v>RC</v>
      </c>
      <c r="X34" s="5" t="str">
        <f t="shared" si="12"/>
        <v>51.194%</v>
      </c>
      <c r="Y34" s="5" t="b">
        <f>G34='5'!G34</f>
        <v>1</v>
      </c>
      <c r="Z34" t="str">
        <f>Z7&amp;": "&amp;AG7&amp;" ("&amp;TEXT(AH7,"0.00%")&amp;"), "&amp;AG14&amp;" actual ("&amp;TEXT(AH14,"0.00%")&amp;")"</f>
        <v>RC: 61 (91.04%), 61 actual (91.04%)</v>
      </c>
    </row>
    <row r="35" spans="1:36">
      <c r="A35">
        <v>79</v>
      </c>
      <c r="B35" t="s">
        <v>104</v>
      </c>
      <c r="C35">
        <v>64467706</v>
      </c>
      <c r="D35">
        <v>0.58599999999999997</v>
      </c>
      <c r="E35">
        <v>0.5625</v>
      </c>
      <c r="F35">
        <v>525</v>
      </c>
      <c r="G35" t="s">
        <v>104</v>
      </c>
      <c r="H35">
        <v>94189116</v>
      </c>
      <c r="I35">
        <v>1.1312</v>
      </c>
      <c r="J35">
        <v>1.0794999999999999</v>
      </c>
      <c r="K35">
        <v>1131</v>
      </c>
      <c r="L35" s="5" t="b">
        <f t="shared" si="0"/>
        <v>1</v>
      </c>
      <c r="M35" s="5">
        <f t="shared" si="1"/>
        <v>-29721410</v>
      </c>
      <c r="N35" s="5" t="str">
        <f t="shared" si="2"/>
        <v>RC</v>
      </c>
      <c r="O35" s="5" t="str">
        <f t="shared" si="3"/>
        <v>68.445%</v>
      </c>
      <c r="P35" s="5">
        <f t="shared" si="4"/>
        <v>-0.54520000000000002</v>
      </c>
      <c r="Q35" s="5" t="str">
        <f t="shared" si="5"/>
        <v>RC</v>
      </c>
      <c r="R35" s="5" t="str">
        <f t="shared" si="6"/>
        <v>51.803%</v>
      </c>
      <c r="S35" s="5">
        <f t="shared" si="7"/>
        <v>-0.5169999999999999</v>
      </c>
      <c r="T35" s="5" t="str">
        <f t="shared" si="8"/>
        <v>RC</v>
      </c>
      <c r="U35" s="5" t="str">
        <f t="shared" si="9"/>
        <v>52.107%</v>
      </c>
      <c r="V35" s="5">
        <f t="shared" si="10"/>
        <v>-606</v>
      </c>
      <c r="W35" s="5" t="str">
        <f t="shared" si="11"/>
        <v>RC</v>
      </c>
      <c r="X35" s="5" t="str">
        <f t="shared" si="12"/>
        <v>46.419%</v>
      </c>
      <c r="Y35" s="5" t="b">
        <f>G35='5'!G35</f>
        <v>1</v>
      </c>
      <c r="Z35" t="str">
        <f>Z8&amp;": "&amp;AG8&amp;" ("&amp;TEXT(AH8,"0.00%")&amp;"), "&amp;AG15&amp;" actual ("&amp;TEXT(AH15,"0.00%")&amp;")"</f>
        <v>QE: 0 (0.00%), 0 actual (0.00%)</v>
      </c>
    </row>
    <row r="36" spans="1:36">
      <c r="A36">
        <v>80</v>
      </c>
      <c r="B36" t="s">
        <v>108</v>
      </c>
      <c r="C36">
        <v>85117003</v>
      </c>
      <c r="D36">
        <v>0.75780000000000003</v>
      </c>
      <c r="E36">
        <v>0.74309999999999998</v>
      </c>
      <c r="F36">
        <v>673</v>
      </c>
      <c r="G36" t="s">
        <v>108</v>
      </c>
      <c r="H36">
        <v>117297569</v>
      </c>
      <c r="I36">
        <v>1.4437</v>
      </c>
      <c r="J36">
        <v>1.3491</v>
      </c>
      <c r="K36">
        <v>1259</v>
      </c>
      <c r="L36" s="5" t="b">
        <f t="shared" si="0"/>
        <v>1</v>
      </c>
      <c r="M36" s="5">
        <f t="shared" si="1"/>
        <v>-32180566</v>
      </c>
      <c r="N36" s="5" t="str">
        <f t="shared" si="2"/>
        <v>RC</v>
      </c>
      <c r="O36" s="5" t="str">
        <f t="shared" si="3"/>
        <v>72.565%</v>
      </c>
      <c r="P36" s="5">
        <f t="shared" si="4"/>
        <v>-0.68589999999999995</v>
      </c>
      <c r="Q36" s="5" t="str">
        <f t="shared" si="5"/>
        <v>RC</v>
      </c>
      <c r="R36" s="5" t="str">
        <f t="shared" si="6"/>
        <v>52.490%</v>
      </c>
      <c r="S36" s="5">
        <f t="shared" si="7"/>
        <v>-0.60599999999999998</v>
      </c>
      <c r="T36" s="5" t="str">
        <f t="shared" si="8"/>
        <v>RC</v>
      </c>
      <c r="U36" s="5" t="str">
        <f t="shared" si="9"/>
        <v>55.081%</v>
      </c>
      <c r="V36" s="5">
        <f t="shared" si="10"/>
        <v>-586</v>
      </c>
      <c r="W36" s="5" t="str">
        <f t="shared" si="11"/>
        <v>RC</v>
      </c>
      <c r="X36" s="5" t="str">
        <f t="shared" si="12"/>
        <v>53.455%</v>
      </c>
      <c r="Y36" s="5" t="b">
        <f>G36='5'!G36</f>
        <v>0</v>
      </c>
    </row>
    <row r="37" spans="1:36">
      <c r="A37">
        <v>81</v>
      </c>
      <c r="B37" t="s">
        <v>98</v>
      </c>
      <c r="C37">
        <v>2247029</v>
      </c>
      <c r="D37" s="22">
        <v>1.5599999999999999E-2</v>
      </c>
      <c r="E37" s="22">
        <v>1.55E-2</v>
      </c>
      <c r="F37">
        <v>9</v>
      </c>
      <c r="G37" t="s">
        <v>98</v>
      </c>
      <c r="H37">
        <v>5138871</v>
      </c>
      <c r="I37" s="22">
        <v>5.7799999999999997E-2</v>
      </c>
      <c r="J37" s="22">
        <v>5.5899999999999998E-2</v>
      </c>
      <c r="K37">
        <v>57</v>
      </c>
      <c r="L37" s="5" t="b">
        <f t="shared" si="0"/>
        <v>1</v>
      </c>
      <c r="M37" s="5">
        <f t="shared" si="1"/>
        <v>-2891842</v>
      </c>
      <c r="N37" s="5" t="str">
        <f t="shared" si="2"/>
        <v>RC</v>
      </c>
      <c r="O37" s="5" t="str">
        <f t="shared" si="3"/>
        <v>43.726%</v>
      </c>
      <c r="P37" s="5">
        <f t="shared" si="4"/>
        <v>-4.2200000000000001E-2</v>
      </c>
      <c r="Q37" s="5" t="str">
        <f t="shared" si="5"/>
        <v>RC</v>
      </c>
      <c r="R37" s="5" t="str">
        <f t="shared" si="6"/>
        <v>26.990%</v>
      </c>
      <c r="S37" s="5">
        <f t="shared" si="7"/>
        <v>-4.0399999999999998E-2</v>
      </c>
      <c r="T37" s="5" t="str">
        <f t="shared" si="8"/>
        <v>RC</v>
      </c>
      <c r="U37" s="5" t="str">
        <f t="shared" si="9"/>
        <v>27.728%</v>
      </c>
      <c r="V37" s="5">
        <f t="shared" si="10"/>
        <v>-48</v>
      </c>
      <c r="W37" s="5" t="str">
        <f t="shared" si="11"/>
        <v>RC</v>
      </c>
      <c r="X37" s="5" t="str">
        <f t="shared" si="12"/>
        <v>15.789%</v>
      </c>
      <c r="Y37" s="5" t="b">
        <f>G37='5'!G37</f>
        <v>1</v>
      </c>
    </row>
    <row r="38" spans="1:36">
      <c r="A38">
        <v>82</v>
      </c>
      <c r="B38" t="s">
        <v>108</v>
      </c>
      <c r="C38">
        <v>89625986</v>
      </c>
      <c r="D38">
        <v>0.83289999999999997</v>
      </c>
      <c r="E38">
        <v>0.79690000000000005</v>
      </c>
      <c r="F38">
        <v>653</v>
      </c>
      <c r="G38" t="s">
        <v>108</v>
      </c>
      <c r="H38">
        <v>121603848</v>
      </c>
      <c r="I38">
        <v>1.4594</v>
      </c>
      <c r="J38">
        <v>1.3746</v>
      </c>
      <c r="K38">
        <v>1259</v>
      </c>
      <c r="L38" s="5" t="b">
        <f t="shared" si="0"/>
        <v>1</v>
      </c>
      <c r="M38" s="5">
        <f t="shared" si="1"/>
        <v>-31977862</v>
      </c>
      <c r="N38" s="5" t="str">
        <f t="shared" si="2"/>
        <v>RC</v>
      </c>
      <c r="O38" s="5" t="str">
        <f t="shared" si="3"/>
        <v>73.703%</v>
      </c>
      <c r="P38" s="5">
        <f t="shared" si="4"/>
        <v>-0.62650000000000006</v>
      </c>
      <c r="Q38" s="5" t="str">
        <f t="shared" si="5"/>
        <v>RC</v>
      </c>
      <c r="R38" s="5" t="str">
        <f t="shared" si="6"/>
        <v>57.071%</v>
      </c>
      <c r="S38" s="5">
        <f t="shared" si="7"/>
        <v>-0.57769999999999999</v>
      </c>
      <c r="T38" s="5" t="str">
        <f t="shared" si="8"/>
        <v>RC</v>
      </c>
      <c r="U38" s="5" t="str">
        <f t="shared" si="9"/>
        <v>57.973%</v>
      </c>
      <c r="V38" s="5">
        <f t="shared" si="10"/>
        <v>-606</v>
      </c>
      <c r="W38" s="5" t="str">
        <f t="shared" si="11"/>
        <v>RC</v>
      </c>
      <c r="X38" s="5" t="str">
        <f t="shared" si="12"/>
        <v>51.867%</v>
      </c>
      <c r="Y38" s="5" t="b">
        <f>G38='5'!G38</f>
        <v>0</v>
      </c>
    </row>
    <row r="39" spans="1:36">
      <c r="A39">
        <v>83</v>
      </c>
      <c r="B39" t="s">
        <v>108</v>
      </c>
      <c r="C39">
        <v>89291281</v>
      </c>
      <c r="D39">
        <v>0.80779999999999996</v>
      </c>
      <c r="E39">
        <v>0.77839999999999998</v>
      </c>
      <c r="F39">
        <v>699</v>
      </c>
      <c r="G39" t="s">
        <v>108</v>
      </c>
      <c r="H39">
        <v>118975010</v>
      </c>
      <c r="I39">
        <v>1.4579</v>
      </c>
      <c r="J39">
        <v>1.3738999999999999</v>
      </c>
      <c r="K39">
        <v>1259</v>
      </c>
      <c r="L39" s="5" t="b">
        <f t="shared" si="0"/>
        <v>1</v>
      </c>
      <c r="M39" s="5">
        <f t="shared" si="1"/>
        <v>-29683729</v>
      </c>
      <c r="N39" s="5" t="str">
        <f t="shared" si="2"/>
        <v>RC</v>
      </c>
      <c r="O39" s="5" t="str">
        <f t="shared" si="3"/>
        <v>75.050%</v>
      </c>
      <c r="P39" s="5">
        <f t="shared" si="4"/>
        <v>-0.65010000000000001</v>
      </c>
      <c r="Q39" s="5" t="str">
        <f t="shared" si="5"/>
        <v>RC</v>
      </c>
      <c r="R39" s="5" t="str">
        <f t="shared" si="6"/>
        <v>55.408%</v>
      </c>
      <c r="S39" s="5">
        <f t="shared" si="7"/>
        <v>-0.59549999999999992</v>
      </c>
      <c r="T39" s="5" t="str">
        <f t="shared" si="8"/>
        <v>RC</v>
      </c>
      <c r="U39" s="5" t="str">
        <f t="shared" si="9"/>
        <v>56.656%</v>
      </c>
      <c r="V39" s="5">
        <f t="shared" si="10"/>
        <v>-560</v>
      </c>
      <c r="W39" s="5" t="str">
        <f t="shared" si="11"/>
        <v>RC</v>
      </c>
      <c r="X39" s="5" t="str">
        <f t="shared" si="12"/>
        <v>55.520%</v>
      </c>
      <c r="Y39" s="5" t="b">
        <f>G39='5'!G39</f>
        <v>0</v>
      </c>
    </row>
    <row r="40" spans="1:36">
      <c r="A40">
        <v>84</v>
      </c>
      <c r="B40" t="s">
        <v>108</v>
      </c>
      <c r="C40">
        <v>93439055</v>
      </c>
      <c r="D40">
        <v>0.85940000000000005</v>
      </c>
      <c r="E40">
        <v>0.81789999999999996</v>
      </c>
      <c r="F40">
        <v>653</v>
      </c>
      <c r="G40" t="s">
        <v>108</v>
      </c>
      <c r="H40">
        <v>117405868</v>
      </c>
      <c r="I40">
        <v>1.4547000000000001</v>
      </c>
      <c r="J40">
        <v>1.3651</v>
      </c>
      <c r="K40">
        <v>1259</v>
      </c>
      <c r="L40" s="5" t="b">
        <f t="shared" si="0"/>
        <v>1</v>
      </c>
      <c r="M40" s="5">
        <f t="shared" si="1"/>
        <v>-23966813</v>
      </c>
      <c r="N40" s="5" t="str">
        <f t="shared" si="2"/>
        <v>RC</v>
      </c>
      <c r="O40" s="5" t="str">
        <f t="shared" si="3"/>
        <v>79.586%</v>
      </c>
      <c r="P40" s="5">
        <f t="shared" si="4"/>
        <v>-0.59530000000000005</v>
      </c>
      <c r="Q40" s="5" t="str">
        <f t="shared" si="5"/>
        <v>RC</v>
      </c>
      <c r="R40" s="5" t="str">
        <f t="shared" si="6"/>
        <v>59.077%</v>
      </c>
      <c r="S40" s="5">
        <f t="shared" si="7"/>
        <v>-0.54720000000000002</v>
      </c>
      <c r="T40" s="5" t="str">
        <f t="shared" si="8"/>
        <v>RC</v>
      </c>
      <c r="U40" s="5" t="str">
        <f t="shared" si="9"/>
        <v>59.915%</v>
      </c>
      <c r="V40" s="5">
        <f t="shared" si="10"/>
        <v>-606</v>
      </c>
      <c r="W40" s="5" t="str">
        <f t="shared" si="11"/>
        <v>RC</v>
      </c>
      <c r="X40" s="5" t="str">
        <f t="shared" si="12"/>
        <v>51.867%</v>
      </c>
      <c r="Y40" s="5" t="b">
        <f>G40='5'!G40</f>
        <v>0</v>
      </c>
      <c r="AF40" t="s">
        <v>121</v>
      </c>
    </row>
    <row r="41" spans="1:36" ht="15" customHeight="1">
      <c r="A41">
        <v>86</v>
      </c>
      <c r="B41" t="s">
        <v>104</v>
      </c>
      <c r="C41">
        <v>142541904</v>
      </c>
      <c r="D41">
        <v>1.3514999999999999</v>
      </c>
      <c r="E41">
        <v>1.2678</v>
      </c>
      <c r="F41">
        <v>1103</v>
      </c>
      <c r="G41" t="s">
        <v>104</v>
      </c>
      <c r="H41">
        <v>192959914</v>
      </c>
      <c r="I41">
        <v>2.3889999999999998</v>
      </c>
      <c r="J41">
        <v>2.2210000000000001</v>
      </c>
      <c r="K41">
        <v>2273</v>
      </c>
      <c r="L41" s="5" t="b">
        <f t="shared" si="0"/>
        <v>1</v>
      </c>
      <c r="M41" s="5">
        <f t="shared" si="1"/>
        <v>-50418010</v>
      </c>
      <c r="N41" s="5" t="str">
        <f t="shared" si="2"/>
        <v>RC</v>
      </c>
      <c r="O41" s="5" t="str">
        <f t="shared" si="3"/>
        <v>73.871%</v>
      </c>
      <c r="P41" s="5">
        <f t="shared" si="4"/>
        <v>-1.0374999999999999</v>
      </c>
      <c r="Q41" s="5" t="str">
        <f t="shared" si="5"/>
        <v>RC</v>
      </c>
      <c r="R41" s="5" t="str">
        <f t="shared" si="6"/>
        <v>56.572%</v>
      </c>
      <c r="S41" s="5">
        <f t="shared" si="7"/>
        <v>-0.95320000000000005</v>
      </c>
      <c r="T41" s="5" t="str">
        <f t="shared" si="8"/>
        <v>RC</v>
      </c>
      <c r="U41" s="5" t="str">
        <f t="shared" si="9"/>
        <v>57.082%</v>
      </c>
      <c r="V41" s="5">
        <f t="shared" si="10"/>
        <v>-1170</v>
      </c>
      <c r="W41" s="5" t="str">
        <f t="shared" si="11"/>
        <v>RC</v>
      </c>
      <c r="X41" s="5" t="str">
        <f t="shared" si="12"/>
        <v>48.526%</v>
      </c>
      <c r="Y41" s="5" t="b">
        <f>G41='5'!G41</f>
        <v>0</v>
      </c>
      <c r="Z41" s="2" t="s">
        <v>111</v>
      </c>
      <c r="AA41" s="2" t="s">
        <v>112</v>
      </c>
      <c r="AB41" s="2" t="s">
        <v>113</v>
      </c>
      <c r="AC41" s="2" t="s">
        <v>114</v>
      </c>
      <c r="AD41" s="2" t="s">
        <v>115</v>
      </c>
      <c r="AF41" t="str">
        <f>'3'!Z41</f>
        <v>Both succeed:</v>
      </c>
      <c r="AG41" t="str">
        <f>'3'!AA41</f>
        <v>Total memory</v>
      </c>
      <c r="AH41" t="str">
        <f>'3'!AB41</f>
        <v>total cputime</v>
      </c>
      <c r="AI41" t="str">
        <f>'3'!AC41</f>
        <v>total realtime</v>
      </c>
      <c r="AJ41" t="str">
        <f>'3'!AD41</f>
        <v>total cells</v>
      </c>
    </row>
    <row r="42" spans="1:36">
      <c r="A42">
        <v>88</v>
      </c>
      <c r="B42" t="s">
        <v>104</v>
      </c>
      <c r="C42">
        <v>145574470</v>
      </c>
      <c r="D42">
        <v>1.3812</v>
      </c>
      <c r="E42">
        <v>1.2996000000000001</v>
      </c>
      <c r="F42">
        <v>1141</v>
      </c>
      <c r="G42" t="s">
        <v>104</v>
      </c>
      <c r="H42">
        <v>198322700</v>
      </c>
      <c r="I42">
        <v>2.4922</v>
      </c>
      <c r="J42">
        <v>2.2888000000000002</v>
      </c>
      <c r="K42">
        <v>2273</v>
      </c>
      <c r="L42" s="5" t="b">
        <f t="shared" si="0"/>
        <v>1</v>
      </c>
      <c r="M42" s="5">
        <f t="shared" si="1"/>
        <v>-52748230</v>
      </c>
      <c r="N42" s="5" t="str">
        <f t="shared" si="2"/>
        <v>RC</v>
      </c>
      <c r="O42" s="5" t="str">
        <f t="shared" si="3"/>
        <v>73.403%</v>
      </c>
      <c r="P42" s="5">
        <f t="shared" si="4"/>
        <v>-1.111</v>
      </c>
      <c r="Q42" s="5" t="str">
        <f t="shared" si="5"/>
        <v>RC</v>
      </c>
      <c r="R42" s="5" t="str">
        <f t="shared" si="6"/>
        <v>55.421%</v>
      </c>
      <c r="S42" s="5">
        <f t="shared" si="7"/>
        <v>-0.98920000000000008</v>
      </c>
      <c r="T42" s="5" t="str">
        <f t="shared" si="8"/>
        <v>RC</v>
      </c>
      <c r="U42" s="5" t="str">
        <f t="shared" si="9"/>
        <v>56.781%</v>
      </c>
      <c r="V42" s="5">
        <f t="shared" si="10"/>
        <v>-1132</v>
      </c>
      <c r="W42" s="5" t="str">
        <f t="shared" si="11"/>
        <v>RC</v>
      </c>
      <c r="X42" s="5" t="str">
        <f t="shared" si="12"/>
        <v>50.198%</v>
      </c>
      <c r="Y42" s="5" t="b">
        <f>G42='5'!G42</f>
        <v>0</v>
      </c>
      <c r="Z42" s="5" t="s">
        <v>30</v>
      </c>
      <c r="AA42">
        <f>SUMIFS(C2:C68,C2:C68,"&gt;0",H2:H68,"&gt;0")</f>
        <v>34368675384</v>
      </c>
      <c r="AB42">
        <f>SUMIFS(D2:D68,D2:D68,"&gt;0",I2:I68,"&gt;0")</f>
        <v>369.68600000000004</v>
      </c>
      <c r="AC42">
        <f>SUMIFS(E2:E68,E2:E68,"&gt;0",J2:J68,"&gt;0")</f>
        <v>311.24060000000003</v>
      </c>
      <c r="AD42">
        <f>SUMIFS(F2:F68,F2:F68,"&gt;0",K2:K68,"&gt;0")</f>
        <v>217927</v>
      </c>
      <c r="AF42" t="str">
        <f>'3'!Z42</f>
        <v>RC</v>
      </c>
      <c r="AG42">
        <f>'3'!AA42</f>
        <v>40396298838</v>
      </c>
      <c r="AH42">
        <f>'3'!AB42</f>
        <v>432.09569999999997</v>
      </c>
      <c r="AI42">
        <f>'3'!AC42</f>
        <v>368.57430000000005</v>
      </c>
      <c r="AJ42">
        <f>'3'!AD42</f>
        <v>307503</v>
      </c>
    </row>
    <row r="43" spans="1:36">
      <c r="A43">
        <v>90</v>
      </c>
      <c r="B43" t="s">
        <v>104</v>
      </c>
      <c r="C43">
        <v>142789564</v>
      </c>
      <c r="D43">
        <v>1.3531</v>
      </c>
      <c r="E43">
        <v>1.2775000000000001</v>
      </c>
      <c r="F43">
        <v>1117</v>
      </c>
      <c r="G43" t="s">
        <v>104</v>
      </c>
      <c r="H43">
        <v>192667572</v>
      </c>
      <c r="I43">
        <v>2.4062999999999999</v>
      </c>
      <c r="J43">
        <v>2.2204000000000002</v>
      </c>
      <c r="K43">
        <v>2273</v>
      </c>
      <c r="L43" s="5" t="b">
        <f t="shared" si="0"/>
        <v>1</v>
      </c>
      <c r="M43" s="5">
        <f t="shared" si="1"/>
        <v>-49878008</v>
      </c>
      <c r="N43" s="5" t="str">
        <f t="shared" si="2"/>
        <v>RC</v>
      </c>
      <c r="O43" s="5" t="str">
        <f t="shared" si="3"/>
        <v>74.112%</v>
      </c>
      <c r="P43" s="5">
        <f t="shared" si="4"/>
        <v>-1.0531999999999999</v>
      </c>
      <c r="Q43" s="5" t="str">
        <f t="shared" si="5"/>
        <v>RC</v>
      </c>
      <c r="R43" s="5" t="str">
        <f t="shared" si="6"/>
        <v>56.232%</v>
      </c>
      <c r="S43" s="5">
        <f t="shared" si="7"/>
        <v>-0.94290000000000007</v>
      </c>
      <c r="T43" s="5" t="str">
        <f t="shared" si="8"/>
        <v>RC</v>
      </c>
      <c r="U43" s="5" t="str">
        <f t="shared" si="9"/>
        <v>57.535%</v>
      </c>
      <c r="V43" s="5">
        <f t="shared" si="10"/>
        <v>-1156</v>
      </c>
      <c r="W43" s="5" t="str">
        <f t="shared" si="11"/>
        <v>RC</v>
      </c>
      <c r="X43" s="5" t="str">
        <f t="shared" si="12"/>
        <v>49.142%</v>
      </c>
      <c r="Y43" s="5" t="b">
        <f>G43='5'!G43</f>
        <v>0</v>
      </c>
      <c r="Z43" s="5" t="s">
        <v>31</v>
      </c>
      <c r="AA43">
        <f>SUMIFS(H2:H68,C2:C68,"&gt;0",H2:H68,"&gt;0")</f>
        <v>27567500168</v>
      </c>
      <c r="AB43">
        <f>SUMIFS(I2:I68,D2:D68,"&gt;0",I2:I68,"&gt;0")</f>
        <v>401.94649999999996</v>
      </c>
      <c r="AC43">
        <f>SUMIFS(J2:J68,E2:E68,"&gt;0",J2:J68,"&gt;0")</f>
        <v>328.09960000000007</v>
      </c>
      <c r="AD43">
        <f>SUMIFS(K2:K68,F2:F68,"&gt;0",K2:K68,"&gt;0")</f>
        <v>245697</v>
      </c>
      <c r="AF43" t="str">
        <f>'3'!Z43</f>
        <v>QE</v>
      </c>
      <c r="AG43">
        <f>'3'!AA43</f>
        <v>34558845996</v>
      </c>
      <c r="AH43">
        <f>'3'!AB43</f>
        <v>505.01369999999991</v>
      </c>
      <c r="AI43">
        <f>'3'!AC43</f>
        <v>414.51420000000002</v>
      </c>
      <c r="AJ43">
        <f>'3'!AD43</f>
        <v>307871</v>
      </c>
    </row>
    <row r="44" spans="1:36">
      <c r="A44">
        <v>92</v>
      </c>
      <c r="B44" t="s">
        <v>104</v>
      </c>
      <c r="C44">
        <v>795932025</v>
      </c>
      <c r="D44">
        <v>8.3000000000000007</v>
      </c>
      <c r="E44">
        <v>7.2053000000000003</v>
      </c>
      <c r="F44">
        <v>5037</v>
      </c>
      <c r="G44" t="s">
        <v>104</v>
      </c>
      <c r="H44">
        <v>533876260</v>
      </c>
      <c r="I44">
        <v>7.5515999999999996</v>
      </c>
      <c r="J44">
        <v>6.3103999999999996</v>
      </c>
      <c r="K44">
        <v>5041</v>
      </c>
      <c r="L44" s="5" t="b">
        <f t="shared" si="0"/>
        <v>1</v>
      </c>
      <c r="M44" s="5">
        <f t="shared" si="1"/>
        <v>262055765</v>
      </c>
      <c r="N44" s="5" t="str">
        <f t="shared" si="2"/>
        <v>QE</v>
      </c>
      <c r="O44" s="5" t="str">
        <f t="shared" si="3"/>
        <v>67.076%</v>
      </c>
      <c r="P44" s="5">
        <f t="shared" si="4"/>
        <v>0.74840000000000106</v>
      </c>
      <c r="Q44" s="5" t="str">
        <f t="shared" si="5"/>
        <v>QE</v>
      </c>
      <c r="R44" s="5" t="str">
        <f t="shared" si="6"/>
        <v>90.983%</v>
      </c>
      <c r="S44" s="5">
        <f t="shared" si="7"/>
        <v>0.89490000000000069</v>
      </c>
      <c r="T44" s="5" t="str">
        <f t="shared" si="8"/>
        <v>QE</v>
      </c>
      <c r="U44" s="5" t="str">
        <f t="shared" si="9"/>
        <v>87.580%</v>
      </c>
      <c r="V44" s="5">
        <f t="shared" si="10"/>
        <v>-4</v>
      </c>
      <c r="W44" s="5" t="str">
        <f t="shared" si="11"/>
        <v>RC</v>
      </c>
      <c r="X44" s="5" t="str">
        <f t="shared" si="12"/>
        <v>99.921%</v>
      </c>
      <c r="Y44" s="5" t="b">
        <f>G44='5'!G44</f>
        <v>0</v>
      </c>
    </row>
    <row r="45" spans="1:36">
      <c r="A45">
        <v>93</v>
      </c>
      <c r="B45" t="s">
        <v>104</v>
      </c>
      <c r="C45">
        <v>146272152</v>
      </c>
      <c r="D45">
        <v>1.4016</v>
      </c>
      <c r="E45">
        <v>1.3082</v>
      </c>
      <c r="F45">
        <v>1161</v>
      </c>
      <c r="G45" t="s">
        <v>104</v>
      </c>
      <c r="H45">
        <v>200648961</v>
      </c>
      <c r="I45">
        <v>2.4579</v>
      </c>
      <c r="J45">
        <v>2.2875000000000001</v>
      </c>
      <c r="K45">
        <v>2273</v>
      </c>
      <c r="L45" s="5" t="b">
        <f t="shared" si="0"/>
        <v>1</v>
      </c>
      <c r="M45" s="5">
        <f t="shared" si="1"/>
        <v>-54376809</v>
      </c>
      <c r="N45" s="5" t="str">
        <f t="shared" si="2"/>
        <v>RC</v>
      </c>
      <c r="O45" s="5" t="str">
        <f t="shared" si="3"/>
        <v>72.900%</v>
      </c>
      <c r="P45" s="5">
        <f t="shared" si="4"/>
        <v>-1.0563</v>
      </c>
      <c r="Q45" s="5" t="str">
        <f t="shared" si="5"/>
        <v>RC</v>
      </c>
      <c r="R45" s="5" t="str">
        <f t="shared" si="6"/>
        <v>57.024%</v>
      </c>
      <c r="S45" s="5">
        <f t="shared" si="7"/>
        <v>-0.97930000000000006</v>
      </c>
      <c r="T45" s="5" t="str">
        <f t="shared" si="8"/>
        <v>RC</v>
      </c>
      <c r="U45" s="5" t="str">
        <f t="shared" si="9"/>
        <v>57.189%</v>
      </c>
      <c r="V45" s="5">
        <f t="shared" si="10"/>
        <v>-1112</v>
      </c>
      <c r="W45" s="5" t="str">
        <f t="shared" si="11"/>
        <v>RC</v>
      </c>
      <c r="X45" s="5" t="str">
        <f t="shared" si="12"/>
        <v>51.078%</v>
      </c>
      <c r="Y45" s="5" t="b">
        <f>G45='5'!G45</f>
        <v>0</v>
      </c>
    </row>
    <row r="46" spans="1:36">
      <c r="A46">
        <v>94</v>
      </c>
      <c r="B46" t="s">
        <v>104</v>
      </c>
      <c r="C46">
        <v>1045987318</v>
      </c>
      <c r="D46">
        <v>11.324999999999999</v>
      </c>
      <c r="E46">
        <v>9.4473000000000003</v>
      </c>
      <c r="F46">
        <v>6531</v>
      </c>
      <c r="G46" t="s">
        <v>104</v>
      </c>
      <c r="H46">
        <v>705528472</v>
      </c>
      <c r="I46">
        <v>10.329700000000001</v>
      </c>
      <c r="J46">
        <v>8.3977000000000004</v>
      </c>
      <c r="K46">
        <v>6535</v>
      </c>
      <c r="L46" s="5" t="b">
        <f t="shared" si="0"/>
        <v>1</v>
      </c>
      <c r="M46" s="5">
        <f t="shared" si="1"/>
        <v>340458846</v>
      </c>
      <c r="N46" s="5" t="str">
        <f t="shared" si="2"/>
        <v>QE</v>
      </c>
      <c r="O46" s="5" t="str">
        <f t="shared" si="3"/>
        <v>67.451%</v>
      </c>
      <c r="P46" s="5">
        <f t="shared" si="4"/>
        <v>0.99529999999999852</v>
      </c>
      <c r="Q46" s="5" t="str">
        <f t="shared" si="5"/>
        <v>QE</v>
      </c>
      <c r="R46" s="5" t="str">
        <f t="shared" si="6"/>
        <v>91.211%</v>
      </c>
      <c r="S46" s="5">
        <f t="shared" si="7"/>
        <v>1.0495999999999999</v>
      </c>
      <c r="T46" s="5" t="str">
        <f t="shared" si="8"/>
        <v>QE</v>
      </c>
      <c r="U46" s="5" t="str">
        <f t="shared" si="9"/>
        <v>88.890%</v>
      </c>
      <c r="V46" s="5">
        <f t="shared" si="10"/>
        <v>-4</v>
      </c>
      <c r="W46" s="5" t="str">
        <f t="shared" si="11"/>
        <v>RC</v>
      </c>
      <c r="X46" s="5" t="str">
        <f t="shared" si="12"/>
        <v>99.939%</v>
      </c>
      <c r="Y46" s="5" t="b">
        <f>G46='5'!G46</f>
        <v>0</v>
      </c>
      <c r="Z46" t="s">
        <v>116</v>
      </c>
      <c r="AA46" s="23">
        <f>AA42/AA43</f>
        <v>1.2467099002286293</v>
      </c>
      <c r="AB46" s="23">
        <f>AB42/AB43</f>
        <v>0.91973931854114932</v>
      </c>
      <c r="AC46" s="23">
        <f>AC42/AC43</f>
        <v>0.94861621288169806</v>
      </c>
      <c r="AD46" s="23">
        <f>AD42/AD43</f>
        <v>0.88697460693455765</v>
      </c>
    </row>
    <row r="47" spans="1:36">
      <c r="A47">
        <v>96</v>
      </c>
      <c r="B47" t="s">
        <v>104</v>
      </c>
      <c r="C47">
        <v>1045207316</v>
      </c>
      <c r="D47">
        <v>11.112500000000001</v>
      </c>
      <c r="E47">
        <v>9.4076000000000004</v>
      </c>
      <c r="F47">
        <v>6531</v>
      </c>
      <c r="G47" t="s">
        <v>104</v>
      </c>
      <c r="H47">
        <v>699593699</v>
      </c>
      <c r="I47">
        <v>10.35</v>
      </c>
      <c r="J47">
        <v>8.3819999999999997</v>
      </c>
      <c r="K47">
        <v>6535</v>
      </c>
      <c r="L47" s="5" t="b">
        <f t="shared" si="0"/>
        <v>1</v>
      </c>
      <c r="M47" s="5">
        <f t="shared" si="1"/>
        <v>345613617</v>
      </c>
      <c r="N47" s="5" t="str">
        <f t="shared" si="2"/>
        <v>QE</v>
      </c>
      <c r="O47" s="5" t="str">
        <f t="shared" si="3"/>
        <v>66.933%</v>
      </c>
      <c r="P47" s="5">
        <f t="shared" si="4"/>
        <v>0.76250000000000107</v>
      </c>
      <c r="Q47" s="5" t="str">
        <f t="shared" si="5"/>
        <v>QE</v>
      </c>
      <c r="R47" s="5" t="str">
        <f t="shared" si="6"/>
        <v>93.138%</v>
      </c>
      <c r="S47" s="5">
        <f t="shared" si="7"/>
        <v>1.0256000000000007</v>
      </c>
      <c r="T47" s="5" t="str">
        <f t="shared" si="8"/>
        <v>QE</v>
      </c>
      <c r="U47" s="5" t="str">
        <f t="shared" si="9"/>
        <v>89.098%</v>
      </c>
      <c r="V47" s="5">
        <f t="shared" si="10"/>
        <v>-4</v>
      </c>
      <c r="W47" s="5" t="str">
        <f t="shared" si="11"/>
        <v>RC</v>
      </c>
      <c r="X47" s="5" t="str">
        <f t="shared" si="12"/>
        <v>99.939%</v>
      </c>
      <c r="Y47" s="5" t="b">
        <f>G47='5'!G47</f>
        <v>0</v>
      </c>
      <c r="Z47" t="s">
        <v>117</v>
      </c>
      <c r="AA47" s="23">
        <f>1/AA46</f>
        <v>0.80211122075521646</v>
      </c>
      <c r="AB47" s="23">
        <f>1/AB46</f>
        <v>1.0872645975233033</v>
      </c>
      <c r="AC47" s="23">
        <f>1/AC46</f>
        <v>1.054167097737249</v>
      </c>
      <c r="AD47" s="23">
        <f>1/AD46</f>
        <v>1.1274279919422558</v>
      </c>
    </row>
    <row r="48" spans="1:36">
      <c r="A48">
        <v>98</v>
      </c>
      <c r="B48" t="s">
        <v>104</v>
      </c>
      <c r="C48">
        <v>1048290240</v>
      </c>
      <c r="D48">
        <v>11.6203</v>
      </c>
      <c r="E48">
        <v>10.131600000000001</v>
      </c>
      <c r="F48">
        <v>6531</v>
      </c>
      <c r="G48" t="s">
        <v>104</v>
      </c>
      <c r="H48">
        <v>703457060</v>
      </c>
      <c r="I48">
        <v>10.303100000000001</v>
      </c>
      <c r="J48">
        <v>8.4398</v>
      </c>
      <c r="K48">
        <v>6535</v>
      </c>
      <c r="L48" s="5" t="b">
        <f t="shared" si="0"/>
        <v>1</v>
      </c>
      <c r="M48" s="5">
        <f t="shared" si="1"/>
        <v>344833180</v>
      </c>
      <c r="N48" s="5" t="str">
        <f t="shared" si="2"/>
        <v>QE</v>
      </c>
      <c r="O48" s="5" t="str">
        <f t="shared" si="3"/>
        <v>67.105%</v>
      </c>
      <c r="P48" s="5">
        <f t="shared" si="4"/>
        <v>1.3171999999999997</v>
      </c>
      <c r="Q48" s="5" t="str">
        <f t="shared" si="5"/>
        <v>QE</v>
      </c>
      <c r="R48" s="5" t="str">
        <f t="shared" si="6"/>
        <v>88.665%</v>
      </c>
      <c r="S48" s="5">
        <f t="shared" si="7"/>
        <v>1.6918000000000006</v>
      </c>
      <c r="T48" s="5" t="str">
        <f t="shared" si="8"/>
        <v>QE</v>
      </c>
      <c r="U48" s="5" t="str">
        <f t="shared" si="9"/>
        <v>83.302%</v>
      </c>
      <c r="V48" s="5">
        <f t="shared" si="10"/>
        <v>-4</v>
      </c>
      <c r="W48" s="5" t="str">
        <f t="shared" si="11"/>
        <v>RC</v>
      </c>
      <c r="X48" s="5" t="str">
        <f t="shared" si="12"/>
        <v>99.939%</v>
      </c>
      <c r="Y48" s="5" t="b">
        <f>G48='5'!G48</f>
        <v>0</v>
      </c>
    </row>
    <row r="49" spans="1:36">
      <c r="A49">
        <v>99</v>
      </c>
      <c r="B49" t="s">
        <v>104</v>
      </c>
      <c r="C49">
        <v>1234134701</v>
      </c>
      <c r="D49">
        <v>12.953200000000001</v>
      </c>
      <c r="E49">
        <v>11.0243</v>
      </c>
      <c r="F49">
        <v>6531</v>
      </c>
      <c r="G49" t="s">
        <v>104</v>
      </c>
      <c r="H49">
        <v>710247212</v>
      </c>
      <c r="I49">
        <v>10.3406</v>
      </c>
      <c r="J49">
        <v>8.4847999999999999</v>
      </c>
      <c r="K49">
        <v>6535</v>
      </c>
      <c r="L49" s="5" t="b">
        <f t="shared" si="0"/>
        <v>1</v>
      </c>
      <c r="M49" s="5">
        <f t="shared" si="1"/>
        <v>523887489</v>
      </c>
      <c r="N49" s="5" t="str">
        <f t="shared" si="2"/>
        <v>QE</v>
      </c>
      <c r="O49" s="5" t="str">
        <f t="shared" si="3"/>
        <v>57.550%</v>
      </c>
      <c r="P49" s="5">
        <f t="shared" si="4"/>
        <v>2.6126000000000005</v>
      </c>
      <c r="Q49" s="5" t="str">
        <f t="shared" si="5"/>
        <v>QE</v>
      </c>
      <c r="R49" s="5" t="str">
        <f t="shared" si="6"/>
        <v>79.830%</v>
      </c>
      <c r="S49" s="5">
        <f t="shared" si="7"/>
        <v>2.5395000000000003</v>
      </c>
      <c r="T49" s="5" t="str">
        <f t="shared" si="8"/>
        <v>QE</v>
      </c>
      <c r="U49" s="5" t="str">
        <f t="shared" si="9"/>
        <v>76.965%</v>
      </c>
      <c r="V49" s="5">
        <f t="shared" si="10"/>
        <v>-4</v>
      </c>
      <c r="W49" s="5" t="str">
        <f t="shared" si="11"/>
        <v>RC</v>
      </c>
      <c r="X49" s="5" t="str">
        <f t="shared" si="12"/>
        <v>99.939%</v>
      </c>
      <c r="Y49" s="5" t="b">
        <f>G49='5'!G49</f>
        <v>0</v>
      </c>
    </row>
    <row r="50" spans="1:36">
      <c r="A50">
        <v>101</v>
      </c>
      <c r="B50" t="s">
        <v>104</v>
      </c>
      <c r="C50">
        <v>1044142831</v>
      </c>
      <c r="D50">
        <v>11.2844</v>
      </c>
      <c r="E50">
        <v>9.4786999999999999</v>
      </c>
      <c r="F50">
        <v>6531</v>
      </c>
      <c r="G50" t="s">
        <v>104</v>
      </c>
      <c r="H50">
        <v>701940585</v>
      </c>
      <c r="I50">
        <v>10.3828</v>
      </c>
      <c r="J50">
        <v>8.4400999999999993</v>
      </c>
      <c r="K50">
        <v>6535</v>
      </c>
      <c r="L50" s="5" t="b">
        <f t="shared" si="0"/>
        <v>1</v>
      </c>
      <c r="M50" s="5">
        <f t="shared" si="1"/>
        <v>342202246</v>
      </c>
      <c r="N50" s="5" t="str">
        <f t="shared" si="2"/>
        <v>QE</v>
      </c>
      <c r="O50" s="5" t="str">
        <f t="shared" si="3"/>
        <v>67.226%</v>
      </c>
      <c r="P50" s="5">
        <f t="shared" si="4"/>
        <v>0.90160000000000018</v>
      </c>
      <c r="Q50" s="5" t="str">
        <f t="shared" si="5"/>
        <v>QE</v>
      </c>
      <c r="R50" s="5" t="str">
        <f t="shared" si="6"/>
        <v>92.010%</v>
      </c>
      <c r="S50" s="5">
        <f t="shared" si="7"/>
        <v>1.0386000000000006</v>
      </c>
      <c r="T50" s="5" t="str">
        <f t="shared" si="8"/>
        <v>QE</v>
      </c>
      <c r="U50" s="5" t="str">
        <f t="shared" si="9"/>
        <v>89.043%</v>
      </c>
      <c r="V50" s="5">
        <f t="shared" si="10"/>
        <v>-4</v>
      </c>
      <c r="W50" s="5" t="str">
        <f t="shared" si="11"/>
        <v>RC</v>
      </c>
      <c r="X50" s="5" t="str">
        <f t="shared" si="12"/>
        <v>99.939%</v>
      </c>
      <c r="Y50" s="5" t="b">
        <f>G50='5'!G50</f>
        <v>0</v>
      </c>
    </row>
    <row r="51" spans="1:36">
      <c r="A51">
        <v>103</v>
      </c>
      <c r="B51" t="s">
        <v>104</v>
      </c>
      <c r="C51">
        <v>798596853</v>
      </c>
      <c r="D51">
        <v>8.3234999999999992</v>
      </c>
      <c r="E51">
        <v>7.2404000000000002</v>
      </c>
      <c r="F51">
        <v>5037</v>
      </c>
      <c r="G51" t="s">
        <v>104</v>
      </c>
      <c r="H51">
        <v>533908263</v>
      </c>
      <c r="I51">
        <v>7.7061999999999999</v>
      </c>
      <c r="J51">
        <v>6.3973000000000004</v>
      </c>
      <c r="K51">
        <v>5041</v>
      </c>
      <c r="L51" s="5" t="b">
        <f t="shared" si="0"/>
        <v>1</v>
      </c>
      <c r="M51" s="5">
        <f t="shared" si="1"/>
        <v>264688590</v>
      </c>
      <c r="N51" s="5" t="str">
        <f t="shared" si="2"/>
        <v>QE</v>
      </c>
      <c r="O51" s="5" t="str">
        <f t="shared" si="3"/>
        <v>66.856%</v>
      </c>
      <c r="P51" s="5">
        <f t="shared" si="4"/>
        <v>0.61729999999999929</v>
      </c>
      <c r="Q51" s="5" t="str">
        <f t="shared" si="5"/>
        <v>QE</v>
      </c>
      <c r="R51" s="5" t="str">
        <f t="shared" si="6"/>
        <v>92.584%</v>
      </c>
      <c r="S51" s="5">
        <f t="shared" si="7"/>
        <v>0.84309999999999974</v>
      </c>
      <c r="T51" s="5" t="str">
        <f t="shared" si="8"/>
        <v>QE</v>
      </c>
      <c r="U51" s="5" t="str">
        <f t="shared" si="9"/>
        <v>88.356%</v>
      </c>
      <c r="V51" s="5">
        <f t="shared" si="10"/>
        <v>-4</v>
      </c>
      <c r="W51" s="5" t="str">
        <f t="shared" si="11"/>
        <v>RC</v>
      </c>
      <c r="X51" s="5" t="str">
        <f t="shared" si="12"/>
        <v>99.921%</v>
      </c>
      <c r="Y51" s="5" t="b">
        <f>G51='5'!G51</f>
        <v>0</v>
      </c>
    </row>
    <row r="52" spans="1:36">
      <c r="A52">
        <v>105</v>
      </c>
      <c r="B52" t="s">
        <v>104</v>
      </c>
      <c r="C52">
        <v>1149868565</v>
      </c>
      <c r="D52">
        <v>12.267200000000001</v>
      </c>
      <c r="E52">
        <v>10.371600000000001</v>
      </c>
      <c r="F52">
        <v>7115</v>
      </c>
      <c r="G52" t="s">
        <v>104</v>
      </c>
      <c r="H52">
        <v>804695880</v>
      </c>
      <c r="I52">
        <v>11.6891</v>
      </c>
      <c r="J52">
        <v>9.5617999999999999</v>
      </c>
      <c r="K52">
        <v>7119</v>
      </c>
      <c r="L52" s="5" t="b">
        <f t="shared" si="0"/>
        <v>1</v>
      </c>
      <c r="M52" s="5">
        <f t="shared" si="1"/>
        <v>345172685</v>
      </c>
      <c r="N52" s="5" t="str">
        <f t="shared" si="2"/>
        <v>QE</v>
      </c>
      <c r="O52" s="5" t="str">
        <f t="shared" si="3"/>
        <v>69.982%</v>
      </c>
      <c r="P52" s="5">
        <f t="shared" si="4"/>
        <v>0.57810000000000095</v>
      </c>
      <c r="Q52" s="5" t="str">
        <f t="shared" si="5"/>
        <v>QE</v>
      </c>
      <c r="R52" s="5" t="str">
        <f t="shared" si="6"/>
        <v>95.287%</v>
      </c>
      <c r="S52" s="5">
        <f t="shared" si="7"/>
        <v>0.80980000000000096</v>
      </c>
      <c r="T52" s="5" t="str">
        <f t="shared" si="8"/>
        <v>QE</v>
      </c>
      <c r="U52" s="5" t="str">
        <f t="shared" si="9"/>
        <v>92.192%</v>
      </c>
      <c r="V52" s="5">
        <f t="shared" si="10"/>
        <v>-4</v>
      </c>
      <c r="W52" s="5" t="str">
        <f t="shared" si="11"/>
        <v>RC</v>
      </c>
      <c r="X52" s="5" t="str">
        <f t="shared" si="12"/>
        <v>99.944%</v>
      </c>
      <c r="Y52" s="5" t="b">
        <f>G52='5'!G52</f>
        <v>0</v>
      </c>
    </row>
    <row r="53" spans="1:36">
      <c r="A53">
        <v>106</v>
      </c>
      <c r="B53" t="s">
        <v>104</v>
      </c>
      <c r="C53">
        <v>825529991</v>
      </c>
      <c r="D53">
        <v>8.7608999999999995</v>
      </c>
      <c r="E53">
        <v>7.5313999999999997</v>
      </c>
      <c r="F53">
        <v>5227</v>
      </c>
      <c r="G53" t="s">
        <v>104</v>
      </c>
      <c r="H53">
        <v>571030332</v>
      </c>
      <c r="I53">
        <v>7.9280999999999997</v>
      </c>
      <c r="J53">
        <v>6.6676000000000002</v>
      </c>
      <c r="K53">
        <v>5231</v>
      </c>
      <c r="L53" s="5" t="b">
        <f t="shared" si="0"/>
        <v>1</v>
      </c>
      <c r="M53" s="5">
        <f t="shared" si="1"/>
        <v>254499659</v>
      </c>
      <c r="N53" s="5" t="str">
        <f t="shared" si="2"/>
        <v>QE</v>
      </c>
      <c r="O53" s="5" t="str">
        <f t="shared" si="3"/>
        <v>69.171%</v>
      </c>
      <c r="P53" s="5">
        <f t="shared" si="4"/>
        <v>0.83279999999999976</v>
      </c>
      <c r="Q53" s="5" t="str">
        <f t="shared" si="5"/>
        <v>QE</v>
      </c>
      <c r="R53" s="5" t="str">
        <f t="shared" si="6"/>
        <v>90.494%</v>
      </c>
      <c r="S53" s="5">
        <f t="shared" si="7"/>
        <v>0.86379999999999946</v>
      </c>
      <c r="T53" s="5" t="str">
        <f t="shared" si="8"/>
        <v>QE</v>
      </c>
      <c r="U53" s="5" t="str">
        <f t="shared" si="9"/>
        <v>88.531%</v>
      </c>
      <c r="V53" s="5">
        <f t="shared" si="10"/>
        <v>-4</v>
      </c>
      <c r="W53" s="5" t="str">
        <f t="shared" si="11"/>
        <v>RC</v>
      </c>
      <c r="X53" s="5" t="str">
        <f t="shared" si="12"/>
        <v>99.924%</v>
      </c>
      <c r="Y53" s="5" t="b">
        <f>G53='5'!G53</f>
        <v>0</v>
      </c>
      <c r="Z53" t="s">
        <v>124</v>
      </c>
      <c r="AA53">
        <f>AA42/AG42</f>
        <v>0.8507877298815818</v>
      </c>
      <c r="AB53">
        <f t="shared" ref="AB53:AD54" si="13">AB42/AH42</f>
        <v>0.85556509819468252</v>
      </c>
      <c r="AC53">
        <f t="shared" si="13"/>
        <v>0.84444466149701702</v>
      </c>
      <c r="AD53">
        <f t="shared" si="13"/>
        <v>0.70869877692250161</v>
      </c>
    </row>
    <row r="54" spans="1:36">
      <c r="A54">
        <v>108</v>
      </c>
      <c r="B54" t="s">
        <v>104</v>
      </c>
      <c r="C54">
        <v>1150119464</v>
      </c>
      <c r="D54">
        <v>12.4125</v>
      </c>
      <c r="E54">
        <v>10.404299999999999</v>
      </c>
      <c r="F54">
        <v>7115</v>
      </c>
      <c r="G54" t="s">
        <v>104</v>
      </c>
      <c r="H54">
        <v>795284770</v>
      </c>
      <c r="I54">
        <v>11.551500000000001</v>
      </c>
      <c r="J54">
        <v>9.4707000000000008</v>
      </c>
      <c r="K54">
        <v>7119</v>
      </c>
      <c r="L54" s="5" t="b">
        <f t="shared" si="0"/>
        <v>1</v>
      </c>
      <c r="M54" s="5">
        <f t="shared" si="1"/>
        <v>354834694</v>
      </c>
      <c r="N54" s="5" t="str">
        <f t="shared" si="2"/>
        <v>QE</v>
      </c>
      <c r="O54" s="5" t="str">
        <f t="shared" si="3"/>
        <v>69.148%</v>
      </c>
      <c r="P54" s="5">
        <f t="shared" si="4"/>
        <v>0.86099999999999888</v>
      </c>
      <c r="Q54" s="5" t="str">
        <f t="shared" si="5"/>
        <v>QE</v>
      </c>
      <c r="R54" s="5" t="str">
        <f t="shared" si="6"/>
        <v>93.063%</v>
      </c>
      <c r="S54" s="5">
        <f t="shared" si="7"/>
        <v>0.93359999999999843</v>
      </c>
      <c r="T54" s="5" t="str">
        <f t="shared" si="8"/>
        <v>QE</v>
      </c>
      <c r="U54" s="5" t="str">
        <f t="shared" si="9"/>
        <v>91.027%</v>
      </c>
      <c r="V54" s="5">
        <f t="shared" si="10"/>
        <v>-4</v>
      </c>
      <c r="W54" s="5" t="str">
        <f t="shared" si="11"/>
        <v>RC</v>
      </c>
      <c r="X54" s="5" t="str">
        <f t="shared" si="12"/>
        <v>99.944%</v>
      </c>
      <c r="Y54" s="5" t="b">
        <f>G54='5'!G54</f>
        <v>0</v>
      </c>
      <c r="Z54" t="s">
        <v>124</v>
      </c>
      <c r="AA54">
        <f>AA43/AG43</f>
        <v>0.79769735862102542</v>
      </c>
      <c r="AB54">
        <f t="shared" si="13"/>
        <v>0.79591207129628372</v>
      </c>
      <c r="AC54">
        <f t="shared" si="13"/>
        <v>0.79152801037937914</v>
      </c>
      <c r="AD54">
        <f t="shared" si="13"/>
        <v>0.79805178142793576</v>
      </c>
    </row>
    <row r="55" spans="1:36">
      <c r="A55">
        <v>109</v>
      </c>
      <c r="B55" t="s">
        <v>104</v>
      </c>
      <c r="C55">
        <v>1134192120</v>
      </c>
      <c r="D55">
        <v>12.2218</v>
      </c>
      <c r="E55">
        <v>10.2966</v>
      </c>
      <c r="F55">
        <v>7115</v>
      </c>
      <c r="G55" t="s">
        <v>104</v>
      </c>
      <c r="H55">
        <v>804830466</v>
      </c>
      <c r="I55">
        <v>11.6312</v>
      </c>
      <c r="J55">
        <v>9.5609999999999999</v>
      </c>
      <c r="K55">
        <v>7119</v>
      </c>
      <c r="L55" s="5" t="b">
        <f t="shared" si="0"/>
        <v>1</v>
      </c>
      <c r="M55" s="5">
        <f t="shared" si="1"/>
        <v>329361654</v>
      </c>
      <c r="N55" s="5" t="str">
        <f t="shared" si="2"/>
        <v>QE</v>
      </c>
      <c r="O55" s="5" t="str">
        <f t="shared" si="3"/>
        <v>70.961%</v>
      </c>
      <c r="P55" s="5">
        <f t="shared" si="4"/>
        <v>0.59060000000000024</v>
      </c>
      <c r="Q55" s="5" t="str">
        <f t="shared" si="5"/>
        <v>QE</v>
      </c>
      <c r="R55" s="5" t="str">
        <f t="shared" si="6"/>
        <v>95.168%</v>
      </c>
      <c r="S55" s="5">
        <f t="shared" si="7"/>
        <v>0.73559999999999981</v>
      </c>
      <c r="T55" s="5" t="str">
        <f t="shared" si="8"/>
        <v>QE</v>
      </c>
      <c r="U55" s="5" t="str">
        <f t="shared" si="9"/>
        <v>92.856%</v>
      </c>
      <c r="V55" s="5">
        <f t="shared" si="10"/>
        <v>-4</v>
      </c>
      <c r="W55" s="5" t="str">
        <f t="shared" si="11"/>
        <v>RC</v>
      </c>
      <c r="X55" s="5" t="str">
        <f t="shared" si="12"/>
        <v>99.944%</v>
      </c>
      <c r="Y55" s="5" t="b">
        <f>G55='5'!G55</f>
        <v>0</v>
      </c>
      <c r="AF55" t="s">
        <v>122</v>
      </c>
    </row>
    <row r="56" spans="1:36">
      <c r="A56">
        <v>112</v>
      </c>
      <c r="B56" t="s">
        <v>104</v>
      </c>
      <c r="C56">
        <v>825811791</v>
      </c>
      <c r="D56">
        <v>8.6593999999999998</v>
      </c>
      <c r="E56">
        <v>7.4817</v>
      </c>
      <c r="F56">
        <v>5227</v>
      </c>
      <c r="G56" t="s">
        <v>104</v>
      </c>
      <c r="H56">
        <v>561662462</v>
      </c>
      <c r="I56">
        <v>7.9047000000000001</v>
      </c>
      <c r="J56">
        <v>6.649</v>
      </c>
      <c r="K56">
        <v>5231</v>
      </c>
      <c r="L56" s="5" t="b">
        <f t="shared" si="0"/>
        <v>1</v>
      </c>
      <c r="M56" s="5">
        <f t="shared" si="1"/>
        <v>264149329</v>
      </c>
      <c r="N56" s="5" t="str">
        <f t="shared" si="2"/>
        <v>QE</v>
      </c>
      <c r="O56" s="5" t="str">
        <f t="shared" si="3"/>
        <v>68.013%</v>
      </c>
      <c r="P56" s="5">
        <f t="shared" si="4"/>
        <v>0.7546999999999997</v>
      </c>
      <c r="Q56" s="5" t="str">
        <f t="shared" si="5"/>
        <v>QE</v>
      </c>
      <c r="R56" s="5" t="str">
        <f t="shared" si="6"/>
        <v>91.285%</v>
      </c>
      <c r="S56" s="5">
        <f t="shared" si="7"/>
        <v>0.8327</v>
      </c>
      <c r="T56" s="5" t="str">
        <f t="shared" si="8"/>
        <v>QE</v>
      </c>
      <c r="U56" s="5" t="str">
        <f t="shared" si="9"/>
        <v>88.870%</v>
      </c>
      <c r="V56" s="5">
        <f t="shared" si="10"/>
        <v>-4</v>
      </c>
      <c r="W56" s="5" t="str">
        <f t="shared" si="11"/>
        <v>RC</v>
      </c>
      <c r="X56" s="5" t="str">
        <f t="shared" si="12"/>
        <v>99.924%</v>
      </c>
      <c r="Y56" s="5" t="b">
        <f>G56='5'!G56</f>
        <v>0</v>
      </c>
      <c r="AF56" t="str">
        <f>'5'!Z41</f>
        <v>Both succeed:</v>
      </c>
      <c r="AG56" t="str">
        <f>'5'!AA41</f>
        <v>Total memory</v>
      </c>
      <c r="AH56" t="str">
        <f>'5'!AB41</f>
        <v>total cputime</v>
      </c>
      <c r="AI56" t="str">
        <f>'5'!AC41</f>
        <v>total realtime</v>
      </c>
      <c r="AJ56" t="str">
        <f>'5'!AD41</f>
        <v>total cells</v>
      </c>
    </row>
    <row r="57" spans="1:36">
      <c r="A57">
        <v>114</v>
      </c>
      <c r="B57" t="s">
        <v>104</v>
      </c>
      <c r="C57">
        <v>1148288072</v>
      </c>
      <c r="D57">
        <v>12.323399999999999</v>
      </c>
      <c r="E57">
        <v>10.3887</v>
      </c>
      <c r="F57">
        <v>7115</v>
      </c>
      <c r="G57" t="s">
        <v>104</v>
      </c>
      <c r="H57">
        <v>799438685</v>
      </c>
      <c r="I57">
        <v>11.520300000000001</v>
      </c>
      <c r="J57">
        <v>9.4693000000000005</v>
      </c>
      <c r="K57">
        <v>7119</v>
      </c>
      <c r="L57" s="5" t="b">
        <f t="shared" si="0"/>
        <v>1</v>
      </c>
      <c r="M57" s="5">
        <f t="shared" si="1"/>
        <v>348849387</v>
      </c>
      <c r="N57" s="5" t="str">
        <f t="shared" si="2"/>
        <v>QE</v>
      </c>
      <c r="O57" s="5" t="str">
        <f t="shared" si="3"/>
        <v>69.620%</v>
      </c>
      <c r="P57" s="5">
        <f t="shared" si="4"/>
        <v>0.80309999999999881</v>
      </c>
      <c r="Q57" s="5" t="str">
        <f t="shared" si="5"/>
        <v>QE</v>
      </c>
      <c r="R57" s="5" t="str">
        <f t="shared" si="6"/>
        <v>93.483%</v>
      </c>
      <c r="S57" s="5">
        <f t="shared" si="7"/>
        <v>0.91939999999999955</v>
      </c>
      <c r="T57" s="5" t="str">
        <f t="shared" si="8"/>
        <v>QE</v>
      </c>
      <c r="U57" s="5" t="str">
        <f t="shared" si="9"/>
        <v>91.150%</v>
      </c>
      <c r="V57" s="5">
        <f t="shared" si="10"/>
        <v>-4</v>
      </c>
      <c r="W57" s="5" t="str">
        <f t="shared" si="11"/>
        <v>RC</v>
      </c>
      <c r="X57" s="5" t="str">
        <f t="shared" si="12"/>
        <v>99.944%</v>
      </c>
      <c r="Y57" s="5" t="b">
        <f>G57='5'!G57</f>
        <v>0</v>
      </c>
      <c r="AF57" t="str">
        <f>'5'!Z42</f>
        <v>RC</v>
      </c>
      <c r="AG57">
        <f>'5'!AA42</f>
        <v>35191929409</v>
      </c>
      <c r="AH57">
        <f>'5'!AB42</f>
        <v>418.20759999999996</v>
      </c>
      <c r="AI57">
        <f>'5'!AC42</f>
        <v>325.69940000000003</v>
      </c>
      <c r="AJ57">
        <f>'5'!AD42</f>
        <v>270723</v>
      </c>
    </row>
    <row r="58" spans="1:36">
      <c r="A58">
        <v>115</v>
      </c>
      <c r="B58" t="s">
        <v>104</v>
      </c>
      <c r="C58">
        <v>1149496118</v>
      </c>
      <c r="D58">
        <v>12.259399999999999</v>
      </c>
      <c r="E58">
        <v>10.3224</v>
      </c>
      <c r="F58">
        <v>7115</v>
      </c>
      <c r="G58" t="s">
        <v>104</v>
      </c>
      <c r="H58">
        <v>798192878</v>
      </c>
      <c r="I58">
        <v>11.481299999999999</v>
      </c>
      <c r="J58">
        <v>9.3895999999999997</v>
      </c>
      <c r="K58">
        <v>7119</v>
      </c>
      <c r="L58" s="5" t="b">
        <f t="shared" si="0"/>
        <v>1</v>
      </c>
      <c r="M58" s="5">
        <f t="shared" si="1"/>
        <v>351303240</v>
      </c>
      <c r="N58" s="5" t="str">
        <f t="shared" si="2"/>
        <v>QE</v>
      </c>
      <c r="O58" s="5" t="str">
        <f t="shared" si="3"/>
        <v>69.439%</v>
      </c>
      <c r="P58" s="5">
        <f t="shared" si="4"/>
        <v>0.77810000000000024</v>
      </c>
      <c r="Q58" s="5" t="str">
        <f t="shared" si="5"/>
        <v>QE</v>
      </c>
      <c r="R58" s="5" t="str">
        <f t="shared" si="6"/>
        <v>93.653%</v>
      </c>
      <c r="S58" s="5">
        <f t="shared" si="7"/>
        <v>0.9328000000000003</v>
      </c>
      <c r="T58" s="5" t="str">
        <f t="shared" si="8"/>
        <v>QE</v>
      </c>
      <c r="U58" s="5" t="str">
        <f t="shared" si="9"/>
        <v>90.963%</v>
      </c>
      <c r="V58" s="5">
        <f t="shared" si="10"/>
        <v>-4</v>
      </c>
      <c r="W58" s="5" t="str">
        <f t="shared" si="11"/>
        <v>RC</v>
      </c>
      <c r="X58" s="5" t="str">
        <f t="shared" si="12"/>
        <v>99.944%</v>
      </c>
      <c r="Y58" s="5" t="b">
        <f>G58='5'!G58</f>
        <v>0</v>
      </c>
      <c r="AF58" t="str">
        <f>'5'!Z43</f>
        <v>QE</v>
      </c>
      <c r="AG58">
        <f>'5'!AA43</f>
        <v>35103787583</v>
      </c>
      <c r="AH58">
        <f>'5'!AB43</f>
        <v>782.77190000000007</v>
      </c>
      <c r="AI58">
        <f>'5'!AC43</f>
        <v>471.82620000000003</v>
      </c>
      <c r="AJ58">
        <f>'5'!AD43</f>
        <v>320717</v>
      </c>
    </row>
    <row r="59" spans="1:36">
      <c r="A59">
        <v>118</v>
      </c>
      <c r="B59" t="s">
        <v>104</v>
      </c>
      <c r="C59">
        <v>1503544334</v>
      </c>
      <c r="D59">
        <v>16.587499999999999</v>
      </c>
      <c r="E59">
        <v>13.648400000000001</v>
      </c>
      <c r="F59">
        <v>9009</v>
      </c>
      <c r="G59" t="s">
        <v>104</v>
      </c>
      <c r="H59">
        <v>1073843136</v>
      </c>
      <c r="I59">
        <v>15.760899999999999</v>
      </c>
      <c r="J59">
        <v>12.4376</v>
      </c>
      <c r="K59">
        <v>9013</v>
      </c>
      <c r="L59" s="5" t="b">
        <f t="shared" si="0"/>
        <v>1</v>
      </c>
      <c r="M59" s="5">
        <f t="shared" si="1"/>
        <v>429701198</v>
      </c>
      <c r="N59" s="5" t="str">
        <f t="shared" si="2"/>
        <v>QE</v>
      </c>
      <c r="O59" s="5" t="str">
        <f t="shared" si="3"/>
        <v>71.421%</v>
      </c>
      <c r="P59" s="5">
        <f t="shared" si="4"/>
        <v>0.82659999999999911</v>
      </c>
      <c r="Q59" s="5" t="str">
        <f t="shared" si="5"/>
        <v>QE</v>
      </c>
      <c r="R59" s="5" t="str">
        <f t="shared" si="6"/>
        <v>95.017%</v>
      </c>
      <c r="S59" s="5">
        <f t="shared" si="7"/>
        <v>1.2108000000000008</v>
      </c>
      <c r="T59" s="5" t="str">
        <f t="shared" si="8"/>
        <v>QE</v>
      </c>
      <c r="U59" s="5" t="str">
        <f t="shared" si="9"/>
        <v>91.129%</v>
      </c>
      <c r="V59" s="5">
        <f t="shared" si="10"/>
        <v>-4</v>
      </c>
      <c r="W59" s="5" t="str">
        <f t="shared" si="11"/>
        <v>RC</v>
      </c>
      <c r="X59" s="5" t="str">
        <f t="shared" si="12"/>
        <v>99.956%</v>
      </c>
      <c r="Y59" s="5" t="b">
        <f>G59='5'!G59</f>
        <v>0</v>
      </c>
    </row>
    <row r="60" spans="1:36">
      <c r="A60">
        <v>119</v>
      </c>
      <c r="B60" t="s">
        <v>104</v>
      </c>
      <c r="C60">
        <v>1150679932</v>
      </c>
      <c r="D60">
        <v>12.2437</v>
      </c>
      <c r="E60">
        <v>10.321099999999999</v>
      </c>
      <c r="F60">
        <v>7115</v>
      </c>
      <c r="G60" t="s">
        <v>104</v>
      </c>
      <c r="H60">
        <v>801644071</v>
      </c>
      <c r="I60">
        <v>11.55</v>
      </c>
      <c r="J60">
        <v>9.4</v>
      </c>
      <c r="K60">
        <v>7119</v>
      </c>
      <c r="L60" s="5" t="b">
        <f t="shared" si="0"/>
        <v>1</v>
      </c>
      <c r="M60" s="5">
        <f t="shared" si="1"/>
        <v>349035861</v>
      </c>
      <c r="N60" s="5" t="str">
        <f t="shared" si="2"/>
        <v>QE</v>
      </c>
      <c r="O60" s="5" t="str">
        <f t="shared" si="3"/>
        <v>69.667%</v>
      </c>
      <c r="P60" s="5">
        <f t="shared" si="4"/>
        <v>0.69369999999999976</v>
      </c>
      <c r="Q60" s="5" t="str">
        <f t="shared" si="5"/>
        <v>QE</v>
      </c>
      <c r="R60" s="5" t="str">
        <f t="shared" si="6"/>
        <v>94.334%</v>
      </c>
      <c r="S60" s="5">
        <f t="shared" si="7"/>
        <v>0.92109999999999914</v>
      </c>
      <c r="T60" s="5" t="str">
        <f t="shared" si="8"/>
        <v>QE</v>
      </c>
      <c r="U60" s="5" t="str">
        <f t="shared" si="9"/>
        <v>91.076%</v>
      </c>
      <c r="V60" s="5">
        <f t="shared" si="10"/>
        <v>-4</v>
      </c>
      <c r="W60" s="5" t="str">
        <f t="shared" si="11"/>
        <v>RC</v>
      </c>
      <c r="X60" s="5" t="str">
        <f t="shared" si="12"/>
        <v>99.944%</v>
      </c>
      <c r="Y60" s="5" t="b">
        <f>G60='5'!G60</f>
        <v>0</v>
      </c>
    </row>
    <row r="61" spans="1:36">
      <c r="A61">
        <v>121</v>
      </c>
      <c r="B61" t="s">
        <v>104</v>
      </c>
      <c r="C61">
        <v>1506084572</v>
      </c>
      <c r="D61">
        <v>16.5656</v>
      </c>
      <c r="E61">
        <v>13.644399999999999</v>
      </c>
      <c r="F61">
        <v>9009</v>
      </c>
      <c r="G61" t="s">
        <v>104</v>
      </c>
      <c r="H61">
        <v>1060311646</v>
      </c>
      <c r="I61">
        <v>15.7719</v>
      </c>
      <c r="J61">
        <v>12.4582</v>
      </c>
      <c r="K61">
        <v>9013</v>
      </c>
      <c r="L61" s="5" t="b">
        <f t="shared" si="0"/>
        <v>1</v>
      </c>
      <c r="M61" s="5">
        <f t="shared" si="1"/>
        <v>445772926</v>
      </c>
      <c r="N61" s="5" t="str">
        <f t="shared" si="2"/>
        <v>QE</v>
      </c>
      <c r="O61" s="5" t="str">
        <f t="shared" si="3"/>
        <v>70.402%</v>
      </c>
      <c r="P61" s="5">
        <f t="shared" si="4"/>
        <v>0.79369999999999941</v>
      </c>
      <c r="Q61" s="5" t="str">
        <f t="shared" si="5"/>
        <v>QE</v>
      </c>
      <c r="R61" s="5" t="str">
        <f t="shared" si="6"/>
        <v>95.209%</v>
      </c>
      <c r="S61" s="5">
        <f t="shared" si="7"/>
        <v>1.1861999999999995</v>
      </c>
      <c r="T61" s="5" t="str">
        <f t="shared" si="8"/>
        <v>QE</v>
      </c>
      <c r="U61" s="5" t="str">
        <f t="shared" si="9"/>
        <v>91.306%</v>
      </c>
      <c r="V61" s="5">
        <f t="shared" si="10"/>
        <v>-4</v>
      </c>
      <c r="W61" s="5" t="str">
        <f t="shared" si="11"/>
        <v>RC</v>
      </c>
      <c r="X61" s="5" t="str">
        <f t="shared" si="12"/>
        <v>99.956%</v>
      </c>
      <c r="Y61" s="5" t="b">
        <f>G61='5'!G61</f>
        <v>0</v>
      </c>
    </row>
    <row r="62" spans="1:36">
      <c r="A62">
        <v>123</v>
      </c>
      <c r="B62" t="s">
        <v>104</v>
      </c>
      <c r="C62">
        <v>1481693100</v>
      </c>
      <c r="D62">
        <v>16.423500000000001</v>
      </c>
      <c r="E62">
        <v>13.4428</v>
      </c>
      <c r="F62">
        <v>9009</v>
      </c>
      <c r="G62" t="s">
        <v>104</v>
      </c>
      <c r="H62">
        <v>1071133203</v>
      </c>
      <c r="I62">
        <v>15.6578</v>
      </c>
      <c r="J62">
        <v>12.457599999999999</v>
      </c>
      <c r="K62">
        <v>9013</v>
      </c>
      <c r="L62" s="5" t="b">
        <f t="shared" si="0"/>
        <v>1</v>
      </c>
      <c r="M62" s="5">
        <f t="shared" si="1"/>
        <v>410559897</v>
      </c>
      <c r="N62" s="5" t="str">
        <f t="shared" si="2"/>
        <v>QE</v>
      </c>
      <c r="O62" s="5" t="str">
        <f t="shared" si="3"/>
        <v>72.291%</v>
      </c>
      <c r="P62" s="5">
        <f t="shared" si="4"/>
        <v>0.76570000000000071</v>
      </c>
      <c r="Q62" s="5" t="str">
        <f t="shared" si="5"/>
        <v>QE</v>
      </c>
      <c r="R62" s="5" t="str">
        <f t="shared" si="6"/>
        <v>95.338%</v>
      </c>
      <c r="S62" s="5">
        <f t="shared" si="7"/>
        <v>0.98520000000000074</v>
      </c>
      <c r="T62" s="5" t="str">
        <f t="shared" si="8"/>
        <v>QE</v>
      </c>
      <c r="U62" s="5" t="str">
        <f t="shared" si="9"/>
        <v>92.671%</v>
      </c>
      <c r="V62" s="5">
        <f t="shared" si="10"/>
        <v>-4</v>
      </c>
      <c r="W62" s="5" t="str">
        <f t="shared" si="11"/>
        <v>RC</v>
      </c>
      <c r="X62" s="5" t="str">
        <f t="shared" si="12"/>
        <v>99.956%</v>
      </c>
      <c r="Y62" s="5" t="b">
        <f>G62='5'!G62</f>
        <v>0</v>
      </c>
    </row>
    <row r="63" spans="1:36">
      <c r="A63">
        <v>125</v>
      </c>
      <c r="B63" t="s">
        <v>104</v>
      </c>
      <c r="C63">
        <v>1503675869</v>
      </c>
      <c r="D63">
        <v>16.473400000000002</v>
      </c>
      <c r="E63">
        <v>13.586399999999999</v>
      </c>
      <c r="F63">
        <v>9009</v>
      </c>
      <c r="G63" t="s">
        <v>104</v>
      </c>
      <c r="H63">
        <v>1060101248</v>
      </c>
      <c r="I63">
        <v>15.8797</v>
      </c>
      <c r="J63">
        <v>12.4191</v>
      </c>
      <c r="K63">
        <v>9013</v>
      </c>
      <c r="L63" s="5" t="b">
        <f t="shared" si="0"/>
        <v>1</v>
      </c>
      <c r="M63" s="5">
        <f t="shared" si="1"/>
        <v>443574621</v>
      </c>
      <c r="N63" s="5" t="str">
        <f t="shared" si="2"/>
        <v>QE</v>
      </c>
      <c r="O63" s="5" t="str">
        <f t="shared" si="3"/>
        <v>70.501%</v>
      </c>
      <c r="P63" s="5">
        <f t="shared" si="4"/>
        <v>0.59370000000000189</v>
      </c>
      <c r="Q63" s="5" t="str">
        <f t="shared" si="5"/>
        <v>QE</v>
      </c>
      <c r="R63" s="5" t="str">
        <f t="shared" si="6"/>
        <v>96.396%</v>
      </c>
      <c r="S63" s="5">
        <f t="shared" si="7"/>
        <v>1.1672999999999991</v>
      </c>
      <c r="T63" s="5" t="str">
        <f t="shared" si="8"/>
        <v>QE</v>
      </c>
      <c r="U63" s="5" t="str">
        <f t="shared" si="9"/>
        <v>91.408%</v>
      </c>
      <c r="V63" s="5">
        <f t="shared" si="10"/>
        <v>-4</v>
      </c>
      <c r="W63" s="5" t="str">
        <f t="shared" si="11"/>
        <v>RC</v>
      </c>
      <c r="X63" s="5" t="str">
        <f t="shared" si="12"/>
        <v>99.956%</v>
      </c>
      <c r="Y63" s="5" t="b">
        <f>G63='5'!G63</f>
        <v>0</v>
      </c>
      <c r="AF63" t="s">
        <v>123</v>
      </c>
      <c r="AG63">
        <f t="shared" ref="AG63:AJ64" si="14">AA42/AG57</f>
        <v>0.97660673799858611</v>
      </c>
      <c r="AH63">
        <f t="shared" si="14"/>
        <v>0.88397724001189859</v>
      </c>
      <c r="AI63">
        <f t="shared" si="14"/>
        <v>0.95560691852671509</v>
      </c>
      <c r="AJ63">
        <f t="shared" si="14"/>
        <v>0.80498147553033916</v>
      </c>
    </row>
    <row r="64" spans="1:36">
      <c r="A64">
        <v>126</v>
      </c>
      <c r="B64" t="s">
        <v>104</v>
      </c>
      <c r="C64">
        <v>1503744705</v>
      </c>
      <c r="D64">
        <v>16.476600000000001</v>
      </c>
      <c r="E64">
        <v>13.6053</v>
      </c>
      <c r="F64">
        <v>9009</v>
      </c>
      <c r="G64" t="s">
        <v>104</v>
      </c>
      <c r="H64">
        <v>1062506173</v>
      </c>
      <c r="I64">
        <v>15.5031</v>
      </c>
      <c r="J64">
        <v>12.415900000000001</v>
      </c>
      <c r="K64">
        <v>9013</v>
      </c>
      <c r="L64" s="5" t="b">
        <f t="shared" si="0"/>
        <v>1</v>
      </c>
      <c r="M64" s="5">
        <f t="shared" si="1"/>
        <v>441238532</v>
      </c>
      <c r="N64" s="5" t="str">
        <f t="shared" si="2"/>
        <v>QE</v>
      </c>
      <c r="O64" s="5" t="str">
        <f t="shared" si="3"/>
        <v>70.657%</v>
      </c>
      <c r="P64" s="5">
        <f t="shared" si="4"/>
        <v>0.97350000000000136</v>
      </c>
      <c r="Q64" s="5" t="str">
        <f t="shared" si="5"/>
        <v>QE</v>
      </c>
      <c r="R64" s="5" t="str">
        <f t="shared" si="6"/>
        <v>94.092%</v>
      </c>
      <c r="S64" s="5">
        <f t="shared" si="7"/>
        <v>1.1893999999999991</v>
      </c>
      <c r="T64" s="5" t="str">
        <f t="shared" si="8"/>
        <v>QE</v>
      </c>
      <c r="U64" s="5" t="str">
        <f t="shared" si="9"/>
        <v>91.258%</v>
      </c>
      <c r="V64" s="5">
        <f t="shared" si="10"/>
        <v>-4</v>
      </c>
      <c r="W64" s="5" t="str">
        <f t="shared" si="11"/>
        <v>RC</v>
      </c>
      <c r="X64" s="5" t="str">
        <f t="shared" si="12"/>
        <v>99.956%</v>
      </c>
      <c r="Y64" s="5" t="b">
        <f>G64='5'!G64</f>
        <v>0</v>
      </c>
      <c r="AF64" t="s">
        <v>123</v>
      </c>
      <c r="AG64">
        <f t="shared" si="14"/>
        <v>0.78531412323581684</v>
      </c>
      <c r="AH64">
        <f t="shared" si="14"/>
        <v>0.51349122266652636</v>
      </c>
      <c r="AI64">
        <f t="shared" si="14"/>
        <v>0.69538232510191267</v>
      </c>
      <c r="AJ64">
        <f t="shared" si="14"/>
        <v>0.76608661218457397</v>
      </c>
    </row>
    <row r="65" spans="1:25">
      <c r="A65">
        <v>128</v>
      </c>
      <c r="B65" t="s">
        <v>104</v>
      </c>
      <c r="C65">
        <v>2480021450</v>
      </c>
      <c r="D65">
        <v>28.548500000000001</v>
      </c>
      <c r="E65">
        <v>22.629200000000001</v>
      </c>
      <c r="F65">
        <v>15795</v>
      </c>
      <c r="G65" t="s">
        <v>104</v>
      </c>
      <c r="H65">
        <v>2214092213</v>
      </c>
      <c r="I65">
        <v>37.674999999999997</v>
      </c>
      <c r="J65">
        <v>28.264099999999999</v>
      </c>
      <c r="K65">
        <v>15799</v>
      </c>
      <c r="L65" s="5" t="b">
        <f t="shared" si="0"/>
        <v>1</v>
      </c>
      <c r="M65" s="5">
        <f t="shared" si="1"/>
        <v>265929237</v>
      </c>
      <c r="N65" s="5" t="str">
        <f t="shared" si="2"/>
        <v>QE</v>
      </c>
      <c r="O65" s="5" t="str">
        <f t="shared" si="3"/>
        <v>89.277%</v>
      </c>
      <c r="P65" s="5">
        <f t="shared" si="4"/>
        <v>-9.1264999999999965</v>
      </c>
      <c r="Q65" s="5" t="str">
        <f t="shared" si="5"/>
        <v>RC</v>
      </c>
      <c r="R65" s="5" t="str">
        <f t="shared" si="6"/>
        <v>75.776%</v>
      </c>
      <c r="S65" s="5">
        <f t="shared" si="7"/>
        <v>-5.6348999999999982</v>
      </c>
      <c r="T65" s="5" t="str">
        <f t="shared" si="8"/>
        <v>RC</v>
      </c>
      <c r="U65" s="5" t="str">
        <f t="shared" si="9"/>
        <v>80.063%</v>
      </c>
      <c r="V65" s="5">
        <f t="shared" si="10"/>
        <v>-4</v>
      </c>
      <c r="W65" s="5" t="str">
        <f t="shared" si="11"/>
        <v>RC</v>
      </c>
      <c r="X65" s="5" t="str">
        <f t="shared" si="12"/>
        <v>99.975%</v>
      </c>
      <c r="Y65" s="5" t="b">
        <f>G65='5'!G65</f>
        <v>0</v>
      </c>
    </row>
    <row r="66" spans="1:25">
      <c r="A66">
        <v>129</v>
      </c>
      <c r="B66" t="s">
        <v>104</v>
      </c>
      <c r="C66">
        <v>1294391583</v>
      </c>
      <c r="D66">
        <v>14.3453</v>
      </c>
      <c r="E66">
        <v>11.677099999999999</v>
      </c>
      <c r="F66">
        <v>8051</v>
      </c>
      <c r="G66" t="s">
        <v>104</v>
      </c>
      <c r="H66">
        <v>932866034</v>
      </c>
      <c r="I66">
        <v>13.6547</v>
      </c>
      <c r="J66">
        <v>11.0084</v>
      </c>
      <c r="K66">
        <v>8055</v>
      </c>
      <c r="L66" s="5" t="b">
        <f t="shared" si="0"/>
        <v>1</v>
      </c>
      <c r="M66" s="5">
        <f t="shared" si="1"/>
        <v>361525549</v>
      </c>
      <c r="N66" s="5" t="str">
        <f t="shared" si="2"/>
        <v>QE</v>
      </c>
      <c r="O66" s="5" t="str">
        <f t="shared" si="3"/>
        <v>72.070%</v>
      </c>
      <c r="P66" s="5">
        <f t="shared" si="4"/>
        <v>0.69059999999999988</v>
      </c>
      <c r="Q66" s="5" t="str">
        <f t="shared" si="5"/>
        <v>QE</v>
      </c>
      <c r="R66" s="5" t="str">
        <f t="shared" si="6"/>
        <v>95.186%</v>
      </c>
      <c r="S66" s="5">
        <f t="shared" si="7"/>
        <v>0.66869999999999941</v>
      </c>
      <c r="T66" s="5" t="str">
        <f t="shared" si="8"/>
        <v>QE</v>
      </c>
      <c r="U66" s="5" t="str">
        <f t="shared" si="9"/>
        <v>94.273%</v>
      </c>
      <c r="V66" s="5">
        <f t="shared" si="10"/>
        <v>-4</v>
      </c>
      <c r="W66" s="5" t="str">
        <f t="shared" si="11"/>
        <v>RC</v>
      </c>
      <c r="X66" s="5" t="str">
        <f t="shared" si="12"/>
        <v>99.950%</v>
      </c>
      <c r="Y66" s="5" t="b">
        <f>G66='5'!G66</f>
        <v>0</v>
      </c>
    </row>
    <row r="67" spans="1:25">
      <c r="A67">
        <v>131</v>
      </c>
      <c r="B67" t="s">
        <v>104</v>
      </c>
      <c r="C67">
        <v>2479000587</v>
      </c>
      <c r="D67">
        <v>28.263999999999999</v>
      </c>
      <c r="E67">
        <v>22.5075</v>
      </c>
      <c r="F67">
        <v>15795</v>
      </c>
      <c r="G67" t="s">
        <v>104</v>
      </c>
      <c r="H67">
        <v>2242623008</v>
      </c>
      <c r="I67">
        <v>37.587499999999999</v>
      </c>
      <c r="J67">
        <v>28.362500000000001</v>
      </c>
      <c r="K67">
        <v>15799</v>
      </c>
      <c r="L67" s="5" t="b">
        <f>IF(OR(ISNUMBER(SEARCH("ERROR", B67)), ISNUMBER(SEARCH("ERROR", G67)), ISNUMBER(SEARCH("TIME OUT", B67)), ISNUMBER(SEARCH("TIME OUT", G67))), "--", B67=G67)</f>
        <v>1</v>
      </c>
      <c r="M67" s="5">
        <f>IF(OR(ISNUMBER(SEARCH("ERROR", C67)), ISNUMBER(SEARCH("ERROR", H67)), ISNUMBER(SEARCH("TIME OUT", C67)), ISNUMBER(SEARCH("TIME OUT", H67))),"--",C67-H67)</f>
        <v>236377579</v>
      </c>
      <c r="N67" s="5" t="str">
        <f>IF(AND(OR(ISNUMBER(SEARCH("TIME OUT", C67)), ISNUMBER(SEARCH("ERROR", C67))), OR(ISNUMBER(SEARCH("TIME OUT", H67)), ISNUMBER(SEARCH("ERROR", H67)))), "--", IF(OR(ISNUMBER(SEARCH("TIME OUT", C67)), ISNUMBER(SEARCH("ERROR", C67))), "QE", IF(OR(ISNUMBER(SEARCH("TIME OUT", H67)), ISNUMBER(SEARCH("ERROR", H67))), "RC", IF(M67=0, "TIE", IF(M67&gt;0, "QE", "RC")))))</f>
        <v>QE</v>
      </c>
      <c r="O67" s="5" t="str">
        <f>IF(M67="--","--",TEXT(MIN(C67,H67)/MAX(C67,H67),"0.000%"))</f>
        <v>90.465%</v>
      </c>
      <c r="P67" s="5">
        <f>IF(OR(ISNUMBER(SEARCH("ERROR", D67)), ISNUMBER(SEARCH("ERROR", I67)), ISNUMBER(SEARCH("TIME OUT", D67)), ISNUMBER(SEARCH("TIME OUT", I67))),"--",D67-I67)</f>
        <v>-9.3234999999999992</v>
      </c>
      <c r="Q67" s="5" t="str">
        <f>IF(AND(OR(ISNUMBER(SEARCH("TIME OUT", D67)), ISNUMBER(SEARCH("ERROR", D67))), OR(ISNUMBER(SEARCH("TIME OUT", I67)), ISNUMBER(SEARCH("ERROR", I67)))), "--", IF(OR(ISNUMBER(SEARCH("TIME OUT", D67)), ISNUMBER(SEARCH("ERROR", D67))), "QE", IF(OR(ISNUMBER(SEARCH("TIME OUT", I67)), ISNUMBER(SEARCH("ERROR", I67))), "RC", IF(P67=0, "TIE", IF(P67&gt;0, "QE", "RC")))))</f>
        <v>RC</v>
      </c>
      <c r="R67" s="5" t="str">
        <f>IF(P67="--","--",TEXT(MIN(D67,I67)/MAX(D67,I67),"0.000%"))</f>
        <v>75.195%</v>
      </c>
      <c r="S67" s="5">
        <f>IF(OR(ISNUMBER(SEARCH("ERROR", E67)), ISNUMBER(SEARCH("ERROR", J67)), ISNUMBER(SEARCH("TIME OUT", E67)), ISNUMBER(SEARCH("TIME OUT", J67))),"--",E67-J67)</f>
        <v>-5.8550000000000004</v>
      </c>
      <c r="T67" s="5" t="str">
        <f>IF(AND(OR(ISNUMBER(SEARCH("TIME OUT", E67)), ISNUMBER(SEARCH("ERROR", E67))), OR(ISNUMBER(SEARCH("TIME OUT", J67)), ISNUMBER(SEARCH("ERROR", J67)))), "--", IF(OR(ISNUMBER(SEARCH("TIME OUT", E67)), ISNUMBER(SEARCH("ERROR", E67))), "QE", IF(OR(ISNUMBER(SEARCH("TIME OUT", J67)), ISNUMBER(SEARCH("ERROR", J67))), "RC", IF(S67=0, "TIE", IF(S67&gt;0, "QE", "RC")))))</f>
        <v>RC</v>
      </c>
      <c r="U67" s="5" t="str">
        <f>IF(S67="--","--",TEXT(MIN(E67,J67)/MAX(E67,J67),"0.000%"))</f>
        <v>79.357%</v>
      </c>
      <c r="V67" s="5">
        <f>IF(OR(ISNUMBER(SEARCH("ERROR", F67)), ISNUMBER(SEARCH("ERROR", K67)), ISNUMBER(SEARCH("TIME OUT", F67)), ISNUMBER(SEARCH("TIME OUT", K67))),"--",F67-K67)</f>
        <v>-4</v>
      </c>
      <c r="W67" s="5" t="str">
        <f>IF(AND(OR(ISNUMBER(SEARCH("TIME OUT", F67)), ISNUMBER(SEARCH("ERROR", F67))), OR(ISNUMBER(SEARCH("TIME OUT", K67)), ISNUMBER(SEARCH("ERROR", K67)))), "--", IF(OR(ISNUMBER(SEARCH("TIME OUT", F67)), ISNUMBER(SEARCH("ERROR", F67))), "QE", IF(OR(ISNUMBER(SEARCH("TIME OUT", K67)), ISNUMBER(SEARCH("ERROR", K67))), "RC", IF(V67=0, "TIE", IF(V67&gt;0, "QE", "RC")))))</f>
        <v>RC</v>
      </c>
      <c r="X67" s="5" t="str">
        <f>IF(V67="--","--",TEXT(MIN(F67,K67)/MAX(F67,K67),"0.000%"))</f>
        <v>99.975%</v>
      </c>
      <c r="Y67" s="5" t="b">
        <f>G67='5'!G67</f>
        <v>0</v>
      </c>
    </row>
    <row r="68" spans="1:25">
      <c r="A68">
        <v>132</v>
      </c>
      <c r="B68" t="s">
        <v>104</v>
      </c>
      <c r="C68">
        <v>1288798984</v>
      </c>
      <c r="D68">
        <v>14.3985</v>
      </c>
      <c r="E68">
        <v>11.6662</v>
      </c>
      <c r="F68">
        <v>8051</v>
      </c>
      <c r="G68" t="s">
        <v>104</v>
      </c>
      <c r="H68">
        <v>929155138</v>
      </c>
      <c r="I68">
        <v>13.65</v>
      </c>
      <c r="J68">
        <v>11.017799999999999</v>
      </c>
      <c r="K68">
        <v>8055</v>
      </c>
      <c r="L68" s="5" t="b">
        <f>IF(OR(ISNUMBER(SEARCH("ERROR", B68)), ISNUMBER(SEARCH("ERROR", G68)), ISNUMBER(SEARCH("TIME OUT", B68)), ISNUMBER(SEARCH("TIME OUT", G68))), "--", B68=G68)</f>
        <v>1</v>
      </c>
      <c r="M68" s="5">
        <f>IF(OR(ISNUMBER(SEARCH("ERROR", C68)), ISNUMBER(SEARCH("ERROR", H68)), ISNUMBER(SEARCH("TIME OUT", C68)), ISNUMBER(SEARCH("TIME OUT", H68))),"--",C68-H68)</f>
        <v>359643846</v>
      </c>
      <c r="N68" s="5" t="str">
        <f>IF(AND(OR(ISNUMBER(SEARCH("TIME OUT", C68)), ISNUMBER(SEARCH("ERROR", C68))), OR(ISNUMBER(SEARCH("TIME OUT", H68)), ISNUMBER(SEARCH("ERROR", H68)))), "--", IF(OR(ISNUMBER(SEARCH("TIME OUT", C68)), ISNUMBER(SEARCH("ERROR", C68))), "QE", IF(OR(ISNUMBER(SEARCH("TIME OUT", H68)), ISNUMBER(SEARCH("ERROR", H68))), "RC", IF(M68=0, "TIE", IF(M68&gt;0, "QE", "RC")))))</f>
        <v>QE</v>
      </c>
      <c r="O68" s="5" t="str">
        <f>IF(M68="--","--",TEXT(MIN(C68,H68)/MAX(C68,H68),"0.000%"))</f>
        <v>72.095%</v>
      </c>
      <c r="P68" s="5">
        <f>IF(OR(ISNUMBER(SEARCH("ERROR", D68)), ISNUMBER(SEARCH("ERROR", I68)), ISNUMBER(SEARCH("TIME OUT", D68)), ISNUMBER(SEARCH("TIME OUT", I68))),"--",D68-I68)</f>
        <v>0.74849999999999994</v>
      </c>
      <c r="Q68" s="5" t="str">
        <f>IF(AND(OR(ISNUMBER(SEARCH("TIME OUT", D68)), ISNUMBER(SEARCH("ERROR", D68))), OR(ISNUMBER(SEARCH("TIME OUT", I68)), ISNUMBER(SEARCH("ERROR", I68)))), "--", IF(OR(ISNUMBER(SEARCH("TIME OUT", D68)), ISNUMBER(SEARCH("ERROR", D68))), "QE", IF(OR(ISNUMBER(SEARCH("TIME OUT", I68)), ISNUMBER(SEARCH("ERROR", I68))), "RC", IF(P68=0, "TIE", IF(P68&gt;0, "QE", "RC")))))</f>
        <v>QE</v>
      </c>
      <c r="R68" s="5" t="str">
        <f>IF(P68="--","--",TEXT(MIN(D68,I68)/MAX(D68,I68),"0.000%"))</f>
        <v>94.802%</v>
      </c>
      <c r="S68" s="5">
        <f>IF(OR(ISNUMBER(SEARCH("ERROR", E68)), ISNUMBER(SEARCH("ERROR", J68)), ISNUMBER(SEARCH("TIME OUT", E68)), ISNUMBER(SEARCH("TIME OUT", J68))),"--",E68-J68)</f>
        <v>0.64840000000000053</v>
      </c>
      <c r="T68" s="5" t="str">
        <f>IF(AND(OR(ISNUMBER(SEARCH("TIME OUT", E68)), ISNUMBER(SEARCH("ERROR", E68))), OR(ISNUMBER(SEARCH("TIME OUT", J68)), ISNUMBER(SEARCH("ERROR", J68)))), "--", IF(OR(ISNUMBER(SEARCH("TIME OUT", E68)), ISNUMBER(SEARCH("ERROR", E68))), "QE", IF(OR(ISNUMBER(SEARCH("TIME OUT", J68)), ISNUMBER(SEARCH("ERROR", J68))), "RC", IF(S68=0, "TIE", IF(S68&gt;0, "QE", "RC")))))</f>
        <v>QE</v>
      </c>
      <c r="U68" s="5" t="str">
        <f>IF(S68="--","--",TEXT(MIN(E68,J68)/MAX(E68,J68),"0.000%"))</f>
        <v>94.442%</v>
      </c>
      <c r="V68" s="5">
        <f>IF(OR(ISNUMBER(SEARCH("ERROR", F68)), ISNUMBER(SEARCH("ERROR", K68)), ISNUMBER(SEARCH("TIME OUT", F68)), ISNUMBER(SEARCH("TIME OUT", K68))),"--",F68-K68)</f>
        <v>-4</v>
      </c>
      <c r="W68" s="5" t="str">
        <f>IF(AND(OR(ISNUMBER(SEARCH("TIME OUT", F68)), ISNUMBER(SEARCH("ERROR", F68))), OR(ISNUMBER(SEARCH("TIME OUT", K68)), ISNUMBER(SEARCH("ERROR", K68)))), "--", IF(OR(ISNUMBER(SEARCH("TIME OUT", F68)), ISNUMBER(SEARCH("ERROR", F68))), "QE", IF(OR(ISNUMBER(SEARCH("TIME OUT", K68)), ISNUMBER(SEARCH("ERROR", K68))), "RC", IF(V68=0, "TIE", IF(V68&gt;0, "QE", "RC")))))</f>
        <v>RC</v>
      </c>
      <c r="X68" s="5" t="str">
        <f>IF(V68="--","--",TEXT(MIN(F68,K68)/MAX(F68,K68),"0.000%"))</f>
        <v>99.950%</v>
      </c>
      <c r="Y68" s="5" t="b">
        <f>G68='5'!G68</f>
        <v>0</v>
      </c>
    </row>
    <row r="70" spans="1:25">
      <c r="N70" s="5"/>
    </row>
  </sheetData>
  <autoFilter ref="A1:AQ68" xr:uid="{877B85CA-D87F-4980-BF1E-6D3E1B06F0E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24" priority="14" operator="containsText" text="ERROR">
      <formula>NOT(ISERROR(SEARCH("ERROR",A1)))</formula>
    </cfRule>
    <cfRule type="containsText" dxfId="23" priority="20" operator="containsText" text="TIME OUT">
      <formula>NOT(ISERROR(SEARCH("TIME OUT",A1)))</formula>
    </cfRule>
  </conditionalFormatting>
  <conditionalFormatting sqref="L2:L69 L71:L1048576">
    <cfRule type="cellIs" dxfId="22" priority="16" operator="equal">
      <formula>TRUE</formula>
    </cfRule>
  </conditionalFormatting>
  <conditionalFormatting sqref="L1:S1 X1:AG1">
    <cfRule type="containsText" dxfId="21" priority="15" operator="containsText" text="TIME OUT">
      <formula>NOT(ISERROR(SEARCH("TIME OUT",L1)))</formula>
    </cfRule>
  </conditionalFormatting>
  <conditionalFormatting sqref="Y2:Y68">
    <cfRule type="cellIs" dxfId="20" priority="1" operator="equal">
      <formula>TRUE</formula>
    </cfRule>
  </conditionalFormatting>
  <conditionalFormatting sqref="Z41:AD41">
    <cfRule type="containsText" dxfId="19" priority="2" operator="containsText" text="TIME OUT">
      <formula>NOT(ISERROR(SEARCH("TIME OUT",Z41)))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132C-7D7D-4A12-A744-CAE4034ADC7E}">
  <dimension ref="A1:AF70"/>
  <sheetViews>
    <sheetView zoomScale="80" zoomScaleNormal="80" workbookViewId="0">
      <pane ySplit="2" topLeftCell="A3" activePane="bottomLeft" state="frozen"/>
      <selection pane="bottomLeft"/>
    </sheetView>
  </sheetViews>
  <sheetFormatPr defaultRowHeight="15"/>
  <cols>
    <col min="1" max="1" width="10.140625" bestFit="1" customWidth="1"/>
    <col min="13" max="13" width="9.140625" customWidth="1"/>
    <col min="14" max="14" width="5.42578125" customWidth="1"/>
    <col min="15" max="15" width="4" customWidth="1"/>
    <col min="16" max="16" width="35.140625" customWidth="1"/>
    <col min="17" max="17" width="134.85546875" bestFit="1" customWidth="1"/>
    <col min="18" max="18" width="2.7109375" customWidth="1"/>
    <col min="19" max="19" width="40.28515625" customWidth="1"/>
  </cols>
  <sheetData>
    <row r="1" spans="1:32">
      <c r="A1" s="1" t="s">
        <v>0</v>
      </c>
      <c r="B1" s="31" t="s">
        <v>43</v>
      </c>
      <c r="C1" s="31"/>
      <c r="D1" s="31"/>
      <c r="E1" s="31"/>
      <c r="F1" s="31"/>
      <c r="G1" s="32"/>
      <c r="H1" s="31" t="s">
        <v>44</v>
      </c>
      <c r="I1" s="31"/>
      <c r="J1" s="31"/>
      <c r="K1" s="31"/>
      <c r="L1" s="31"/>
      <c r="M1" s="31"/>
    </row>
    <row r="2" spans="1:32">
      <c r="A2" s="1" t="s">
        <v>0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79</v>
      </c>
      <c r="P2" s="8" t="s">
        <v>45</v>
      </c>
      <c r="Q2" s="8" t="s">
        <v>46</v>
      </c>
      <c r="R2" s="8"/>
    </row>
    <row r="3" spans="1:32">
      <c r="A3">
        <v>17</v>
      </c>
      <c r="B3" s="9">
        <f>VLOOKUP($A3,'1'!$A:$E,5,0)</f>
        <v>0.22839999999999999</v>
      </c>
      <c r="C3" s="9">
        <f>VLOOKUP($A3,'2'!$A:$E,5,0)</f>
        <v>0.25069999999999998</v>
      </c>
      <c r="D3" s="9">
        <f>VLOOKUP($A3,'3'!$A:$E,5,0)</f>
        <v>0.25009999999999999</v>
      </c>
      <c r="E3" s="9">
        <f>VLOOKUP($A3,'4'!$A:$E,5,0)</f>
        <v>0.1099</v>
      </c>
      <c r="F3" s="9">
        <f>VLOOKUP($A3,'5'!$A:$E,5,0)</f>
        <v>0.1769</v>
      </c>
      <c r="G3" s="10">
        <f>VLOOKUP($A3,'6'!$A:$E,5,0)</f>
        <v>0.16950000000000001</v>
      </c>
      <c r="H3" s="9">
        <f>VLOOKUP($A3,'1'!$A:$J,10,0)</f>
        <v>0.21640000000000001</v>
      </c>
      <c r="I3" s="9">
        <f>VLOOKUP($A3,'2'!$A:$J,10,0)</f>
        <v>0.1401</v>
      </c>
      <c r="J3" s="9">
        <f>VLOOKUP($A3,'3'!$A:$J,10,0)</f>
        <v>0.13869999999999999</v>
      </c>
      <c r="K3" s="9">
        <f>VLOOKUP($A3,'4'!$A:$J,10,0)</f>
        <v>0.21679999999999999</v>
      </c>
      <c r="L3" s="9">
        <f>VLOOKUP($A3,'5'!$A:$J,10,0)</f>
        <v>0.14050000000000001</v>
      </c>
      <c r="M3" s="9">
        <f>VLOOKUP($A3,'6'!$A:$J,10,0)</f>
        <v>0.1384</v>
      </c>
      <c r="N3" s="5" t="str">
        <f>IF(MATCH(MIN($B3:$M3),$B3:$M3,0)&gt;6,"QE","RC")</f>
        <v>RC</v>
      </c>
      <c r="O3" s="5">
        <f>MATCH(MIN($B3:$M3),$B3:$M3,0)</f>
        <v>4</v>
      </c>
      <c r="P3" s="11" t="str">
        <f>IF(LEFT(B3,5)="ERROR","1: "&amp;VLOOKUP(B3,$S$31:$T$34,2,0)&amp;". ","")&amp;IF(LEFT(C3,5)="ERROR","2: "&amp;VLOOKUP(C3,$S$31:$T$34,2,0)&amp;". ","")&amp;IF(LEFT(D3,5)="ERROR","3: "&amp;VLOOKUP(D3,$S$31:$T$34,2,0)&amp;". ","")&amp;IF(LEFT(E3,5)="ERROR","4: "&amp;VLOOKUP(E3,$S$31:$T$34,2,0)&amp;". ","")&amp;IF(LEFT(F3,5)="ERROR","5: "&amp;VLOOKUP(F3,$S$31:$T$34,2,0)&amp;". ","")&amp;IF(LEFT(G3,5)="ERROR","6: "&amp;G3,"")</f>
        <v/>
      </c>
      <c r="Q3" s="11" t="str">
        <f>IF(LEFT(H3,5)="ERROR","1: "&amp;VLOOKUP(H3,$S$31:$T$34,2,0)&amp;". ","")&amp;IF(LEFT(I3,5)="ERROR","2: "&amp;VLOOKUP(I3,$S$31:$T$34,2,0)&amp;". ","")&amp;IF(LEFT(J3,5)="ERROR","3: "&amp;VLOOKUP(J3,$S$31:$T$34,2,0)&amp;". ","")&amp;IF(LEFT(K3,5)="ERROR","4: "&amp;VLOOKUP(K3,$S$31:$T$34,2,0)&amp;". ","")&amp;IF(LEFT(L3,5)="ERROR","5: "&amp;VLOOKUP(L3,$S$31:$T$34,2,0)&amp;". ","")&amp;IF(LEFT(M3,5)="ERROR","6: "&amp;M3,"")</f>
        <v/>
      </c>
      <c r="R3" s="12" t="s">
        <v>47</v>
      </c>
      <c r="S3" s="5"/>
      <c r="T3" s="31" t="s">
        <v>48</v>
      </c>
      <c r="U3" s="31"/>
    </row>
    <row r="4" spans="1:32">
      <c r="A4">
        <v>19</v>
      </c>
      <c r="B4" s="9">
        <f>VLOOKUP($A4,'1'!$A:$E,5,0)</f>
        <v>0.2208</v>
      </c>
      <c r="C4" s="9">
        <f>VLOOKUP($A4,'2'!$A:$D,4,0)</f>
        <v>0.25</v>
      </c>
      <c r="D4" s="9">
        <f>VLOOKUP($A4,'3'!$A:$D,4,0)</f>
        <v>0.25319999999999998</v>
      </c>
      <c r="E4" s="9">
        <f>VLOOKUP($A4,'4'!$A:$D,4,0)</f>
        <v>0.10780000000000001</v>
      </c>
      <c r="F4" s="9">
        <f>VLOOKUP($A4,'5'!$A:$D,4,0)</f>
        <v>0.16569999999999999</v>
      </c>
      <c r="G4" s="10">
        <f>VLOOKUP($A4,'6'!$A:$D,4,0)</f>
        <v>0.16569999999999999</v>
      </c>
      <c r="H4" s="9">
        <f>VLOOKUP($A4,'1'!$A:$J,10,0)</f>
        <v>0.2109</v>
      </c>
      <c r="I4" s="9">
        <f>VLOOKUP($A4,'2'!$A:$J,10,0)</f>
        <v>0.12470000000000001</v>
      </c>
      <c r="J4" s="9">
        <f>VLOOKUP($A4,'3'!$A:$J,10,0)</f>
        <v>0.1447</v>
      </c>
      <c r="K4" s="9">
        <f>VLOOKUP($A4,'4'!$A:$J,10,0)</f>
        <v>0.2233</v>
      </c>
      <c r="L4" s="9">
        <f>VLOOKUP($A4,'5'!$A:$J,10,0)</f>
        <v>0.1421</v>
      </c>
      <c r="M4" s="9">
        <f>VLOOKUP($A4,'6'!$A:$J,10,0)</f>
        <v>0.13619999999999999</v>
      </c>
      <c r="N4" s="5" t="str">
        <f t="shared" ref="N4:N67" si="0">IF(MATCH(MIN($B4:$M4),$B4:$M4,0)&gt;6,"QE","RC")</f>
        <v>RC</v>
      </c>
      <c r="O4" s="5">
        <f t="shared" ref="O4:O67" si="1">MATCH(MIN($B4:$M4),$B4:$M4,0)</f>
        <v>4</v>
      </c>
      <c r="P4" s="11" t="str">
        <f t="shared" ref="P4:P67" si="2">IF(LEFT(B4,5)="ERROR","1: "&amp;VLOOKUP(B4,$S$31:$T$34,2,0)&amp;". ","")&amp;IF(LEFT(C4,5)="ERROR","2: "&amp;VLOOKUP(C4,$S$31:$T$34,2,0)&amp;". ","")&amp;IF(LEFT(D4,5)="ERROR","3: "&amp;VLOOKUP(D4,$S$31:$T$34,2,0)&amp;". ","")&amp;IF(LEFT(E4,5)="ERROR","4: "&amp;VLOOKUP(E4,$S$31:$T$34,2,0)&amp;". ","")&amp;IF(LEFT(F4,5)="ERROR","5: "&amp;VLOOKUP(F4,$S$31:$T$34,2,0)&amp;". ","")&amp;IF(LEFT(G4,5)="ERROR","6: "&amp;G4,"")</f>
        <v/>
      </c>
      <c r="Q4" s="11" t="str">
        <f t="shared" ref="Q4:Q67" si="3">IF(LEFT(H4,5)="ERROR","1: "&amp;VLOOKUP(H4,$S$31:$T$34,2,0)&amp;". ","")&amp;IF(LEFT(I4,5)="ERROR","2: "&amp;VLOOKUP(I4,$S$31:$T$34,2,0)&amp;". ","")&amp;IF(LEFT(J4,5)="ERROR","3: "&amp;VLOOKUP(J4,$S$31:$T$34,2,0)&amp;". ","")&amp;IF(LEFT(K4,5)="ERROR","4: "&amp;VLOOKUP(K4,$S$31:$T$34,2,0)&amp;". ","")&amp;IF(LEFT(L4,5)="ERROR","5: "&amp;VLOOKUP(L4,$S$31:$T$34,2,0)&amp;". ","")&amp;IF(LEFT(M4,5)="ERROR","6: "&amp;M4,"")</f>
        <v/>
      </c>
      <c r="R4" s="12" t="s">
        <v>47</v>
      </c>
      <c r="S4" s="5"/>
      <c r="T4" s="5" t="s">
        <v>30</v>
      </c>
      <c r="U4" s="5" t="s">
        <v>31</v>
      </c>
      <c r="W4" t="s">
        <v>49</v>
      </c>
      <c r="X4" t="s">
        <v>50</v>
      </c>
    </row>
    <row r="5" spans="1:32">
      <c r="A5">
        <v>20</v>
      </c>
      <c r="B5" s="9">
        <f>VLOOKUP($A5,'1'!$A:$E,5,0)</f>
        <v>0.4274</v>
      </c>
      <c r="C5" s="9">
        <f>VLOOKUP($A5,'2'!$A:$D,4,0)</f>
        <v>0.43130000000000002</v>
      </c>
      <c r="D5" s="9">
        <f>VLOOKUP($A5,'3'!$A:$D,4,0)</f>
        <v>0.45619999999999999</v>
      </c>
      <c r="E5" s="9">
        <f>VLOOKUP($A5,'4'!$A:$D,4,0)</f>
        <v>0.2344</v>
      </c>
      <c r="F5" s="9">
        <f>VLOOKUP($A5,'5'!$A:$D,4,0)</f>
        <v>0.35470000000000002</v>
      </c>
      <c r="G5" s="10">
        <f>VLOOKUP($A5,'6'!$A:$D,4,0)</f>
        <v>0.35149999999999998</v>
      </c>
      <c r="H5" s="9">
        <f>VLOOKUP($A5,'1'!$A:$J,10,0)</f>
        <v>0.37990000000000002</v>
      </c>
      <c r="I5" s="9">
        <f>VLOOKUP($A5,'2'!$A:$J,10,0)</f>
        <v>0.24709999999999999</v>
      </c>
      <c r="J5" s="9">
        <f>VLOOKUP($A5,'3'!$A:$J,10,0)</f>
        <v>0.26960000000000001</v>
      </c>
      <c r="K5" s="9">
        <f>VLOOKUP($A5,'4'!$A:$J,10,0)</f>
        <v>0.37040000000000001</v>
      </c>
      <c r="L5" s="9">
        <f>VLOOKUP($A5,'5'!$A:$J,10,0)</f>
        <v>0.26679999999999998</v>
      </c>
      <c r="M5" s="9">
        <f>VLOOKUP($A5,'6'!$A:$J,10,0)</f>
        <v>0.25619999999999998</v>
      </c>
      <c r="N5" s="5" t="str">
        <f t="shared" si="0"/>
        <v>RC</v>
      </c>
      <c r="O5" s="5">
        <f t="shared" si="1"/>
        <v>4</v>
      </c>
      <c r="P5" s="11" t="str">
        <f t="shared" si="2"/>
        <v/>
      </c>
      <c r="Q5" s="11" t="str">
        <f t="shared" si="3"/>
        <v/>
      </c>
      <c r="R5" s="12" t="s">
        <v>47</v>
      </c>
      <c r="S5" s="5"/>
      <c r="T5">
        <f>COUNTIF($N:$N,T4)</f>
        <v>45</v>
      </c>
      <c r="U5">
        <f>COUNTIF($N:$N,U4)</f>
        <v>22</v>
      </c>
    </row>
    <row r="6" spans="1:32">
      <c r="A6">
        <v>22</v>
      </c>
      <c r="B6" s="9">
        <f>VLOOKUP($A6,'1'!$A:$E,5,0)</f>
        <v>0.42799999999999999</v>
      </c>
      <c r="C6" s="9">
        <f>VLOOKUP($A6,'2'!$A:$D,4,0)</f>
        <v>0.43440000000000001</v>
      </c>
      <c r="D6" s="9">
        <f>VLOOKUP($A6,'3'!$A:$D,4,0)</f>
        <v>0.57189999999999996</v>
      </c>
      <c r="E6" s="9">
        <f>VLOOKUP($A6,'4'!$A:$D,4,0)</f>
        <v>0.2094</v>
      </c>
      <c r="F6" s="9">
        <f>VLOOKUP($A6,'5'!$A:$D,4,0)</f>
        <v>0.33589999999999998</v>
      </c>
      <c r="G6" s="10">
        <f>VLOOKUP($A6,'6'!$A:$D,4,0)</f>
        <v>0.31869999999999998</v>
      </c>
      <c r="H6" s="9">
        <f>VLOOKUP($A6,'1'!$A:$J,10,0)</f>
        <v>0.36480000000000001</v>
      </c>
      <c r="I6" s="9">
        <f>VLOOKUP($A6,'2'!$A:$J,10,0)</f>
        <v>0.23350000000000001</v>
      </c>
      <c r="J6" s="9">
        <f>VLOOKUP($A6,'3'!$A:$J,10,0)</f>
        <v>0.24690000000000001</v>
      </c>
      <c r="K6" s="9">
        <f>VLOOKUP($A6,'4'!$A:$J,10,0)</f>
        <v>0.37990000000000002</v>
      </c>
      <c r="L6" s="9">
        <f>VLOOKUP($A6,'5'!$A:$J,10,0)</f>
        <v>0.26050000000000001</v>
      </c>
      <c r="M6" s="9">
        <f>VLOOKUP($A6,'6'!$A:$J,10,0)</f>
        <v>0.2722</v>
      </c>
      <c r="N6" s="5" t="str">
        <f t="shared" si="0"/>
        <v>RC</v>
      </c>
      <c r="O6" s="5">
        <f t="shared" si="1"/>
        <v>4</v>
      </c>
      <c r="P6" s="11" t="str">
        <f t="shared" si="2"/>
        <v/>
      </c>
      <c r="Q6" s="11" t="str">
        <f t="shared" si="3"/>
        <v/>
      </c>
      <c r="R6" s="12" t="s">
        <v>47</v>
      </c>
      <c r="S6" s="5"/>
      <c r="T6" s="31" t="s">
        <v>48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2">
      <c r="A7">
        <v>23</v>
      </c>
      <c r="B7" s="9">
        <f>VLOOKUP($A7,'1'!$A:$E,5,0)</f>
        <v>0.41470000000000001</v>
      </c>
      <c r="C7" s="9">
        <f>VLOOKUP($A7,'2'!$A:$D,4,0)</f>
        <v>0.41410000000000002</v>
      </c>
      <c r="D7" s="9">
        <f>VLOOKUP($A7,'3'!$A:$D,4,0)</f>
        <v>0.43440000000000001</v>
      </c>
      <c r="E7" s="9">
        <f>VLOOKUP($A7,'4'!$A:$D,4,0)</f>
        <v>0.20630000000000001</v>
      </c>
      <c r="F7" s="9">
        <f>VLOOKUP($A7,'5'!$A:$D,4,0)</f>
        <v>0.35149999999999998</v>
      </c>
      <c r="G7" s="10">
        <f>VLOOKUP($A7,'6'!$A:$D,4,0)</f>
        <v>0.35780000000000001</v>
      </c>
      <c r="H7" s="9">
        <f>VLOOKUP($A7,'1'!$A:$J,10,0)</f>
        <v>0.36249999999999999</v>
      </c>
      <c r="I7" s="9">
        <f>VLOOKUP($A7,'2'!$A:$J,10,0)</f>
        <v>0.23419999999999999</v>
      </c>
      <c r="J7" s="9">
        <f>VLOOKUP($A7,'3'!$A:$J,10,0)</f>
        <v>0.23749999999999999</v>
      </c>
      <c r="K7" s="9">
        <f>VLOOKUP($A7,'4'!$A:$J,10,0)</f>
        <v>0.36470000000000002</v>
      </c>
      <c r="L7" s="9">
        <f>VLOOKUP($A7,'5'!$A:$J,10,0)</f>
        <v>0.26989999999999997</v>
      </c>
      <c r="M7" s="9">
        <f>VLOOKUP($A7,'6'!$A:$J,10,0)</f>
        <v>0.25419999999999998</v>
      </c>
      <c r="N7" s="5" t="str">
        <f t="shared" si="0"/>
        <v>RC</v>
      </c>
      <c r="O7" s="5">
        <f t="shared" si="1"/>
        <v>4</v>
      </c>
      <c r="P7" s="11" t="str">
        <f t="shared" si="2"/>
        <v/>
      </c>
      <c r="Q7" s="11" t="str">
        <f t="shared" si="3"/>
        <v/>
      </c>
      <c r="R7" s="12" t="s">
        <v>47</v>
      </c>
      <c r="S7" s="5"/>
      <c r="T7" s="33" t="s">
        <v>30</v>
      </c>
      <c r="U7" s="33"/>
      <c r="V7" s="33"/>
      <c r="W7" s="33"/>
      <c r="X7" s="33"/>
      <c r="Y7" s="33"/>
      <c r="Z7" s="33" t="s">
        <v>31</v>
      </c>
      <c r="AA7" s="33"/>
      <c r="AB7" s="33"/>
      <c r="AC7" s="33"/>
      <c r="AD7" s="33"/>
      <c r="AE7" s="33"/>
    </row>
    <row r="8" spans="1:32">
      <c r="A8">
        <v>25</v>
      </c>
      <c r="B8" s="9">
        <f>VLOOKUP($A8,'1'!$A:$E,5,0)</f>
        <v>16.6554</v>
      </c>
      <c r="C8" s="9">
        <f>VLOOKUP($A8,'2'!$A:$D,4,0)</f>
        <v>19.1234</v>
      </c>
      <c r="D8" s="9">
        <f>VLOOKUP($A8,'3'!$A:$D,4,0)</f>
        <v>5.2766000000000002</v>
      </c>
      <c r="E8" s="9">
        <f>VLOOKUP($A8,'4'!$A:$D,4,0)</f>
        <v>0.5141</v>
      </c>
      <c r="F8" s="9">
        <f>VLOOKUP($A8,'5'!$A:$D,4,0)</f>
        <v>0.41560000000000002</v>
      </c>
      <c r="G8" s="10">
        <f>VLOOKUP($A8,'6'!$A:$D,4,0)</f>
        <v>0.77500000000000002</v>
      </c>
      <c r="H8" s="9" t="str">
        <f>VLOOKUP($A8,'1'!$A:$J,10,0)</f>
        <v>TIME OUT</v>
      </c>
      <c r="I8" s="9" t="str">
        <f>VLOOKUP($A8,'2'!$A:$J,10,0)</f>
        <v>ERROR: reducible RootOf detected. Substitutions are %1</v>
      </c>
      <c r="J8" s="9">
        <f>VLOOKUP($A8,'3'!$A:$J,10,0)</f>
        <v>4.7055999999999996</v>
      </c>
      <c r="K8" s="9" t="str">
        <f>VLOOKUP($A8,'4'!$A:$J,10,0)</f>
        <v>TIME OUT</v>
      </c>
      <c r="L8" s="9">
        <f>VLOOKUP($A8,'5'!$A:$J,10,0)</f>
        <v>1.1274</v>
      </c>
      <c r="M8" s="9">
        <f>VLOOKUP($A8,'6'!$A:$J,10,0)</f>
        <v>1.4083000000000001</v>
      </c>
      <c r="N8" s="5" t="str">
        <f t="shared" si="0"/>
        <v>RC</v>
      </c>
      <c r="O8" s="5">
        <f t="shared" si="1"/>
        <v>5</v>
      </c>
      <c r="P8" s="11" t="str">
        <f t="shared" si="2"/>
        <v/>
      </c>
      <c r="Q8" s="11" t="str">
        <f t="shared" si="3"/>
        <v xml:space="preserve">2: Error: Reducible RootOf. </v>
      </c>
      <c r="R8" s="12" t="s">
        <v>47</v>
      </c>
      <c r="S8" s="5"/>
      <c r="T8" s="8">
        <v>1</v>
      </c>
      <c r="U8" s="8">
        <v>2</v>
      </c>
      <c r="V8" s="8">
        <v>3</v>
      </c>
      <c r="W8" s="8">
        <v>4</v>
      </c>
      <c r="X8" s="8">
        <v>5</v>
      </c>
      <c r="Y8" s="8">
        <v>6</v>
      </c>
      <c r="Z8" s="8">
        <v>1</v>
      </c>
      <c r="AA8" s="8">
        <v>2</v>
      </c>
      <c r="AB8" s="8">
        <v>3</v>
      </c>
      <c r="AC8" s="8">
        <v>4</v>
      </c>
      <c r="AD8" s="8">
        <v>5</v>
      </c>
      <c r="AE8" s="8">
        <v>6</v>
      </c>
    </row>
    <row r="9" spans="1:32">
      <c r="A9">
        <v>26</v>
      </c>
      <c r="B9" s="9">
        <f>VLOOKUP($A9,'1'!$A:$E,5,0)</f>
        <v>1.66E-2</v>
      </c>
      <c r="C9" s="9">
        <f>VLOOKUP($A9,'2'!$A:$D,4,0)</f>
        <v>1.5599999999999999E-2</v>
      </c>
      <c r="D9" s="9">
        <f>VLOOKUP($A9,'3'!$A:$D,4,0)</f>
        <v>1.5599999999999999E-2</v>
      </c>
      <c r="E9" s="9">
        <f>VLOOKUP($A9,'4'!$A:$D,4,0)</f>
        <v>1.5599999999999999E-2</v>
      </c>
      <c r="F9" s="9">
        <f>VLOOKUP($A9,'5'!$A:$D,4,0)</f>
        <v>1.5599999999999999E-2</v>
      </c>
      <c r="G9" s="10">
        <f>VLOOKUP($A9,'6'!$A:$D,4,0)</f>
        <v>1.72E-2</v>
      </c>
      <c r="H9" s="9">
        <f>VLOOKUP($A9,'1'!$A:$J,10,0)</f>
        <v>4.8599999999999997E-2</v>
      </c>
      <c r="I9" s="9">
        <f>VLOOKUP($A9,'2'!$A:$J,10,0)</f>
        <v>5.1299999999999998E-2</v>
      </c>
      <c r="J9" s="9">
        <f>VLOOKUP($A9,'3'!$A:$J,10,0)</f>
        <v>5.04E-2</v>
      </c>
      <c r="K9" s="9">
        <f>VLOOKUP($A9,'4'!$A:$J,10,0)</f>
        <v>5.5800000000000002E-2</v>
      </c>
      <c r="L9" s="9">
        <f>VLOOKUP($A9,'5'!$A:$J,10,0)</f>
        <v>6.3700000000000007E-2</v>
      </c>
      <c r="M9" s="9">
        <f>VLOOKUP($A9,'6'!$A:$J,10,0)</f>
        <v>5.6500000000000002E-2</v>
      </c>
      <c r="N9" s="5" t="str">
        <f t="shared" si="0"/>
        <v>RC</v>
      </c>
      <c r="O9" s="5">
        <f t="shared" si="1"/>
        <v>2</v>
      </c>
      <c r="P9" s="11" t="str">
        <f t="shared" si="2"/>
        <v/>
      </c>
      <c r="Q9" s="11" t="str">
        <f t="shared" si="3"/>
        <v/>
      </c>
      <c r="R9" s="12" t="s">
        <v>47</v>
      </c>
      <c r="S9" s="5"/>
      <c r="T9" s="5">
        <f t="shared" ref="T9:Y9" si="4">COUNTIF($O:$O,T8)</f>
        <v>0</v>
      </c>
      <c r="U9" s="5">
        <f t="shared" si="4"/>
        <v>3</v>
      </c>
      <c r="V9" s="5">
        <f t="shared" si="4"/>
        <v>2</v>
      </c>
      <c r="W9" s="5">
        <f t="shared" si="4"/>
        <v>10</v>
      </c>
      <c r="X9" s="5">
        <f t="shared" si="4"/>
        <v>29</v>
      </c>
      <c r="Y9" s="5">
        <f t="shared" si="4"/>
        <v>1</v>
      </c>
      <c r="Z9" s="5">
        <f t="shared" ref="Z9:AE9" si="5">COUNTIF($O:$O,Z8+6)</f>
        <v>0</v>
      </c>
      <c r="AA9" s="5">
        <f t="shared" si="5"/>
        <v>0</v>
      </c>
      <c r="AB9" s="5">
        <f t="shared" si="5"/>
        <v>13</v>
      </c>
      <c r="AC9" s="5">
        <f t="shared" si="5"/>
        <v>0</v>
      </c>
      <c r="AD9" s="5">
        <f t="shared" si="5"/>
        <v>0</v>
      </c>
      <c r="AE9" s="5">
        <f t="shared" si="5"/>
        <v>9</v>
      </c>
    </row>
    <row r="10" spans="1:32">
      <c r="A10">
        <v>27</v>
      </c>
      <c r="B10" s="9">
        <f>VLOOKUP($A10,'1'!$A:$E,5,0)</f>
        <v>16.904699999999998</v>
      </c>
      <c r="C10" s="9">
        <f>VLOOKUP($A10,'2'!$A:$D,4,0)</f>
        <v>18.984400000000001</v>
      </c>
      <c r="D10" s="9">
        <f>VLOOKUP($A10,'3'!$A:$D,4,0)</f>
        <v>5.0484999999999998</v>
      </c>
      <c r="E10" s="9">
        <f>VLOOKUP($A10,'4'!$A:$D,4,0)</f>
        <v>0.48280000000000001</v>
      </c>
      <c r="F10" s="9">
        <f>VLOOKUP($A10,'5'!$A:$D,4,0)</f>
        <v>0.38900000000000001</v>
      </c>
      <c r="G10" s="10">
        <f>VLOOKUP($A10,'6'!$A:$D,4,0)</f>
        <v>0.76559999999999995</v>
      </c>
      <c r="H10" s="9" t="str">
        <f>VLOOKUP($A10,'1'!$A:$J,10,0)</f>
        <v>TIME OUT</v>
      </c>
      <c r="I10" s="9" t="str">
        <f>VLOOKUP($A10,'2'!$A:$J,10,0)</f>
        <v>ERROR: reducible RootOf detected. Substitutions are %1</v>
      </c>
      <c r="J10" s="9">
        <f>VLOOKUP($A10,'3'!$A:$J,10,0)</f>
        <v>4.6288999999999998</v>
      </c>
      <c r="K10" s="9" t="str">
        <f>VLOOKUP($A10,'4'!$A:$J,10,0)</f>
        <v>TIME OUT</v>
      </c>
      <c r="L10" s="9">
        <f>VLOOKUP($A10,'5'!$A:$J,10,0)</f>
        <v>1.1046</v>
      </c>
      <c r="M10" s="9">
        <f>VLOOKUP($A10,'6'!$A:$J,10,0)</f>
        <v>1.3728</v>
      </c>
      <c r="N10" s="5" t="str">
        <f t="shared" si="0"/>
        <v>RC</v>
      </c>
      <c r="O10" s="5">
        <f t="shared" si="1"/>
        <v>5</v>
      </c>
      <c r="P10" s="11" t="str">
        <f t="shared" si="2"/>
        <v/>
      </c>
      <c r="Q10" s="11" t="str">
        <f t="shared" si="3"/>
        <v xml:space="preserve">2: Error: Reducible RootOf. </v>
      </c>
      <c r="R10" s="12" t="s">
        <v>47</v>
      </c>
      <c r="S10" s="5"/>
      <c r="T10" s="31" t="s">
        <v>51</v>
      </c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2">
      <c r="A11">
        <v>28</v>
      </c>
      <c r="B11" s="9">
        <f>VLOOKUP($A11,'1'!$A:$E,5,0)</f>
        <v>16.2376</v>
      </c>
      <c r="C11" s="9">
        <f>VLOOKUP($A11,'2'!$A:$D,4,0)</f>
        <v>18.948399999999999</v>
      </c>
      <c r="D11" s="9">
        <f>VLOOKUP($A11,'3'!$A:$D,4,0)</f>
        <v>3.9468999999999999</v>
      </c>
      <c r="E11" s="9">
        <f>VLOOKUP($A11,'4'!$A:$D,4,0)</f>
        <v>0.62339999999999995</v>
      </c>
      <c r="F11" s="9">
        <f>VLOOKUP($A11,'5'!$A:$D,4,0)</f>
        <v>0.43120000000000003</v>
      </c>
      <c r="G11" s="10">
        <f>VLOOKUP($A11,'6'!$A:$D,4,0)</f>
        <v>0.67349999999999999</v>
      </c>
      <c r="H11" s="9" t="str">
        <f>VLOOKUP($A11,'1'!$A:$J,10,0)</f>
        <v>TIME OUT</v>
      </c>
      <c r="I11" s="9" t="str">
        <f>VLOOKUP($A11,'2'!$A:$J,10,0)</f>
        <v>ERROR: reducible RootOf detected. Substitutions are %1</v>
      </c>
      <c r="J11" s="9">
        <f>VLOOKUP($A11,'3'!$A:$J,10,0)</f>
        <v>3.6352000000000002</v>
      </c>
      <c r="K11" s="9" t="str">
        <f>VLOOKUP($A11,'4'!$A:$J,10,0)</f>
        <v>TIME OUT</v>
      </c>
      <c r="L11" s="9">
        <f>VLOOKUP($A11,'5'!$A:$J,10,0)</f>
        <v>1.1323000000000001</v>
      </c>
      <c r="M11" s="9">
        <f>VLOOKUP($A11,'6'!$A:$J,10,0)</f>
        <v>1.0831</v>
      </c>
      <c r="N11" s="5" t="str">
        <f t="shared" si="0"/>
        <v>RC</v>
      </c>
      <c r="O11" s="5">
        <f t="shared" si="1"/>
        <v>5</v>
      </c>
      <c r="P11" s="11" t="str">
        <f t="shared" si="2"/>
        <v/>
      </c>
      <c r="Q11" s="11" t="str">
        <f t="shared" si="3"/>
        <v xml:space="preserve">2: Error: Reducible RootOf. </v>
      </c>
      <c r="R11" s="12" t="s">
        <v>47</v>
      </c>
      <c r="S11" s="5"/>
      <c r="T11" s="33" t="s">
        <v>30</v>
      </c>
      <c r="U11" s="33"/>
      <c r="V11" s="33"/>
      <c r="W11" s="33"/>
      <c r="X11" s="33"/>
      <c r="Y11" s="33"/>
      <c r="Z11" s="33" t="s">
        <v>31</v>
      </c>
      <c r="AA11" s="33"/>
      <c r="AB11" s="33"/>
      <c r="AC11" s="33"/>
      <c r="AD11" s="33"/>
      <c r="AE11" s="33"/>
    </row>
    <row r="12" spans="1:32">
      <c r="A12">
        <v>29</v>
      </c>
      <c r="B12" s="9">
        <f>VLOOKUP($A12,'1'!$A:$E,5,0)</f>
        <v>16.169799999999999</v>
      </c>
      <c r="C12" s="9">
        <f>VLOOKUP($A12,'2'!$A:$D,4,0)</f>
        <v>19.459399999999999</v>
      </c>
      <c r="D12" s="9">
        <f>VLOOKUP($A12,'3'!$A:$D,4,0)</f>
        <v>3.8984000000000001</v>
      </c>
      <c r="E12" s="9">
        <f>VLOOKUP($A12,'4'!$A:$D,4,0)</f>
        <v>0.48749999999999999</v>
      </c>
      <c r="F12" s="9">
        <f>VLOOKUP($A12,'5'!$A:$D,4,0)</f>
        <v>0.375</v>
      </c>
      <c r="G12" s="10">
        <f>VLOOKUP($A12,'6'!$A:$D,4,0)</f>
        <v>0.58120000000000005</v>
      </c>
      <c r="H12" s="9" t="str">
        <f>VLOOKUP($A12,'1'!$A:$J,10,0)</f>
        <v>TIME OUT</v>
      </c>
      <c r="I12" s="9" t="str">
        <f>VLOOKUP($A12,'2'!$A:$J,10,0)</f>
        <v>ERROR: reducible RootOf detected. Substitutions are %1</v>
      </c>
      <c r="J12" s="9">
        <f>VLOOKUP($A12,'3'!$A:$J,10,0)</f>
        <v>3.6734</v>
      </c>
      <c r="K12" s="9" t="str">
        <f>VLOOKUP($A12,'4'!$A:$J,10,0)</f>
        <v>TIME OUT</v>
      </c>
      <c r="L12" s="9">
        <f>VLOOKUP($A12,'5'!$A:$J,10,0)</f>
        <v>1.0916999999999999</v>
      </c>
      <c r="M12" s="9">
        <f>VLOOKUP($A12,'6'!$A:$J,10,0)</f>
        <v>1.0783</v>
      </c>
      <c r="N12" s="5" t="str">
        <f t="shared" si="0"/>
        <v>RC</v>
      </c>
      <c r="O12" s="5">
        <f t="shared" si="1"/>
        <v>5</v>
      </c>
      <c r="P12" s="11" t="str">
        <f t="shared" si="2"/>
        <v/>
      </c>
      <c r="Q12" s="11" t="str">
        <f t="shared" si="3"/>
        <v xml:space="preserve">2: Error: Reducible RootOf. </v>
      </c>
      <c r="R12" s="12" t="s">
        <v>47</v>
      </c>
      <c r="S12" s="8" t="s">
        <v>52</v>
      </c>
      <c r="T12" s="13">
        <f>(COUNTA(B3:B69)-COUNTIF(B3:B69,$W$4)-COUNTIF(B3:B69,"TIME OUT")-COUNTIF(B3:B69,"*ERROR*")-COUNTIF(B3:B69,$X$4))/COUNTA(B3:B69)</f>
        <v>0.67164179104477617</v>
      </c>
      <c r="U12" s="13">
        <f t="shared" ref="U12:AE12" si="6">(COUNTA(C3:C69)-COUNTIF(C3:C69,$W$4)-COUNTIF(C3:C69,"TIME OUT")-COUNTIF(C3:C69,"*ERROR*")-COUNTIF(C3:C69,$X$4))/COUNTA(C3:C69)</f>
        <v>0.92537313432835822</v>
      </c>
      <c r="V12" s="13">
        <f t="shared" si="6"/>
        <v>1</v>
      </c>
      <c r="W12" s="13">
        <f t="shared" si="6"/>
        <v>0.68656716417910446</v>
      </c>
      <c r="X12" s="13">
        <f t="shared" si="6"/>
        <v>0.92537313432835822</v>
      </c>
      <c r="Y12" s="13">
        <f t="shared" si="6"/>
        <v>1</v>
      </c>
      <c r="Z12" s="13">
        <f t="shared" si="6"/>
        <v>0.20895522388059701</v>
      </c>
      <c r="AA12" s="13">
        <f t="shared" si="6"/>
        <v>0.29850746268656714</v>
      </c>
      <c r="AB12" s="13">
        <f t="shared" si="6"/>
        <v>0.97014925373134331</v>
      </c>
      <c r="AC12" s="13">
        <f t="shared" si="6"/>
        <v>0.20895522388059701</v>
      </c>
      <c r="AD12" s="13">
        <f t="shared" si="6"/>
        <v>0.70149253731343286</v>
      </c>
      <c r="AE12" s="13">
        <f t="shared" si="6"/>
        <v>1</v>
      </c>
      <c r="AF12" s="14"/>
    </row>
    <row r="13" spans="1:32">
      <c r="A13">
        <v>30</v>
      </c>
      <c r="B13" s="9">
        <f>VLOOKUP($A13,'1'!$A:$E,5,0)</f>
        <v>16.358699999999999</v>
      </c>
      <c r="C13" s="9">
        <f>VLOOKUP($A13,'2'!$A:$D,4,0)</f>
        <v>18.762499999999999</v>
      </c>
      <c r="D13" s="9">
        <f>VLOOKUP($A13,'3'!$A:$D,4,0)</f>
        <v>5.1265999999999998</v>
      </c>
      <c r="E13" s="9">
        <f>VLOOKUP($A13,'4'!$A:$D,4,0)</f>
        <v>0.50470000000000004</v>
      </c>
      <c r="F13" s="9">
        <f>VLOOKUP($A13,'5'!$A:$D,4,0)</f>
        <v>0.41570000000000001</v>
      </c>
      <c r="G13" s="10">
        <f>VLOOKUP($A13,'6'!$A:$D,4,0)</f>
        <v>0.77180000000000004</v>
      </c>
      <c r="H13" s="9" t="str">
        <f>VLOOKUP($A13,'1'!$A:$J,10,0)</f>
        <v>TIME OUT</v>
      </c>
      <c r="I13" s="9" t="str">
        <f>VLOOKUP($A13,'2'!$A:$J,10,0)</f>
        <v>ERROR: reducible RootOf detected. Substitutions are %1</v>
      </c>
      <c r="J13" s="9">
        <f>VLOOKUP($A13,'3'!$A:$J,10,0)</f>
        <v>4.6417999999999999</v>
      </c>
      <c r="K13" s="9" t="str">
        <f>VLOOKUP($A13,'4'!$A:$J,10,0)</f>
        <v>TIME OUT</v>
      </c>
      <c r="L13" s="9">
        <f>VLOOKUP($A13,'5'!$A:$J,10,0)</f>
        <v>1.0962000000000001</v>
      </c>
      <c r="M13" s="9">
        <f>VLOOKUP($A13,'6'!$A:$J,10,0)</f>
        <v>1.3625</v>
      </c>
      <c r="N13" s="5" t="str">
        <f t="shared" si="0"/>
        <v>RC</v>
      </c>
      <c r="O13" s="5">
        <f t="shared" si="1"/>
        <v>5</v>
      </c>
      <c r="P13" s="11" t="str">
        <f t="shared" si="2"/>
        <v/>
      </c>
      <c r="Q13" s="11" t="str">
        <f t="shared" si="3"/>
        <v xml:space="preserve">2: Error: Reducible RootOf. </v>
      </c>
      <c r="R13" s="12" t="s">
        <v>47</v>
      </c>
      <c r="S13" s="8" t="s">
        <v>53</v>
      </c>
      <c r="T13" s="13">
        <f t="shared" ref="T13:AE13" si="7">(COUNTIF(B3:B69,$W$4)+COUNTIF(B3:B69,"TIME OUT"))/COUNTA(B3:B69)</f>
        <v>0.31343283582089554</v>
      </c>
      <c r="U13" s="13">
        <f t="shared" si="7"/>
        <v>7.4626865671641784E-2</v>
      </c>
      <c r="V13" s="13">
        <f t="shared" si="7"/>
        <v>0</v>
      </c>
      <c r="W13" s="13">
        <f t="shared" si="7"/>
        <v>0.29850746268656714</v>
      </c>
      <c r="X13" s="13">
        <f t="shared" si="7"/>
        <v>7.4626865671641784E-2</v>
      </c>
      <c r="Y13" s="13">
        <f t="shared" si="7"/>
        <v>0</v>
      </c>
      <c r="Z13" s="13">
        <f t="shared" si="7"/>
        <v>0.31343283582089554</v>
      </c>
      <c r="AA13" s="13">
        <f t="shared" si="7"/>
        <v>4.4776119402985072E-2</v>
      </c>
      <c r="AB13" s="13">
        <f t="shared" si="7"/>
        <v>2.9850746268656716E-2</v>
      </c>
      <c r="AC13" s="13">
        <f t="shared" si="7"/>
        <v>0.31343283582089554</v>
      </c>
      <c r="AD13" s="13">
        <f t="shared" si="7"/>
        <v>0</v>
      </c>
      <c r="AE13" s="13">
        <f t="shared" si="7"/>
        <v>0</v>
      </c>
      <c r="AF13" s="14"/>
    </row>
    <row r="14" spans="1:32">
      <c r="A14">
        <v>31</v>
      </c>
      <c r="B14" s="9">
        <f>VLOOKUP($A14,'1'!$A:$E,5,0)</f>
        <v>1.61E-2</v>
      </c>
      <c r="C14" s="9">
        <f>VLOOKUP($A14,'2'!$A:$D,4,0)</f>
        <v>1.7100000000000001E-2</v>
      </c>
      <c r="D14" s="9">
        <f>VLOOKUP($A14,'3'!$A:$D,4,0)</f>
        <v>1.5599999999999999E-2</v>
      </c>
      <c r="E14" s="9">
        <f>VLOOKUP($A14,'4'!$A:$D,4,0)</f>
        <v>1.5599999999999999E-2</v>
      </c>
      <c r="F14" s="9">
        <f>VLOOKUP($A14,'5'!$A:$D,4,0)</f>
        <v>1.5599999999999999E-2</v>
      </c>
      <c r="G14" s="10">
        <f>VLOOKUP($A14,'6'!$A:$D,4,0)</f>
        <v>1.4E-2</v>
      </c>
      <c r="H14" s="9">
        <f>VLOOKUP($A14,'1'!$A:$J,10,0)</f>
        <v>4.9099999999999998E-2</v>
      </c>
      <c r="I14" s="9">
        <f>VLOOKUP($A14,'2'!$A:$J,10,0)</f>
        <v>5.0900000000000001E-2</v>
      </c>
      <c r="J14" s="9">
        <f>VLOOKUP($A14,'3'!$A:$J,10,0)</f>
        <v>4.9000000000000002E-2</v>
      </c>
      <c r="K14" s="9">
        <f>VLOOKUP($A14,'4'!$A:$J,10,0)</f>
        <v>5.5100000000000003E-2</v>
      </c>
      <c r="L14" s="9">
        <f>VLOOKUP($A14,'5'!$A:$J,10,0)</f>
        <v>5.6599999999999998E-2</v>
      </c>
      <c r="M14" s="9">
        <f>VLOOKUP($A14,'6'!$A:$J,10,0)</f>
        <v>5.9200000000000003E-2</v>
      </c>
      <c r="N14" s="5" t="str">
        <f t="shared" si="0"/>
        <v>RC</v>
      </c>
      <c r="O14" s="5">
        <f t="shared" si="1"/>
        <v>6</v>
      </c>
      <c r="P14" s="11" t="str">
        <f t="shared" si="2"/>
        <v/>
      </c>
      <c r="Q14" s="11" t="str">
        <f t="shared" si="3"/>
        <v/>
      </c>
      <c r="R14" s="12" t="s">
        <v>47</v>
      </c>
      <c r="S14" s="8" t="s">
        <v>54</v>
      </c>
      <c r="T14" s="13">
        <f t="shared" ref="T14:AE14" si="8">(COUNTIF(B3:B69,"*ERROR*"))/COUNTA(B3:B69)</f>
        <v>1.4925373134328358E-2</v>
      </c>
      <c r="U14" s="13">
        <f t="shared" si="8"/>
        <v>0</v>
      </c>
      <c r="V14" s="13">
        <f t="shared" si="8"/>
        <v>0</v>
      </c>
      <c r="W14" s="13">
        <f t="shared" si="8"/>
        <v>1.4925373134328358E-2</v>
      </c>
      <c r="X14" s="13">
        <f t="shared" si="8"/>
        <v>0</v>
      </c>
      <c r="Y14" s="13">
        <f t="shared" si="8"/>
        <v>0</v>
      </c>
      <c r="Z14" s="13">
        <f t="shared" si="8"/>
        <v>0.47761194029850745</v>
      </c>
      <c r="AA14" s="13">
        <f t="shared" si="8"/>
        <v>0.65671641791044777</v>
      </c>
      <c r="AB14" s="13">
        <f t="shared" si="8"/>
        <v>0</v>
      </c>
      <c r="AC14" s="13">
        <f t="shared" si="8"/>
        <v>0.47761194029850745</v>
      </c>
      <c r="AD14" s="13">
        <f t="shared" si="8"/>
        <v>0.29850746268656714</v>
      </c>
      <c r="AE14" s="13">
        <f t="shared" si="8"/>
        <v>0</v>
      </c>
    </row>
    <row r="15" spans="1:32">
      <c r="A15">
        <v>32</v>
      </c>
      <c r="B15" s="9">
        <f>VLOOKUP($A15,'1'!$A:$E,5,0)</f>
        <v>16.254300000000001</v>
      </c>
      <c r="C15" s="9">
        <f>VLOOKUP($A15,'2'!$A:$D,4,0)</f>
        <v>18.778199999999998</v>
      </c>
      <c r="D15" s="9">
        <f>VLOOKUP($A15,'3'!$A:$D,4,0)</f>
        <v>5.0843999999999996</v>
      </c>
      <c r="E15" s="9">
        <f>VLOOKUP($A15,'4'!$A:$D,4,0)</f>
        <v>0.4703</v>
      </c>
      <c r="F15" s="9">
        <f>VLOOKUP($A15,'5'!$A:$D,4,0)</f>
        <v>0.4375</v>
      </c>
      <c r="G15" s="10">
        <f>VLOOKUP($A15,'6'!$A:$D,4,0)</f>
        <v>0.83279999999999998</v>
      </c>
      <c r="H15" s="9" t="str">
        <f>VLOOKUP($A15,'1'!$A:$J,10,0)</f>
        <v>TIME OUT</v>
      </c>
      <c r="I15" s="9" t="str">
        <f>VLOOKUP($A15,'2'!$A:$J,10,0)</f>
        <v>ERROR: reducible RootOf detected. Substitutions are %1</v>
      </c>
      <c r="J15" s="9">
        <f>VLOOKUP($A15,'3'!$A:$J,10,0)</f>
        <v>5.1158000000000001</v>
      </c>
      <c r="K15" s="9" t="str">
        <f>VLOOKUP($A15,'4'!$A:$J,10,0)</f>
        <v>TIME OUT</v>
      </c>
      <c r="L15" s="9">
        <f>VLOOKUP($A15,'5'!$A:$J,10,0)</f>
        <v>1.0807</v>
      </c>
      <c r="M15" s="9">
        <f>VLOOKUP($A15,'6'!$A:$J,10,0)</f>
        <v>1.3676999999999999</v>
      </c>
      <c r="N15" s="5" t="str">
        <f t="shared" si="0"/>
        <v>RC</v>
      </c>
      <c r="O15" s="5">
        <f t="shared" si="1"/>
        <v>5</v>
      </c>
      <c r="P15" s="11" t="str">
        <f t="shared" si="2"/>
        <v/>
      </c>
      <c r="Q15" s="11" t="str">
        <f t="shared" si="3"/>
        <v xml:space="preserve">2: Error: Reducible RootOf. </v>
      </c>
      <c r="R15" s="12" t="s">
        <v>47</v>
      </c>
      <c r="S15" s="5"/>
    </row>
    <row r="16" spans="1:32">
      <c r="A16">
        <v>33</v>
      </c>
      <c r="B16" s="9">
        <f>VLOOKUP($A16,'1'!$A:$E,5,0)</f>
        <v>16.183199999999999</v>
      </c>
      <c r="C16" s="9">
        <f>VLOOKUP($A16,'2'!$A:$D,4,0)</f>
        <v>18.853100000000001</v>
      </c>
      <c r="D16" s="9">
        <f>VLOOKUP($A16,'3'!$A:$D,4,0)</f>
        <v>5.0233999999999996</v>
      </c>
      <c r="E16" s="9">
        <f>VLOOKUP($A16,'4'!$A:$D,4,0)</f>
        <v>0.52810000000000001</v>
      </c>
      <c r="F16" s="9">
        <f>VLOOKUP($A16,'5'!$A:$D,4,0)</f>
        <v>0.42349999999999999</v>
      </c>
      <c r="G16" s="10">
        <f>VLOOKUP($A16,'6'!$A:$D,4,0)</f>
        <v>0.8125</v>
      </c>
      <c r="H16" s="9" t="str">
        <f>VLOOKUP($A16,'1'!$A:$J,10,0)</f>
        <v>TIME OUT</v>
      </c>
      <c r="I16" s="9" t="str">
        <f>VLOOKUP($A16,'2'!$A:$J,10,0)</f>
        <v>ERROR: reducible RootOf detected. Substitutions are %1</v>
      </c>
      <c r="J16" s="9">
        <f>VLOOKUP($A16,'3'!$A:$J,10,0)</f>
        <v>4.6025999999999998</v>
      </c>
      <c r="K16" s="9" t="str">
        <f>VLOOKUP($A16,'4'!$A:$J,10,0)</f>
        <v>TIME OUT</v>
      </c>
      <c r="L16" s="9">
        <f>VLOOKUP($A16,'5'!$A:$J,10,0)</f>
        <v>1.08</v>
      </c>
      <c r="M16" s="9">
        <f>VLOOKUP($A16,'6'!$A:$J,10,0)</f>
        <v>1.3535999999999999</v>
      </c>
      <c r="N16" s="5" t="str">
        <f t="shared" si="0"/>
        <v>RC</v>
      </c>
      <c r="O16" s="5">
        <f t="shared" si="1"/>
        <v>5</v>
      </c>
      <c r="P16" s="11" t="str">
        <f t="shared" si="2"/>
        <v/>
      </c>
      <c r="Q16" s="11" t="str">
        <f t="shared" si="3"/>
        <v xml:space="preserve">2: Error: Reducible RootOf. </v>
      </c>
      <c r="R16" s="12" t="s">
        <v>47</v>
      </c>
      <c r="S16" s="8" t="s">
        <v>52</v>
      </c>
      <c r="T16" s="34">
        <f>(COUNTA(B3:G69)-COUNTIF(B3:G69,$W$4)-COUNTIF(B3:G69,"TIME OUT")-COUNTIF(B3:G69,"*ERROR*")-COUNTIF(B3:G69,$X$4))/COUNTA(B3:G69)</f>
        <v>0.86815920398009949</v>
      </c>
      <c r="U16" s="34"/>
      <c r="V16" s="34"/>
      <c r="W16" s="34"/>
      <c r="X16" s="34"/>
      <c r="Y16" s="34"/>
      <c r="Z16" s="34">
        <f>(COUNTA(H3:M69)-COUNTIF(H3:M69,$W$4)-COUNTIF(H3:M69,"TIME OUT")-COUNTIF(H3:M69,"*ERROR*")-COUNTIF(H3:M69,$X$4))/COUNTA(H3:M69)</f>
        <v>0.56467661691542292</v>
      </c>
      <c r="AA16" s="34"/>
      <c r="AB16" s="34"/>
      <c r="AC16" s="34"/>
      <c r="AD16" s="34"/>
      <c r="AE16" s="34"/>
    </row>
    <row r="17" spans="1:31">
      <c r="A17">
        <v>34</v>
      </c>
      <c r="B17" s="9">
        <f>VLOOKUP($A17,'1'!$A:$E,5,0)</f>
        <v>16.210899999999999</v>
      </c>
      <c r="C17" s="9">
        <f>VLOOKUP($A17,'2'!$A:$D,4,0)</f>
        <v>18.848400000000002</v>
      </c>
      <c r="D17" s="9">
        <f>VLOOKUP($A17,'3'!$A:$D,4,0)</f>
        <v>5.0734000000000004</v>
      </c>
      <c r="E17" s="9">
        <f>VLOOKUP($A17,'4'!$A:$D,4,0)</f>
        <v>0.51090000000000002</v>
      </c>
      <c r="F17" s="9">
        <f>VLOOKUP($A17,'5'!$A:$D,4,0)</f>
        <v>0.45</v>
      </c>
      <c r="G17" s="10">
        <f>VLOOKUP($A17,'6'!$A:$D,4,0)</f>
        <v>0.85</v>
      </c>
      <c r="H17" s="9" t="str">
        <f>VLOOKUP($A17,'1'!$A:$J,10,0)</f>
        <v>TIME OUT</v>
      </c>
      <c r="I17" s="9" t="str">
        <f>VLOOKUP($A17,'2'!$A:$J,10,0)</f>
        <v>ERROR: reducible RootOf detected. Substitutions are %1</v>
      </c>
      <c r="J17" s="9">
        <f>VLOOKUP($A17,'3'!$A:$J,10,0)</f>
        <v>4.5865999999999998</v>
      </c>
      <c r="K17" s="9" t="str">
        <f>VLOOKUP($A17,'4'!$A:$J,10,0)</f>
        <v>TIME OUT</v>
      </c>
      <c r="L17" s="9">
        <f>VLOOKUP($A17,'5'!$A:$J,10,0)</f>
        <v>1.0864</v>
      </c>
      <c r="M17" s="9">
        <f>VLOOKUP($A17,'6'!$A:$J,10,0)</f>
        <v>1.3532999999999999</v>
      </c>
      <c r="N17" s="5" t="str">
        <f t="shared" si="0"/>
        <v>RC</v>
      </c>
      <c r="O17" s="5">
        <f t="shared" si="1"/>
        <v>5</v>
      </c>
      <c r="P17" s="11" t="str">
        <f t="shared" si="2"/>
        <v/>
      </c>
      <c r="Q17" s="11" t="str">
        <f t="shared" si="3"/>
        <v xml:space="preserve">2: Error: Reducible RootOf. </v>
      </c>
      <c r="R17" s="12" t="s">
        <v>47</v>
      </c>
      <c r="S17" s="8" t="s">
        <v>53</v>
      </c>
      <c r="T17" s="34">
        <f>(COUNTIF(B3:G69,$W$4)+COUNTIF(B3:G69,"TIME OUT"))/COUNTA(B3:G69)</f>
        <v>0.12686567164179105</v>
      </c>
      <c r="U17" s="34"/>
      <c r="V17" s="34"/>
      <c r="W17" s="34"/>
      <c r="X17" s="34"/>
      <c r="Y17" s="34"/>
      <c r="Z17" s="34">
        <f>(COUNTIF(H3:M69,$W$4)+COUNTIF(H3:M69,"TIME OUT"))/COUNTA(H3:M69)</f>
        <v>0.11691542288557213</v>
      </c>
      <c r="AA17" s="34"/>
      <c r="AB17" s="34"/>
      <c r="AC17" s="34"/>
      <c r="AD17" s="34"/>
      <c r="AE17" s="34"/>
    </row>
    <row r="18" spans="1:31">
      <c r="A18">
        <v>36</v>
      </c>
      <c r="B18" s="9">
        <f>VLOOKUP($A18,'1'!$A:$E,5,0)</f>
        <v>46.563800000000001</v>
      </c>
      <c r="C18" s="9">
        <f>VLOOKUP($A18,'2'!$A:$D,4,0)</f>
        <v>52.676600000000001</v>
      </c>
      <c r="D18" s="9">
        <f>VLOOKUP($A18,'3'!$A:$D,4,0)</f>
        <v>6.9813000000000001</v>
      </c>
      <c r="E18" s="9">
        <f>VLOOKUP($A18,'4'!$A:$D,4,0)</f>
        <v>1.0046999999999999</v>
      </c>
      <c r="F18" s="9">
        <f>VLOOKUP($A18,'5'!$A:$D,4,0)</f>
        <v>0.7641</v>
      </c>
      <c r="G18" s="10">
        <f>VLOOKUP($A18,'6'!$A:$D,4,0)</f>
        <v>1.1780999999999999</v>
      </c>
      <c r="H18" s="9" t="str">
        <f>VLOOKUP($A18,'1'!$A:$J,10,0)</f>
        <v>TIME OUT</v>
      </c>
      <c r="I18" s="9" t="str">
        <f>VLOOKUP($A18,'2'!$A:$J,10,0)</f>
        <v>TIME OUT</v>
      </c>
      <c r="J18" s="9">
        <f>VLOOKUP($A18,'3'!$A:$J,10,0)</f>
        <v>6.8158000000000003</v>
      </c>
      <c r="K18" s="9" t="str">
        <f>VLOOKUP($A18,'4'!$A:$J,10,0)</f>
        <v>TIME OUT</v>
      </c>
      <c r="L18" s="9">
        <f>VLOOKUP($A18,'5'!$A:$J,10,0)</f>
        <v>2.7061000000000002</v>
      </c>
      <c r="M18" s="9">
        <f>VLOOKUP($A18,'6'!$A:$J,10,0)</f>
        <v>1.9138999999999999</v>
      </c>
      <c r="N18" s="5" t="str">
        <f t="shared" si="0"/>
        <v>RC</v>
      </c>
      <c r="O18" s="5">
        <f t="shared" si="1"/>
        <v>5</v>
      </c>
      <c r="P18" s="11" t="str">
        <f t="shared" si="2"/>
        <v/>
      </c>
      <c r="Q18" s="11" t="str">
        <f t="shared" si="3"/>
        <v/>
      </c>
      <c r="R18" s="12" t="s">
        <v>47</v>
      </c>
      <c r="S18" s="8" t="s">
        <v>54</v>
      </c>
      <c r="T18" s="34">
        <f>(COUNTIF(B3:G69,"*ERROR*")+COUNTIF(B3:G69,$X$4))/COUNTA(B3:G69)</f>
        <v>4.9751243781094526E-3</v>
      </c>
      <c r="U18" s="34"/>
      <c r="V18" s="34"/>
      <c r="W18" s="34"/>
      <c r="X18" s="34"/>
      <c r="Y18" s="34"/>
      <c r="Z18" s="34">
        <f>(COUNTIF(H3:M69,"*ERROR*")+COUNTIF(H3:M69,$X$4))/COUNTA(H3:M69)</f>
        <v>0.31840796019900497</v>
      </c>
      <c r="AA18" s="34"/>
      <c r="AB18" s="34"/>
      <c r="AC18" s="34"/>
      <c r="AD18" s="34"/>
      <c r="AE18" s="34"/>
    </row>
    <row r="19" spans="1:31">
      <c r="A19">
        <v>38</v>
      </c>
      <c r="B19" s="9">
        <f>VLOOKUP($A19,'1'!$A:$E,5,0)</f>
        <v>46.436399999999999</v>
      </c>
      <c r="C19" s="9">
        <f>VLOOKUP($A19,'2'!$A:$D,4,0)</f>
        <v>52.171900000000001</v>
      </c>
      <c r="D19" s="9">
        <f>VLOOKUP($A19,'3'!$A:$D,4,0)</f>
        <v>6.9733999999999998</v>
      </c>
      <c r="E19" s="9">
        <f>VLOOKUP($A19,'4'!$A:$D,4,0)</f>
        <v>0.95630000000000004</v>
      </c>
      <c r="F19" s="9">
        <f>VLOOKUP($A19,'5'!$A:$D,4,0)</f>
        <v>0.72970000000000002</v>
      </c>
      <c r="G19" s="10">
        <f>VLOOKUP($A19,'6'!$A:$D,4,0)</f>
        <v>1.1561999999999999</v>
      </c>
      <c r="H19" s="9" t="str">
        <f>VLOOKUP($A19,'1'!$A:$J,10,0)</f>
        <v>TIME OUT</v>
      </c>
      <c r="I19" s="9" t="str">
        <f>VLOOKUP($A19,'2'!$A:$J,10,0)</f>
        <v>TIME OUT</v>
      </c>
      <c r="J19" s="9">
        <f>VLOOKUP($A19,'3'!$A:$J,10,0)</f>
        <v>6.76</v>
      </c>
      <c r="K19" s="9" t="str">
        <f>VLOOKUP($A19,'4'!$A:$J,10,0)</f>
        <v>TIME OUT</v>
      </c>
      <c r="L19" s="9">
        <f>VLOOKUP($A19,'5'!$A:$J,10,0)</f>
        <v>2.8723999999999998</v>
      </c>
      <c r="M19" s="9">
        <f>VLOOKUP($A19,'6'!$A:$J,10,0)</f>
        <v>1.8797999999999999</v>
      </c>
      <c r="N19" s="5" t="str">
        <f t="shared" si="0"/>
        <v>RC</v>
      </c>
      <c r="O19" s="5">
        <f t="shared" si="1"/>
        <v>5</v>
      </c>
      <c r="P19" s="11" t="str">
        <f t="shared" si="2"/>
        <v/>
      </c>
      <c r="Q19" s="11" t="str">
        <f t="shared" si="3"/>
        <v/>
      </c>
      <c r="R19" s="12" t="s">
        <v>47</v>
      </c>
      <c r="S19" s="5"/>
    </row>
    <row r="20" spans="1:31">
      <c r="A20">
        <v>40</v>
      </c>
      <c r="B20" s="9">
        <f>VLOOKUP($A20,'1'!$A:$E,5,0)</f>
        <v>43.8675</v>
      </c>
      <c r="C20" s="9">
        <f>VLOOKUP($A20,'2'!$A:$D,4,0)</f>
        <v>51.151600000000002</v>
      </c>
      <c r="D20" s="9">
        <f>VLOOKUP($A20,'3'!$A:$D,4,0)</f>
        <v>8.6187000000000005</v>
      </c>
      <c r="E20" s="9">
        <f>VLOOKUP($A20,'4'!$A:$D,4,0)</f>
        <v>0.8609</v>
      </c>
      <c r="F20" s="9">
        <f>VLOOKUP($A20,'5'!$A:$D,4,0)</f>
        <v>0.78129999999999999</v>
      </c>
      <c r="G20" s="10">
        <f>VLOOKUP($A20,'6'!$A:$D,4,0)</f>
        <v>1.3641000000000001</v>
      </c>
      <c r="H20" s="9" t="str">
        <f>VLOOKUP($A20,'1'!$A:$J,10,0)</f>
        <v>TIME OUT</v>
      </c>
      <c r="I20" s="9" t="str">
        <f>VLOOKUP($A20,'2'!$A:$J,10,0)</f>
        <v>ERROR: reducible RootOf detected. Substitutions are %1</v>
      </c>
      <c r="J20" s="9">
        <f>VLOOKUP($A20,'3'!$A:$J,10,0)</f>
        <v>7.9222999999999999</v>
      </c>
      <c r="K20" s="9" t="str">
        <f>VLOOKUP($A20,'4'!$A:$J,10,0)</f>
        <v>TIME OUT</v>
      </c>
      <c r="L20" s="9">
        <f>VLOOKUP($A20,'5'!$A:$J,10,0)</f>
        <v>2.0510000000000002</v>
      </c>
      <c r="M20" s="9">
        <f>VLOOKUP($A20,'6'!$A:$J,10,0)</f>
        <v>2.2416</v>
      </c>
      <c r="N20" s="5" t="str">
        <f t="shared" si="0"/>
        <v>RC</v>
      </c>
      <c r="O20" s="5">
        <f t="shared" si="1"/>
        <v>5</v>
      </c>
      <c r="P20" s="11" t="str">
        <f t="shared" si="2"/>
        <v/>
      </c>
      <c r="Q20" s="11" t="str">
        <f t="shared" si="3"/>
        <v xml:space="preserve">2: Error: Reducible RootOf. </v>
      </c>
      <c r="R20" s="12" t="s">
        <v>47</v>
      </c>
      <c r="S20" s="11" t="s">
        <v>55</v>
      </c>
      <c r="T20" s="15">
        <f>COUNTIF(B:G,S20)</f>
        <v>0</v>
      </c>
      <c r="U20" s="16">
        <f>T20/$T$25</f>
        <v>0</v>
      </c>
      <c r="V20" s="15">
        <f>COUNTIF(H:M,S20)</f>
        <v>0</v>
      </c>
      <c r="W20" s="16">
        <f>V20/$V$25</f>
        <v>0</v>
      </c>
      <c r="X20" t="s">
        <v>56</v>
      </c>
    </row>
    <row r="21" spans="1:31">
      <c r="A21">
        <v>41</v>
      </c>
      <c r="B21" s="9">
        <f>VLOOKUP($A21,'1'!$A:$E,5,0)</f>
        <v>44.006700000000002</v>
      </c>
      <c r="C21" s="9">
        <f>VLOOKUP($A21,'2'!$A:$D,4,0)</f>
        <v>52.378100000000003</v>
      </c>
      <c r="D21" s="9">
        <f>VLOOKUP($A21,'3'!$A:$D,4,0)</f>
        <v>8.4421999999999997</v>
      </c>
      <c r="E21" s="9">
        <f>VLOOKUP($A21,'4'!$A:$D,4,0)</f>
        <v>0.87660000000000005</v>
      </c>
      <c r="F21" s="9">
        <f>VLOOKUP($A21,'5'!$A:$D,4,0)</f>
        <v>0.78439999999999999</v>
      </c>
      <c r="G21" s="10">
        <f>VLOOKUP($A21,'6'!$A:$D,4,0)</f>
        <v>1.3953</v>
      </c>
      <c r="H21" s="9" t="str">
        <f>VLOOKUP($A21,'1'!$A:$J,10,0)</f>
        <v>TIME OUT</v>
      </c>
      <c r="I21" s="9" t="str">
        <f>VLOOKUP($A21,'2'!$A:$J,10,0)</f>
        <v>ERROR: reducible RootOf detected. Substitutions are %1</v>
      </c>
      <c r="J21" s="9">
        <f>VLOOKUP($A21,'3'!$A:$J,10,0)</f>
        <v>7.8570000000000002</v>
      </c>
      <c r="K21" s="9" t="str">
        <f>VLOOKUP($A21,'4'!$A:$J,10,0)</f>
        <v>TIME OUT</v>
      </c>
      <c r="L21" s="9">
        <f>VLOOKUP($A21,'5'!$A:$J,10,0)</f>
        <v>1.9683999999999999</v>
      </c>
      <c r="M21" s="9">
        <f>VLOOKUP($A21,'6'!$A:$J,10,0)</f>
        <v>2.2562000000000002</v>
      </c>
      <c r="N21" s="5" t="str">
        <f t="shared" si="0"/>
        <v>RC</v>
      </c>
      <c r="O21" s="5">
        <f t="shared" si="1"/>
        <v>5</v>
      </c>
      <c r="P21" s="11" t="str">
        <f t="shared" si="2"/>
        <v/>
      </c>
      <c r="Q21" s="11" t="str">
        <f t="shared" si="3"/>
        <v xml:space="preserve">2: Error: Reducible RootOf. </v>
      </c>
      <c r="R21" s="12" t="s">
        <v>47</v>
      </c>
      <c r="S21" s="11" t="s">
        <v>57</v>
      </c>
      <c r="T21" s="15">
        <f>COUNTIF(B:G,S21)</f>
        <v>0</v>
      </c>
      <c r="U21" s="16">
        <f>T21/$T$25</f>
        <v>0</v>
      </c>
      <c r="V21" s="15">
        <f>COUNTIF(H:M,S21)</f>
        <v>120</v>
      </c>
      <c r="W21" s="16">
        <f>V21/$V$25</f>
        <v>0.29850746268656714</v>
      </c>
      <c r="X21" t="s">
        <v>58</v>
      </c>
    </row>
    <row r="22" spans="1:31">
      <c r="A22">
        <v>43</v>
      </c>
      <c r="B22" s="9">
        <f>VLOOKUP($A22,'1'!$A:$E,5,0)</f>
        <v>46.583500000000001</v>
      </c>
      <c r="C22" s="9">
        <f>VLOOKUP($A22,'2'!$A:$D,4,0)</f>
        <v>51.610900000000001</v>
      </c>
      <c r="D22" s="9">
        <f>VLOOKUP($A22,'3'!$A:$D,4,0)</f>
        <v>6.8061999999999996</v>
      </c>
      <c r="E22" s="9">
        <f>VLOOKUP($A22,'4'!$A:$D,4,0)</f>
        <v>0.9516</v>
      </c>
      <c r="F22" s="9">
        <f>VLOOKUP($A22,'5'!$A:$D,4,0)</f>
        <v>0.72499999999999998</v>
      </c>
      <c r="G22" s="10">
        <f>VLOOKUP($A22,'6'!$A:$D,4,0)</f>
        <v>1.1313</v>
      </c>
      <c r="H22" s="9" t="str">
        <f>VLOOKUP($A22,'1'!$A:$J,10,0)</f>
        <v>TIME OUT</v>
      </c>
      <c r="I22" s="9" t="str">
        <f>VLOOKUP($A22,'2'!$A:$J,10,0)</f>
        <v>TIME OUT</v>
      </c>
      <c r="J22" s="9">
        <f>VLOOKUP($A22,'3'!$A:$J,10,0)</f>
        <v>6.6997</v>
      </c>
      <c r="K22" s="9" t="str">
        <f>VLOOKUP($A22,'4'!$A:$J,10,0)</f>
        <v>TIME OUT</v>
      </c>
      <c r="L22" s="9">
        <f>VLOOKUP($A22,'5'!$A:$J,10,0)</f>
        <v>2.6644999999999999</v>
      </c>
      <c r="M22" s="9">
        <f>VLOOKUP($A22,'6'!$A:$J,10,0)</f>
        <v>1.8996999999999999</v>
      </c>
      <c r="N22" s="5" t="str">
        <f t="shared" si="0"/>
        <v>RC</v>
      </c>
      <c r="O22" s="5">
        <f t="shared" si="1"/>
        <v>5</v>
      </c>
      <c r="P22" s="11" t="str">
        <f t="shared" si="2"/>
        <v/>
      </c>
      <c r="Q22" s="11" t="str">
        <f t="shared" si="3"/>
        <v/>
      </c>
      <c r="R22" s="12" t="s">
        <v>47</v>
      </c>
      <c r="S22" s="11" t="s">
        <v>59</v>
      </c>
      <c r="T22" s="15">
        <f>COUNTIF(B:G,S22)</f>
        <v>0</v>
      </c>
      <c r="U22" s="16">
        <f>T22/$T$25</f>
        <v>0</v>
      </c>
      <c r="V22" s="15">
        <f>COUNTIF(H:M,S22)</f>
        <v>0</v>
      </c>
      <c r="W22" s="16">
        <f>V22/$V$25</f>
        <v>0</v>
      </c>
      <c r="X22" t="s">
        <v>60</v>
      </c>
    </row>
    <row r="23" spans="1:31">
      <c r="A23">
        <v>45</v>
      </c>
      <c r="B23" s="9" t="str">
        <f>VLOOKUP($A23,'1'!$A:$E,5,0)</f>
        <v>TIME OUT</v>
      </c>
      <c r="C23" s="9">
        <f>VLOOKUP($A23,'2'!$A:$D,4,0)</f>
        <v>82.393799999999999</v>
      </c>
      <c r="D23" s="9">
        <f>VLOOKUP($A23,'3'!$A:$D,4,0)</f>
        <v>18.278199999999998</v>
      </c>
      <c r="E23" s="9">
        <f>VLOOKUP($A23,'4'!$A:$D,4,0)</f>
        <v>3.5531999999999999</v>
      </c>
      <c r="F23" s="9">
        <f>VLOOKUP($A23,'5'!$A:$D,4,0)</f>
        <v>2.0125000000000002</v>
      </c>
      <c r="G23" s="10">
        <f>VLOOKUP($A23,'6'!$A:$D,4,0)</f>
        <v>3.0125000000000002</v>
      </c>
      <c r="H23" s="9" t="str">
        <f>VLOOKUP($A23,'1'!$A:$J,10,0)</f>
        <v>ERROR: reducible RootOf detected. Substitutions are %1</v>
      </c>
      <c r="I23" s="9">
        <f>VLOOKUP($A23,'2'!$A:$J,10,0)</f>
        <v>101.4207</v>
      </c>
      <c r="J23" s="9" t="str">
        <f>VLOOKUP($A23,'3'!$A:$J,10,0)</f>
        <v>TIME OUT</v>
      </c>
      <c r="K23" s="9" t="str">
        <f>VLOOKUP($A23,'4'!$A:$J,10,0)</f>
        <v>ERROR: reducible RootOf detected. Substitutions are %1</v>
      </c>
      <c r="L23" s="9">
        <f>VLOOKUP($A23,'5'!$A:$J,10,0)</f>
        <v>7.8000999999999996</v>
      </c>
      <c r="M23" s="9">
        <f>VLOOKUP($A23,'6'!$A:$J,10,0)</f>
        <v>7.6894999999999998</v>
      </c>
      <c r="N23" s="5" t="str">
        <f t="shared" si="0"/>
        <v>RC</v>
      </c>
      <c r="O23" s="5">
        <f t="shared" si="1"/>
        <v>5</v>
      </c>
      <c r="P23" s="11" t="str">
        <f t="shared" si="2"/>
        <v/>
      </c>
      <c r="Q23" s="11" t="str">
        <f t="shared" si="3"/>
        <v xml:space="preserve">1: Error: Reducible RootOf. 4: Error: Reducible RootOf. </v>
      </c>
      <c r="R23" s="12" t="s">
        <v>47</v>
      </c>
      <c r="S23" s="11" t="s">
        <v>61</v>
      </c>
      <c r="T23" s="15">
        <f>COUNTIF(B:G,S23)</f>
        <v>0</v>
      </c>
      <c r="U23" s="16">
        <f>T23/$T$25</f>
        <v>0</v>
      </c>
      <c r="V23" s="15">
        <f>COUNTIF(H:M,S23)</f>
        <v>8</v>
      </c>
      <c r="W23" s="16">
        <f>V23/$V$25</f>
        <v>1.9900497512437811E-2</v>
      </c>
      <c r="X23" t="s">
        <v>62</v>
      </c>
    </row>
    <row r="24" spans="1:31">
      <c r="A24">
        <v>46</v>
      </c>
      <c r="B24" s="9" t="str">
        <f>VLOOKUP($A24,'1'!$A:$E,5,0)</f>
        <v>TIME OUT</v>
      </c>
      <c r="C24" s="9">
        <f>VLOOKUP($A24,'2'!$A:$D,4,0)</f>
        <v>23.1812</v>
      </c>
      <c r="D24" s="9">
        <f>VLOOKUP($A24,'3'!$A:$D,4,0)</f>
        <v>7.5688000000000004</v>
      </c>
      <c r="E24" s="9">
        <f>VLOOKUP($A24,'4'!$A:$D,4,0)</f>
        <v>2.0186999999999999</v>
      </c>
      <c r="F24" s="9">
        <f>VLOOKUP($A24,'5'!$A:$D,4,0)</f>
        <v>0.92179999999999995</v>
      </c>
      <c r="G24" s="10">
        <f>VLOOKUP($A24,'6'!$A:$D,4,0)</f>
        <v>1.4672000000000001</v>
      </c>
      <c r="H24" s="9" t="str">
        <f>VLOOKUP($A24,'1'!$A:$J,10,0)</f>
        <v>ERROR: reducible RootOf detected. Substitutions are %1</v>
      </c>
      <c r="I24" s="9" t="str">
        <f>VLOOKUP($A24,'2'!$A:$J,10,0)</f>
        <v>ERROR: reducible RootOf detected. Substitutions are %1</v>
      </c>
      <c r="J24" s="9">
        <f>VLOOKUP($A24,'3'!$A:$J,10,0)</f>
        <v>7.2263999999999999</v>
      </c>
      <c r="K24" s="9" t="str">
        <f>VLOOKUP($A24,'4'!$A:$J,10,0)</f>
        <v>ERROR: reducible RootOf detected. Substitutions are %1</v>
      </c>
      <c r="L24" s="9">
        <f>VLOOKUP($A24,'5'!$A:$J,10,0)</f>
        <v>2.536</v>
      </c>
      <c r="M24" s="9">
        <f>VLOOKUP($A24,'6'!$A:$J,10,0)</f>
        <v>2.4173</v>
      </c>
      <c r="N24" s="5" t="str">
        <f t="shared" si="0"/>
        <v>RC</v>
      </c>
      <c r="O24" s="5">
        <f t="shared" si="1"/>
        <v>5</v>
      </c>
      <c r="P24" s="11" t="str">
        <f t="shared" si="2"/>
        <v/>
      </c>
      <c r="Q24" s="11" t="str">
        <f t="shared" si="3"/>
        <v xml:space="preserve">1: Error: Reducible RootOf. 2: Error: Reducible RootOf. 4: Error: Reducible RootOf. </v>
      </c>
      <c r="R24" s="12" t="s">
        <v>47</v>
      </c>
      <c r="S24" s="11" t="s">
        <v>63</v>
      </c>
      <c r="T24" s="17">
        <f>T25-SUM(T20:T23)</f>
        <v>402</v>
      </c>
      <c r="U24" s="16">
        <f>T24/$T$25</f>
        <v>1</v>
      </c>
      <c r="V24" s="17">
        <f>V25-SUM(V20:V23)</f>
        <v>274</v>
      </c>
      <c r="W24" s="16">
        <f>V24/$V$25</f>
        <v>0.68159203980099503</v>
      </c>
    </row>
    <row r="25" spans="1:31">
      <c r="A25">
        <v>48</v>
      </c>
      <c r="B25" s="9" t="str">
        <f>VLOOKUP($A25,'1'!$A:$E,5,0)</f>
        <v>TIME OUT</v>
      </c>
      <c r="C25" s="9">
        <f>VLOOKUP($A25,'2'!$A:$D,4,0)</f>
        <v>81.595299999999995</v>
      </c>
      <c r="D25" s="9">
        <f>VLOOKUP($A25,'3'!$A:$D,4,0)</f>
        <v>18.259399999999999</v>
      </c>
      <c r="E25" s="9">
        <f>VLOOKUP($A25,'4'!$A:$D,4,0)</f>
        <v>3.5297000000000001</v>
      </c>
      <c r="F25" s="9">
        <f>VLOOKUP($A25,'5'!$A:$D,4,0)</f>
        <v>2.3828</v>
      </c>
      <c r="G25" s="10">
        <f>VLOOKUP($A25,'6'!$A:$D,4,0)</f>
        <v>3.2046999999999999</v>
      </c>
      <c r="H25" s="9" t="str">
        <f>VLOOKUP($A25,'1'!$A:$J,10,0)</f>
        <v>ERROR: reducible RootOf detected. Substitutions are %1</v>
      </c>
      <c r="I25" s="9">
        <f>VLOOKUP($A25,'2'!$A:$J,10,0)</f>
        <v>101.00069999999999</v>
      </c>
      <c r="J25" s="9" t="str">
        <f>VLOOKUP($A25,'3'!$A:$J,10,0)</f>
        <v>TIME OUT</v>
      </c>
      <c r="K25" s="9" t="str">
        <f>VLOOKUP($A25,'4'!$A:$J,10,0)</f>
        <v>ERROR: reducible RootOf detected. Substitutions are %1</v>
      </c>
      <c r="L25" s="9">
        <f>VLOOKUP($A25,'5'!$A:$J,10,0)</f>
        <v>9.9434000000000005</v>
      </c>
      <c r="M25" s="9">
        <f>VLOOKUP($A25,'6'!$A:$J,10,0)</f>
        <v>7.6959999999999997</v>
      </c>
      <c r="N25" s="5" t="str">
        <f t="shared" si="0"/>
        <v>RC</v>
      </c>
      <c r="O25" s="5">
        <f t="shared" si="1"/>
        <v>5</v>
      </c>
      <c r="P25" s="11" t="str">
        <f t="shared" si="2"/>
        <v/>
      </c>
      <c r="Q25" s="11" t="str">
        <f t="shared" si="3"/>
        <v xml:space="preserve">1: Error: Reducible RootOf. 4: Error: Reducible RootOf. </v>
      </c>
      <c r="R25" s="12" t="s">
        <v>47</v>
      </c>
      <c r="S25" s="18" t="s">
        <v>39</v>
      </c>
      <c r="T25" s="19">
        <f>COUNTA(B3:G69)</f>
        <v>402</v>
      </c>
      <c r="U25" s="20">
        <f>SUM(U20:U24)</f>
        <v>1</v>
      </c>
      <c r="V25" s="19">
        <f>COUNTA(H3:M69)</f>
        <v>402</v>
      </c>
      <c r="W25" s="20">
        <f>SUM(W20:W24)</f>
        <v>1</v>
      </c>
    </row>
    <row r="26" spans="1:31">
      <c r="A26">
        <v>49</v>
      </c>
      <c r="B26" s="9" t="str">
        <f>VLOOKUP($A26,'1'!$A:$E,5,0)</f>
        <v>TIME OUT</v>
      </c>
      <c r="C26" s="9">
        <f>VLOOKUP($A26,'2'!$A:$D,4,0)</f>
        <v>22.464099999999998</v>
      </c>
      <c r="D26" s="9">
        <f>VLOOKUP($A26,'3'!$A:$D,4,0)</f>
        <v>7.5968</v>
      </c>
      <c r="E26" s="9">
        <f>VLOOKUP($A26,'4'!$A:$D,4,0)</f>
        <v>1.9328000000000001</v>
      </c>
      <c r="F26" s="9">
        <f>VLOOKUP($A26,'5'!$A:$D,4,0)</f>
        <v>1.014</v>
      </c>
      <c r="G26" s="10">
        <f>VLOOKUP($A26,'6'!$A:$D,4,0)</f>
        <v>1.325</v>
      </c>
      <c r="H26" s="9" t="str">
        <f>VLOOKUP($A26,'1'!$A:$J,10,0)</f>
        <v>ERROR: reducible RootOf detected. Substitutions are %1</v>
      </c>
      <c r="I26" s="9" t="str">
        <f>VLOOKUP($A26,'2'!$A:$J,10,0)</f>
        <v>ERROR: reducible RootOf detected. Substitutions are %1</v>
      </c>
      <c r="J26" s="9">
        <f>VLOOKUP($A26,'3'!$A:$J,10,0)</f>
        <v>7.2660999999999998</v>
      </c>
      <c r="K26" s="9" t="str">
        <f>VLOOKUP($A26,'4'!$A:$J,10,0)</f>
        <v>ERROR: reducible RootOf detected. Substitutions are %1</v>
      </c>
      <c r="L26" s="9">
        <f>VLOOKUP($A26,'5'!$A:$J,10,0)</f>
        <v>2.6913999999999998</v>
      </c>
      <c r="M26" s="9">
        <f>VLOOKUP($A26,'6'!$A:$J,10,0)</f>
        <v>2.2254999999999998</v>
      </c>
      <c r="N26" s="5" t="str">
        <f t="shared" si="0"/>
        <v>RC</v>
      </c>
      <c r="O26" s="5">
        <f t="shared" si="1"/>
        <v>5</v>
      </c>
      <c r="P26" s="11" t="str">
        <f t="shared" si="2"/>
        <v/>
      </c>
      <c r="Q26" s="11" t="str">
        <f t="shared" si="3"/>
        <v xml:space="preserve">1: Error: Reducible RootOf. 2: Error: Reducible RootOf. 4: Error: Reducible RootOf. </v>
      </c>
      <c r="R26" s="12" t="s">
        <v>47</v>
      </c>
      <c r="S26" s="5"/>
    </row>
    <row r="27" spans="1:31">
      <c r="A27">
        <v>67</v>
      </c>
      <c r="B27" s="9">
        <f>VLOOKUP($A27,'1'!$A:$E,5,0)</f>
        <v>0.20930000000000001</v>
      </c>
      <c r="C27" s="9">
        <f>VLOOKUP($A27,'2'!$A:$D,4,0)</f>
        <v>0.21410000000000001</v>
      </c>
      <c r="D27" s="9">
        <f>VLOOKUP($A27,'3'!$A:$D,4,0)</f>
        <v>0.21870000000000001</v>
      </c>
      <c r="E27" s="9">
        <f>VLOOKUP($A27,'4'!$A:$D,4,0)</f>
        <v>0.1062</v>
      </c>
      <c r="F27" s="9">
        <f>VLOOKUP($A27,'5'!$A:$D,4,0)</f>
        <v>0.2079</v>
      </c>
      <c r="G27" s="10">
        <f>VLOOKUP($A27,'6'!$A:$D,4,0)</f>
        <v>0.16880000000000001</v>
      </c>
      <c r="H27" s="9">
        <f>VLOOKUP($A27,'1'!$A:$J,10,0)</f>
        <v>0.2014</v>
      </c>
      <c r="I27" s="9">
        <f>VLOOKUP($A27,'2'!$A:$J,10,0)</f>
        <v>0.1234</v>
      </c>
      <c r="J27" s="9">
        <f>VLOOKUP($A27,'3'!$A:$J,10,0)</f>
        <v>0.1231</v>
      </c>
      <c r="K27" s="9">
        <f>VLOOKUP($A27,'4'!$A:$J,10,0)</f>
        <v>0.2</v>
      </c>
      <c r="L27" s="9">
        <f>VLOOKUP($A27,'5'!$A:$J,10,0)</f>
        <v>0.1741</v>
      </c>
      <c r="M27" s="9">
        <f>VLOOKUP($A27,'6'!$A:$J,10,0)</f>
        <v>0.1343</v>
      </c>
      <c r="N27" s="5" t="str">
        <f t="shared" si="0"/>
        <v>RC</v>
      </c>
      <c r="O27" s="5">
        <f t="shared" si="1"/>
        <v>4</v>
      </c>
      <c r="P27" s="11" t="str">
        <f t="shared" si="2"/>
        <v/>
      </c>
      <c r="Q27" s="11" t="str">
        <f t="shared" si="3"/>
        <v/>
      </c>
      <c r="R27" s="12" t="s">
        <v>47</v>
      </c>
      <c r="S27" s="5"/>
    </row>
    <row r="28" spans="1:31">
      <c r="A28">
        <v>69</v>
      </c>
      <c r="B28" s="9">
        <f>VLOOKUP($A28,'1'!$A:$E,5,0)</f>
        <v>0.20930000000000001</v>
      </c>
      <c r="C28" s="9">
        <f>VLOOKUP($A28,'2'!$A:$D,4,0)</f>
        <v>0.21560000000000001</v>
      </c>
      <c r="D28" s="9">
        <f>VLOOKUP($A28,'3'!$A:$D,4,0)</f>
        <v>0.2172</v>
      </c>
      <c r="E28" s="9">
        <f>VLOOKUP($A28,'4'!$A:$D,4,0)</f>
        <v>9.8400000000000001E-2</v>
      </c>
      <c r="F28" s="9">
        <f>VLOOKUP($A28,'5'!$A:$D,4,0)</f>
        <v>0.1938</v>
      </c>
      <c r="G28" s="10">
        <f>VLOOKUP($A28,'6'!$A:$D,4,0)</f>
        <v>0.15629999999999999</v>
      </c>
      <c r="H28" s="9">
        <f>VLOOKUP($A28,'1'!$A:$J,10,0)</f>
        <v>0.1986</v>
      </c>
      <c r="I28" s="9">
        <f>VLOOKUP($A28,'2'!$A:$J,10,0)</f>
        <v>0.12180000000000001</v>
      </c>
      <c r="J28" s="9">
        <f>VLOOKUP($A28,'3'!$A:$J,10,0)</f>
        <v>0.1227</v>
      </c>
      <c r="K28" s="9">
        <f>VLOOKUP($A28,'4'!$A:$J,10,0)</f>
        <v>0.2016</v>
      </c>
      <c r="L28" s="9">
        <f>VLOOKUP($A28,'5'!$A:$J,10,0)</f>
        <v>0.15329999999999999</v>
      </c>
      <c r="M28" s="9">
        <f>VLOOKUP($A28,'6'!$A:$J,10,0)</f>
        <v>0.13389999999999999</v>
      </c>
      <c r="N28" s="5" t="str">
        <f t="shared" si="0"/>
        <v>RC</v>
      </c>
      <c r="O28" s="5">
        <f t="shared" si="1"/>
        <v>4</v>
      </c>
      <c r="P28" s="11" t="str">
        <f t="shared" si="2"/>
        <v/>
      </c>
      <c r="Q28" s="11" t="str">
        <f t="shared" si="3"/>
        <v/>
      </c>
      <c r="R28" s="12" t="s">
        <v>47</v>
      </c>
      <c r="S28" s="5"/>
    </row>
    <row r="29" spans="1:31">
      <c r="A29">
        <v>70</v>
      </c>
      <c r="B29" s="9">
        <f>VLOOKUP($A29,'1'!$A:$E,5,0)</f>
        <v>0.39989999999999998</v>
      </c>
      <c r="C29" s="9">
        <f>VLOOKUP($A29,'2'!$A:$D,4,0)</f>
        <v>0.40629999999999999</v>
      </c>
      <c r="D29" s="9">
        <f>VLOOKUP($A29,'3'!$A:$D,4,0)</f>
        <v>0.40620000000000001</v>
      </c>
      <c r="E29" s="9">
        <f>VLOOKUP($A29,'4'!$A:$D,4,0)</f>
        <v>0.2172</v>
      </c>
      <c r="F29" s="9">
        <f>VLOOKUP($A29,'5'!$A:$D,4,0)</f>
        <v>0.3735</v>
      </c>
      <c r="G29" s="10">
        <f>VLOOKUP($A29,'6'!$A:$D,4,0)</f>
        <v>0.33439999999999998</v>
      </c>
      <c r="H29" s="9">
        <f>VLOOKUP($A29,'1'!$A:$J,10,0)</f>
        <v>0.34839999999999999</v>
      </c>
      <c r="I29" s="9">
        <f>VLOOKUP($A29,'2'!$A:$J,10,0)</f>
        <v>0.22650000000000001</v>
      </c>
      <c r="J29" s="9">
        <f>VLOOKUP($A29,'3'!$A:$J,10,0)</f>
        <v>0.23139999999999999</v>
      </c>
      <c r="K29" s="9">
        <f>VLOOKUP($A29,'4'!$A:$J,10,0)</f>
        <v>0.34839999999999999</v>
      </c>
      <c r="L29" s="9">
        <f>VLOOKUP($A29,'5'!$A:$J,10,0)</f>
        <v>0.2843</v>
      </c>
      <c r="M29" s="9">
        <f>VLOOKUP($A29,'6'!$A:$J,10,0)</f>
        <v>0.25559999999999999</v>
      </c>
      <c r="N29" s="5" t="str">
        <f t="shared" si="0"/>
        <v>RC</v>
      </c>
      <c r="O29" s="5">
        <f t="shared" si="1"/>
        <v>4</v>
      </c>
      <c r="P29" s="11" t="str">
        <f t="shared" si="2"/>
        <v/>
      </c>
      <c r="Q29" s="11" t="str">
        <f t="shared" si="3"/>
        <v/>
      </c>
      <c r="R29" s="12" t="s">
        <v>47</v>
      </c>
      <c r="S29" s="5"/>
    </row>
    <row r="30" spans="1:31">
      <c r="A30">
        <v>72</v>
      </c>
      <c r="B30" s="9">
        <f>VLOOKUP($A30,'1'!$A:$E,5,0)</f>
        <v>0.40010000000000001</v>
      </c>
      <c r="C30" s="9">
        <f>VLOOKUP($A30,'2'!$A:$D,4,0)</f>
        <v>0.40160000000000001</v>
      </c>
      <c r="D30" s="9">
        <f>VLOOKUP($A30,'3'!$A:$D,4,0)</f>
        <v>0.4078</v>
      </c>
      <c r="E30" s="9">
        <f>VLOOKUP($A30,'4'!$A:$D,4,0)</f>
        <v>0.20150000000000001</v>
      </c>
      <c r="F30" s="9">
        <f>VLOOKUP($A30,'5'!$A:$D,4,0)</f>
        <v>0.35620000000000002</v>
      </c>
      <c r="G30" s="10">
        <f>VLOOKUP($A30,'6'!$A:$D,4,0)</f>
        <v>0.31409999999999999</v>
      </c>
      <c r="H30" s="9">
        <f>VLOOKUP($A30,'1'!$A:$J,10,0)</f>
        <v>0.34370000000000001</v>
      </c>
      <c r="I30" s="9">
        <f>VLOOKUP($A30,'2'!$A:$J,10,0)</f>
        <v>0.22670000000000001</v>
      </c>
      <c r="J30" s="9">
        <f>VLOOKUP($A30,'3'!$A:$J,10,0)</f>
        <v>0.23069999999999999</v>
      </c>
      <c r="K30" s="9">
        <f>VLOOKUP($A30,'4'!$A:$J,10,0)</f>
        <v>0.34849999999999998</v>
      </c>
      <c r="L30" s="9">
        <f>VLOOKUP($A30,'5'!$A:$J,10,0)</f>
        <v>0.28239999999999998</v>
      </c>
      <c r="M30" s="9">
        <f>VLOOKUP($A30,'6'!$A:$J,10,0)</f>
        <v>0.25130000000000002</v>
      </c>
      <c r="N30" s="5" t="str">
        <f t="shared" si="0"/>
        <v>RC</v>
      </c>
      <c r="O30" s="5">
        <f t="shared" si="1"/>
        <v>4</v>
      </c>
      <c r="P30" s="11" t="str">
        <f t="shared" si="2"/>
        <v/>
      </c>
      <c r="Q30" s="11" t="str">
        <f t="shared" si="3"/>
        <v/>
      </c>
      <c r="R30" s="12" t="s">
        <v>47</v>
      </c>
      <c r="S30" s="5"/>
    </row>
    <row r="31" spans="1:31">
      <c r="A31">
        <v>73</v>
      </c>
      <c r="B31" s="9">
        <f>VLOOKUP($A31,'1'!$A:$E,5,0)</f>
        <v>0.39860000000000001</v>
      </c>
      <c r="C31" s="9">
        <f>VLOOKUP($A31,'2'!$A:$D,4,0)</f>
        <v>0.40460000000000002</v>
      </c>
      <c r="D31" s="9">
        <f>VLOOKUP($A31,'3'!$A:$D,4,0)</f>
        <v>0.40629999999999999</v>
      </c>
      <c r="E31" s="9">
        <f>VLOOKUP($A31,'4'!$A:$D,4,0)</f>
        <v>0.2</v>
      </c>
      <c r="F31" s="9">
        <f>VLOOKUP($A31,'5'!$A:$D,4,0)</f>
        <v>0.3906</v>
      </c>
      <c r="G31" s="10">
        <f>VLOOKUP($A31,'6'!$A:$D,4,0)</f>
        <v>0.33279999999999998</v>
      </c>
      <c r="H31" s="9">
        <f>VLOOKUP($A31,'1'!$A:$J,10,0)</f>
        <v>0.34839999999999999</v>
      </c>
      <c r="I31" s="9">
        <f>VLOOKUP($A31,'2'!$A:$J,10,0)</f>
        <v>0.22670000000000001</v>
      </c>
      <c r="J31" s="9">
        <f>VLOOKUP($A31,'3'!$A:$J,10,0)</f>
        <v>0.23039999999999999</v>
      </c>
      <c r="K31" s="9">
        <f>VLOOKUP($A31,'4'!$A:$J,10,0)</f>
        <v>0.3468</v>
      </c>
      <c r="L31" s="9">
        <f>VLOOKUP($A31,'5'!$A:$J,10,0)</f>
        <v>0.28560000000000002</v>
      </c>
      <c r="M31" s="9">
        <f>VLOOKUP($A31,'6'!$A:$J,10,0)</f>
        <v>0.24909999999999999</v>
      </c>
      <c r="N31" s="5" t="str">
        <f t="shared" si="0"/>
        <v>RC</v>
      </c>
      <c r="O31" s="5">
        <f t="shared" si="1"/>
        <v>4</v>
      </c>
      <c r="P31" s="11" t="str">
        <f t="shared" si="2"/>
        <v/>
      </c>
      <c r="Q31" s="11" t="str">
        <f t="shared" si="3"/>
        <v/>
      </c>
      <c r="R31" s="12" t="s">
        <v>47</v>
      </c>
      <c r="S31" s="11" t="s">
        <v>55</v>
      </c>
      <c r="T31" t="s">
        <v>64</v>
      </c>
    </row>
    <row r="32" spans="1:31">
      <c r="A32">
        <v>75</v>
      </c>
      <c r="B32" s="9">
        <f>VLOOKUP($A32,'1'!$A:$E,5,0)</f>
        <v>16.161799999999999</v>
      </c>
      <c r="C32" s="9">
        <f>VLOOKUP($A32,'2'!$A:$D,4,0)</f>
        <v>18.643699999999999</v>
      </c>
      <c r="D32" s="9">
        <f>VLOOKUP($A32,'3'!$A:$D,4,0)</f>
        <v>4.9936999999999996</v>
      </c>
      <c r="E32" s="9">
        <f>VLOOKUP($A32,'4'!$A:$D,4,0)</f>
        <v>0.48749999999999999</v>
      </c>
      <c r="F32" s="9">
        <f>VLOOKUP($A32,'5'!$A:$D,4,0)</f>
        <v>0.4516</v>
      </c>
      <c r="G32" s="10">
        <f>VLOOKUP($A32,'6'!$A:$D,4,0)</f>
        <v>0.76249999999999996</v>
      </c>
      <c r="H32" s="9" t="str">
        <f>VLOOKUP($A32,'1'!$A:$J,10,0)</f>
        <v>TIME OUT</v>
      </c>
      <c r="I32" s="9" t="str">
        <f>VLOOKUP($A32,'2'!$A:$J,10,0)</f>
        <v>ERROR: reducible RootOf detected. Substitutions are %1</v>
      </c>
      <c r="J32" s="9">
        <f>VLOOKUP($A32,'3'!$A:$J,10,0)</f>
        <v>4.6749999999999998</v>
      </c>
      <c r="K32" s="9" t="str">
        <f>VLOOKUP($A32,'4'!$A:$J,10,0)</f>
        <v>TIME OUT</v>
      </c>
      <c r="L32" s="9">
        <f>VLOOKUP($A32,'5'!$A:$J,10,0)</f>
        <v>1.1998</v>
      </c>
      <c r="M32" s="9">
        <f>VLOOKUP($A32,'6'!$A:$J,10,0)</f>
        <v>1.3347</v>
      </c>
      <c r="N32" s="5" t="str">
        <f t="shared" si="0"/>
        <v>RC</v>
      </c>
      <c r="O32" s="5">
        <f t="shared" si="1"/>
        <v>5</v>
      </c>
      <c r="P32" s="11" t="str">
        <f t="shared" si="2"/>
        <v/>
      </c>
      <c r="Q32" s="11" t="str">
        <f t="shared" si="3"/>
        <v xml:space="preserve">2: Error: Reducible RootOf. </v>
      </c>
      <c r="R32" s="12" t="s">
        <v>47</v>
      </c>
      <c r="S32" s="11" t="s">
        <v>57</v>
      </c>
      <c r="T32" t="s">
        <v>65</v>
      </c>
    </row>
    <row r="33" spans="1:20">
      <c r="A33">
        <v>76</v>
      </c>
      <c r="B33" s="9">
        <f>VLOOKUP($A33,'1'!$A:$E,5,0)</f>
        <v>1.72E-2</v>
      </c>
      <c r="C33" s="9">
        <f>VLOOKUP($A33,'2'!$A:$D,4,0)</f>
        <v>1.5599999999999999E-2</v>
      </c>
      <c r="D33" s="9">
        <f>VLOOKUP($A33,'3'!$A:$D,4,0)</f>
        <v>1.72E-2</v>
      </c>
      <c r="E33" s="9">
        <f>VLOOKUP($A33,'4'!$A:$D,4,0)</f>
        <v>1.5599999999999999E-2</v>
      </c>
      <c r="F33" s="9">
        <f>VLOOKUP($A33,'5'!$A:$D,4,0)</f>
        <v>1.8700000000000001E-2</v>
      </c>
      <c r="G33" s="10">
        <f>VLOOKUP($A33,'6'!$A:$D,4,0)</f>
        <v>1.5599999999999999E-2</v>
      </c>
      <c r="H33" s="9">
        <f>VLOOKUP($A33,'1'!$A:$J,10,0)</f>
        <v>4.8500000000000001E-2</v>
      </c>
      <c r="I33" s="9">
        <f>VLOOKUP($A33,'2'!$A:$J,10,0)</f>
        <v>4.8500000000000001E-2</v>
      </c>
      <c r="J33" s="9">
        <f>VLOOKUP($A33,'3'!$A:$J,10,0)</f>
        <v>4.9599999999999998E-2</v>
      </c>
      <c r="K33" s="9">
        <f>VLOOKUP($A33,'4'!$A:$J,10,0)</f>
        <v>5.4600000000000003E-2</v>
      </c>
      <c r="L33" s="9">
        <f>VLOOKUP($A33,'5'!$A:$J,10,0)</f>
        <v>6.6199999999999995E-2</v>
      </c>
      <c r="M33" s="9">
        <f>VLOOKUP($A33,'6'!$A:$J,10,0)</f>
        <v>5.5399999999999998E-2</v>
      </c>
      <c r="N33" s="5" t="str">
        <f t="shared" si="0"/>
        <v>RC</v>
      </c>
      <c r="O33" s="5">
        <f t="shared" si="1"/>
        <v>2</v>
      </c>
      <c r="P33" s="11" t="str">
        <f t="shared" si="2"/>
        <v/>
      </c>
      <c r="Q33" s="11" t="str">
        <f t="shared" si="3"/>
        <v/>
      </c>
      <c r="R33" s="12" t="s">
        <v>47</v>
      </c>
      <c r="S33" s="11" t="s">
        <v>59</v>
      </c>
      <c r="T33" t="s">
        <v>66</v>
      </c>
    </row>
    <row r="34" spans="1:20">
      <c r="A34">
        <v>77</v>
      </c>
      <c r="B34" s="9">
        <f>VLOOKUP($A34,'1'!$A:$E,5,0)</f>
        <v>16.0929</v>
      </c>
      <c r="C34" s="9">
        <f>VLOOKUP($A34,'2'!$A:$D,4,0)</f>
        <v>18.664000000000001</v>
      </c>
      <c r="D34" s="9">
        <f>VLOOKUP($A34,'3'!$A:$D,4,0)</f>
        <v>5.0250000000000004</v>
      </c>
      <c r="E34" s="9">
        <f>VLOOKUP($A34,'4'!$A:$D,4,0)</f>
        <v>0.4546</v>
      </c>
      <c r="F34" s="9">
        <f>VLOOKUP($A34,'5'!$A:$D,4,0)</f>
        <v>0.39850000000000002</v>
      </c>
      <c r="G34" s="10">
        <f>VLOOKUP($A34,'6'!$A:$D,4,0)</f>
        <v>0.74529999999999996</v>
      </c>
      <c r="H34" s="9" t="str">
        <f>VLOOKUP($A34,'1'!$A:$J,10,0)</f>
        <v>TIME OUT</v>
      </c>
      <c r="I34" s="9" t="str">
        <f>VLOOKUP($A34,'2'!$A:$J,10,0)</f>
        <v>ERROR: reducible RootOf detected. Substitutions are %1</v>
      </c>
      <c r="J34" s="9">
        <f>VLOOKUP($A34,'3'!$A:$J,10,0)</f>
        <v>4.5999999999999996</v>
      </c>
      <c r="K34" s="9" t="str">
        <f>VLOOKUP($A34,'4'!$A:$J,10,0)</f>
        <v>TIME OUT</v>
      </c>
      <c r="L34" s="9">
        <f>VLOOKUP($A34,'5'!$A:$J,10,0)</f>
        <v>1.1819</v>
      </c>
      <c r="M34" s="9">
        <f>VLOOKUP($A34,'6'!$A:$J,10,0)</f>
        <v>1.3431999999999999</v>
      </c>
      <c r="N34" s="5" t="str">
        <f t="shared" si="0"/>
        <v>RC</v>
      </c>
      <c r="O34" s="5">
        <f t="shared" si="1"/>
        <v>5</v>
      </c>
      <c r="P34" s="11" t="str">
        <f t="shared" si="2"/>
        <v/>
      </c>
      <c r="Q34" s="11" t="str">
        <f t="shared" si="3"/>
        <v xml:space="preserve">2: Error: Reducible RootOf. </v>
      </c>
      <c r="R34" s="12" t="s">
        <v>47</v>
      </c>
      <c r="S34" s="11" t="s">
        <v>61</v>
      </c>
      <c r="T34" t="s">
        <v>67</v>
      </c>
    </row>
    <row r="35" spans="1:20">
      <c r="A35">
        <v>78</v>
      </c>
      <c r="B35" s="9">
        <f>VLOOKUP($A35,'1'!$A:$E,5,0)</f>
        <v>16.047999999999998</v>
      </c>
      <c r="C35" s="9">
        <f>VLOOKUP($A35,'2'!$A:$D,4,0)</f>
        <v>18.834299999999999</v>
      </c>
      <c r="D35" s="9">
        <f>VLOOKUP($A35,'3'!$A:$D,4,0)</f>
        <v>3.9171999999999998</v>
      </c>
      <c r="E35" s="9">
        <f>VLOOKUP($A35,'4'!$A:$D,4,0)</f>
        <v>0.50929999999999997</v>
      </c>
      <c r="F35" s="9">
        <f>VLOOKUP($A35,'5'!$A:$D,4,0)</f>
        <v>0.45629999999999998</v>
      </c>
      <c r="G35" s="10">
        <f>VLOOKUP($A35,'6'!$A:$D,4,0)</f>
        <v>0.66869999999999996</v>
      </c>
      <c r="H35" s="9" t="str">
        <f>VLOOKUP($A35,'1'!$A:$J,10,0)</f>
        <v>TIME OUT</v>
      </c>
      <c r="I35" s="9" t="str">
        <f>VLOOKUP($A35,'2'!$A:$J,10,0)</f>
        <v>ERROR: reducible RootOf detected. Substitutions are %1</v>
      </c>
      <c r="J35" s="9">
        <f>VLOOKUP($A35,'3'!$A:$J,10,0)</f>
        <v>3.5829</v>
      </c>
      <c r="K35" s="9" t="str">
        <f>VLOOKUP($A35,'4'!$A:$J,10,0)</f>
        <v>TIME OUT</v>
      </c>
      <c r="L35" s="9">
        <f>VLOOKUP($A35,'5'!$A:$J,10,0)</f>
        <v>1.2217</v>
      </c>
      <c r="M35" s="9">
        <f>VLOOKUP($A35,'6'!$A:$J,10,0)</f>
        <v>1.0920000000000001</v>
      </c>
      <c r="N35" s="5" t="str">
        <f t="shared" si="0"/>
        <v>RC</v>
      </c>
      <c r="O35" s="5">
        <f t="shared" si="1"/>
        <v>5</v>
      </c>
      <c r="P35" s="11" t="str">
        <f t="shared" si="2"/>
        <v/>
      </c>
      <c r="Q35" s="11" t="str">
        <f t="shared" si="3"/>
        <v xml:space="preserve">2: Error: Reducible RootOf. </v>
      </c>
      <c r="R35" s="12" t="s">
        <v>47</v>
      </c>
      <c r="S35" s="5"/>
    </row>
    <row r="36" spans="1:20">
      <c r="A36">
        <v>79</v>
      </c>
      <c r="B36" s="9">
        <f>VLOOKUP($A36,'1'!$A:$E,5,0)</f>
        <v>16.0458</v>
      </c>
      <c r="C36" s="9">
        <f>VLOOKUP($A36,'2'!$A:$D,4,0)</f>
        <v>18.654699999999998</v>
      </c>
      <c r="D36" s="9">
        <f>VLOOKUP($A36,'3'!$A:$D,4,0)</f>
        <v>3.9108999999999998</v>
      </c>
      <c r="E36" s="9">
        <f>VLOOKUP($A36,'4'!$A:$D,4,0)</f>
        <v>0.4859</v>
      </c>
      <c r="F36" s="9">
        <f>VLOOKUP($A36,'5'!$A:$D,4,0)</f>
        <v>0.41710000000000003</v>
      </c>
      <c r="G36" s="10">
        <f>VLOOKUP($A36,'6'!$A:$D,4,0)</f>
        <v>0.58599999999999997</v>
      </c>
      <c r="H36" s="9" t="str">
        <f>VLOOKUP($A36,'1'!$A:$J,10,0)</f>
        <v>TIME OUT</v>
      </c>
      <c r="I36" s="9" t="str">
        <f>VLOOKUP($A36,'2'!$A:$J,10,0)</f>
        <v>ERROR: reducible RootOf detected. Substitutions are %1</v>
      </c>
      <c r="J36" s="9">
        <f>VLOOKUP($A36,'3'!$A:$J,10,0)</f>
        <v>3.5928</v>
      </c>
      <c r="K36" s="9" t="str">
        <f>VLOOKUP($A36,'4'!$A:$J,10,0)</f>
        <v>TIME OUT</v>
      </c>
      <c r="L36" s="9">
        <f>VLOOKUP($A36,'5'!$A:$J,10,0)</f>
        <v>1.1389</v>
      </c>
      <c r="M36" s="9">
        <f>VLOOKUP($A36,'6'!$A:$J,10,0)</f>
        <v>1.0794999999999999</v>
      </c>
      <c r="N36" s="5" t="str">
        <f t="shared" si="0"/>
        <v>RC</v>
      </c>
      <c r="O36" s="5">
        <f t="shared" si="1"/>
        <v>5</v>
      </c>
      <c r="P36" s="11" t="str">
        <f t="shared" si="2"/>
        <v/>
      </c>
      <c r="Q36" s="11" t="str">
        <f t="shared" si="3"/>
        <v xml:space="preserve">2: Error: Reducible RootOf. </v>
      </c>
      <c r="R36" s="12" t="s">
        <v>47</v>
      </c>
      <c r="S36" s="5"/>
    </row>
    <row r="37" spans="1:20">
      <c r="A37">
        <v>80</v>
      </c>
      <c r="B37" s="9">
        <f>VLOOKUP($A37,'1'!$A:$E,5,0)</f>
        <v>16.108699999999999</v>
      </c>
      <c r="C37" s="9">
        <f>VLOOKUP($A37,'2'!$A:$D,4,0)</f>
        <v>18.638999999999999</v>
      </c>
      <c r="D37" s="9">
        <f>VLOOKUP($A37,'3'!$A:$D,4,0)</f>
        <v>4.9859999999999998</v>
      </c>
      <c r="E37" s="9">
        <f>VLOOKUP($A37,'4'!$A:$D,4,0)</f>
        <v>0.5</v>
      </c>
      <c r="F37" s="9">
        <f>VLOOKUP($A37,'5'!$A:$D,4,0)</f>
        <v>0.40629999999999999</v>
      </c>
      <c r="G37" s="10">
        <f>VLOOKUP($A37,'6'!$A:$D,4,0)</f>
        <v>0.75780000000000003</v>
      </c>
      <c r="H37" s="9" t="str">
        <f>VLOOKUP($A37,'1'!$A:$J,10,0)</f>
        <v>TIME OUT</v>
      </c>
      <c r="I37" s="9" t="str">
        <f>VLOOKUP($A37,'2'!$A:$J,10,0)</f>
        <v>ERROR: reducible RootOf detected. Substitutions are %1</v>
      </c>
      <c r="J37" s="9">
        <f>VLOOKUP($A37,'3'!$A:$J,10,0)</f>
        <v>4.6401000000000003</v>
      </c>
      <c r="K37" s="9" t="str">
        <f>VLOOKUP($A37,'4'!$A:$J,10,0)</f>
        <v>TIME OUT</v>
      </c>
      <c r="L37" s="9">
        <f>VLOOKUP($A37,'5'!$A:$J,10,0)</f>
        <v>1.0833999999999999</v>
      </c>
      <c r="M37" s="9">
        <f>VLOOKUP($A37,'6'!$A:$J,10,0)</f>
        <v>1.3491</v>
      </c>
      <c r="N37" s="5" t="str">
        <f t="shared" si="0"/>
        <v>RC</v>
      </c>
      <c r="O37" s="5">
        <f t="shared" si="1"/>
        <v>5</v>
      </c>
      <c r="P37" s="11" t="str">
        <f t="shared" si="2"/>
        <v/>
      </c>
      <c r="Q37" s="11" t="str">
        <f t="shared" si="3"/>
        <v xml:space="preserve">2: Error: Reducible RootOf. </v>
      </c>
      <c r="R37" s="12" t="s">
        <v>47</v>
      </c>
      <c r="S37" s="5"/>
    </row>
    <row r="38" spans="1:20">
      <c r="A38">
        <v>81</v>
      </c>
      <c r="B38" s="9">
        <f>VLOOKUP($A38,'1'!$A:$E,5,0)</f>
        <v>1.72E-2</v>
      </c>
      <c r="C38" s="9">
        <f>VLOOKUP($A38,'2'!$A:$D,4,0)</f>
        <v>1.5599999999999999E-2</v>
      </c>
      <c r="D38" s="9">
        <f>VLOOKUP($A38,'3'!$A:$D,4,0)</f>
        <v>1.72E-2</v>
      </c>
      <c r="E38" s="9">
        <f>VLOOKUP($A38,'4'!$A:$D,4,0)</f>
        <v>1.5599999999999999E-2</v>
      </c>
      <c r="F38" s="9">
        <f>VLOOKUP($A38,'5'!$A:$D,4,0)</f>
        <v>1.5599999999999999E-2</v>
      </c>
      <c r="G38" s="10">
        <f>VLOOKUP($A38,'6'!$A:$D,4,0)</f>
        <v>1.5599999999999999E-2</v>
      </c>
      <c r="H38" s="9">
        <f>VLOOKUP($A38,'1'!$A:$J,10,0)</f>
        <v>0.05</v>
      </c>
      <c r="I38" s="9">
        <f>VLOOKUP($A38,'2'!$A:$J,10,0)</f>
        <v>0.05</v>
      </c>
      <c r="J38" s="9">
        <f>VLOOKUP($A38,'3'!$A:$J,10,0)</f>
        <v>4.8399999999999999E-2</v>
      </c>
      <c r="K38" s="9">
        <f>VLOOKUP($A38,'4'!$A:$J,10,0)</f>
        <v>5.57E-2</v>
      </c>
      <c r="L38" s="9">
        <f>VLOOKUP($A38,'5'!$A:$J,10,0)</f>
        <v>5.7099999999999998E-2</v>
      </c>
      <c r="M38" s="9">
        <f>VLOOKUP($A38,'6'!$A:$J,10,0)</f>
        <v>5.5899999999999998E-2</v>
      </c>
      <c r="N38" s="5" t="str">
        <f t="shared" si="0"/>
        <v>RC</v>
      </c>
      <c r="O38" s="5">
        <f t="shared" si="1"/>
        <v>2</v>
      </c>
      <c r="P38" s="11" t="str">
        <f t="shared" si="2"/>
        <v/>
      </c>
      <c r="Q38" s="11" t="str">
        <f t="shared" si="3"/>
        <v/>
      </c>
      <c r="R38" s="12" t="s">
        <v>47</v>
      </c>
      <c r="S38" s="5"/>
    </row>
    <row r="39" spans="1:20">
      <c r="A39">
        <v>82</v>
      </c>
      <c r="B39" s="9">
        <f>VLOOKUP($A39,'1'!$A:$E,5,0)</f>
        <v>16.247499999999999</v>
      </c>
      <c r="C39" s="9">
        <f>VLOOKUP($A39,'2'!$A:$D,4,0)</f>
        <v>18.7484</v>
      </c>
      <c r="D39" s="9">
        <f>VLOOKUP($A39,'3'!$A:$D,4,0)</f>
        <v>5.0719000000000003</v>
      </c>
      <c r="E39" s="9">
        <f>VLOOKUP($A39,'4'!$A:$D,4,0)</f>
        <v>0.4718</v>
      </c>
      <c r="F39" s="9">
        <f>VLOOKUP($A39,'5'!$A:$D,4,0)</f>
        <v>0.4546</v>
      </c>
      <c r="G39" s="10">
        <f>VLOOKUP($A39,'6'!$A:$D,4,0)</f>
        <v>0.83289999999999997</v>
      </c>
      <c r="H39" s="9" t="str">
        <f>VLOOKUP($A39,'1'!$A:$J,10,0)</f>
        <v>TIME OUT</v>
      </c>
      <c r="I39" s="9" t="str">
        <f>VLOOKUP($A39,'2'!$A:$J,10,0)</f>
        <v>ERROR: reducible RootOf detected. Substitutions are %1</v>
      </c>
      <c r="J39" s="9">
        <f>VLOOKUP($A39,'3'!$A:$J,10,0)</f>
        <v>4.6154000000000002</v>
      </c>
      <c r="K39" s="9" t="str">
        <f>VLOOKUP($A39,'4'!$A:$J,10,0)</f>
        <v>TIME OUT</v>
      </c>
      <c r="L39" s="9">
        <f>VLOOKUP($A39,'5'!$A:$J,10,0)</f>
        <v>1.0608</v>
      </c>
      <c r="M39" s="9">
        <f>VLOOKUP($A39,'6'!$A:$J,10,0)</f>
        <v>1.3746</v>
      </c>
      <c r="N39" s="5" t="str">
        <f t="shared" si="0"/>
        <v>RC</v>
      </c>
      <c r="O39" s="5">
        <f t="shared" si="1"/>
        <v>5</v>
      </c>
      <c r="P39" s="11" t="str">
        <f t="shared" si="2"/>
        <v/>
      </c>
      <c r="Q39" s="11" t="str">
        <f t="shared" si="3"/>
        <v xml:space="preserve">2: Error: Reducible RootOf. </v>
      </c>
      <c r="R39" s="12" t="s">
        <v>47</v>
      </c>
      <c r="S39" s="5"/>
    </row>
    <row r="40" spans="1:20">
      <c r="A40">
        <v>83</v>
      </c>
      <c r="B40" s="9">
        <f>VLOOKUP($A40,'1'!$A:$E,5,0)</f>
        <v>16.0913</v>
      </c>
      <c r="C40" s="9">
        <f>VLOOKUP($A40,'2'!$A:$D,4,0)</f>
        <v>18.8703</v>
      </c>
      <c r="D40" s="9">
        <f>VLOOKUP($A40,'3'!$A:$D,4,0)</f>
        <v>5.0141</v>
      </c>
      <c r="E40" s="9">
        <f>VLOOKUP($A40,'4'!$A:$D,4,0)</f>
        <v>0.52029999999999998</v>
      </c>
      <c r="F40" s="9">
        <f>VLOOKUP($A40,'5'!$A:$D,4,0)</f>
        <v>0.4234</v>
      </c>
      <c r="G40" s="10">
        <f>VLOOKUP($A40,'6'!$A:$D,4,0)</f>
        <v>0.80779999999999996</v>
      </c>
      <c r="H40" s="9" t="str">
        <f>VLOOKUP($A40,'1'!$A:$J,10,0)</f>
        <v>TIME OUT</v>
      </c>
      <c r="I40" s="9" t="str">
        <f>VLOOKUP($A40,'2'!$A:$J,10,0)</f>
        <v>ERROR: reducible RootOf detected. Substitutions are %1</v>
      </c>
      <c r="J40" s="9">
        <f>VLOOKUP($A40,'3'!$A:$J,10,0)</f>
        <v>4.6714000000000002</v>
      </c>
      <c r="K40" s="9" t="str">
        <f>VLOOKUP($A40,'4'!$A:$J,10,0)</f>
        <v>TIME OUT</v>
      </c>
      <c r="L40" s="9">
        <f>VLOOKUP($A40,'5'!$A:$J,10,0)</f>
        <v>1.0973999999999999</v>
      </c>
      <c r="M40" s="9">
        <f>VLOOKUP($A40,'6'!$A:$J,10,0)</f>
        <v>1.3738999999999999</v>
      </c>
      <c r="N40" s="5" t="str">
        <f t="shared" si="0"/>
        <v>RC</v>
      </c>
      <c r="O40" s="5">
        <f t="shared" si="1"/>
        <v>5</v>
      </c>
      <c r="P40" s="11" t="str">
        <f t="shared" si="2"/>
        <v/>
      </c>
      <c r="Q40" s="11" t="str">
        <f t="shared" si="3"/>
        <v xml:space="preserve">2: Error: Reducible RootOf. </v>
      </c>
      <c r="R40" s="12" t="s">
        <v>47</v>
      </c>
      <c r="S40" s="5"/>
    </row>
    <row r="41" spans="1:20">
      <c r="A41">
        <v>84</v>
      </c>
      <c r="B41" s="9">
        <f>VLOOKUP($A41,'1'!$A:$E,5,0)</f>
        <v>16.042899999999999</v>
      </c>
      <c r="C41" s="9">
        <f>VLOOKUP($A41,'2'!$A:$D,4,0)</f>
        <v>18.604700000000001</v>
      </c>
      <c r="D41" s="9">
        <f>VLOOKUP($A41,'3'!$A:$D,4,0)</f>
        <v>5</v>
      </c>
      <c r="E41" s="9">
        <f>VLOOKUP($A41,'4'!$A:$D,4,0)</f>
        <v>0.49840000000000001</v>
      </c>
      <c r="F41" s="9">
        <f>VLOOKUP($A41,'5'!$A:$D,4,0)</f>
        <v>0.44059999999999999</v>
      </c>
      <c r="G41" s="10">
        <f>VLOOKUP($A41,'6'!$A:$D,4,0)</f>
        <v>0.85940000000000005</v>
      </c>
      <c r="H41" s="9" t="str">
        <f>VLOOKUP($A41,'1'!$A:$J,10,0)</f>
        <v>TIME OUT</v>
      </c>
      <c r="I41" s="9" t="str">
        <f>VLOOKUP($A41,'2'!$A:$J,10,0)</f>
        <v>ERROR: reducible RootOf detected. Substitutions are %1</v>
      </c>
      <c r="J41" s="9">
        <f>VLOOKUP($A41,'3'!$A:$J,10,0)</f>
        <v>4.5602</v>
      </c>
      <c r="K41" s="9" t="str">
        <f>VLOOKUP($A41,'4'!$A:$J,10,0)</f>
        <v>TIME OUT</v>
      </c>
      <c r="L41" s="9">
        <f>VLOOKUP($A41,'5'!$A:$J,10,0)</f>
        <v>1.0912999999999999</v>
      </c>
      <c r="M41" s="9">
        <f>VLOOKUP($A41,'6'!$A:$J,10,0)</f>
        <v>1.3651</v>
      </c>
      <c r="N41" s="5" t="str">
        <f t="shared" si="0"/>
        <v>RC</v>
      </c>
      <c r="O41" s="5">
        <f t="shared" si="1"/>
        <v>5</v>
      </c>
      <c r="P41" s="11" t="str">
        <f t="shared" si="2"/>
        <v/>
      </c>
      <c r="Q41" s="11" t="str">
        <f t="shared" si="3"/>
        <v xml:space="preserve">2: Error: Reducible RootOf. </v>
      </c>
      <c r="R41" s="12" t="s">
        <v>47</v>
      </c>
      <c r="S41" s="5"/>
    </row>
    <row r="42" spans="1:20">
      <c r="A42">
        <v>86</v>
      </c>
      <c r="B42" s="9">
        <f>VLOOKUP($A42,'1'!$A:$E,5,0)</f>
        <v>149.89930000000001</v>
      </c>
      <c r="C42" s="9">
        <f>VLOOKUP($A42,'2'!$A:$D,4,0)</f>
        <v>81.003100000000003</v>
      </c>
      <c r="D42" s="9">
        <f>VLOOKUP($A42,'3'!$A:$D,4,0)</f>
        <v>6.8563000000000001</v>
      </c>
      <c r="E42" s="9">
        <f>VLOOKUP($A42,'4'!$A:$D,4,0)</f>
        <v>1.4234</v>
      </c>
      <c r="F42" s="9">
        <f>VLOOKUP($A42,'5'!$A:$D,4,0)</f>
        <v>0.84060000000000001</v>
      </c>
      <c r="G42" s="10">
        <f>VLOOKUP($A42,'6'!$A:$D,4,0)</f>
        <v>1.3514999999999999</v>
      </c>
      <c r="H42" s="9" t="str">
        <f>VLOOKUP($A42,'1'!$A:$J,10,0)</f>
        <v>ERROR: reducible RootOf detected. Substitutions are %1</v>
      </c>
      <c r="I42" s="9" t="str">
        <f>VLOOKUP($A42,'2'!$A:$J,10,0)</f>
        <v>ERROR: reducible RootOf detected. Substitutions are %1</v>
      </c>
      <c r="J42" s="9">
        <f>VLOOKUP($A42,'3'!$A:$J,10,0)</f>
        <v>6.4634999999999998</v>
      </c>
      <c r="K42" s="9" t="str">
        <f>VLOOKUP($A42,'4'!$A:$J,10,0)</f>
        <v>ERROR: reducible RootOf detected. Substitutions are %1</v>
      </c>
      <c r="L42" s="9">
        <f>VLOOKUP($A42,'5'!$A:$J,10,0)</f>
        <v>4.5427</v>
      </c>
      <c r="M42" s="9">
        <f>VLOOKUP($A42,'6'!$A:$J,10,0)</f>
        <v>2.2210000000000001</v>
      </c>
      <c r="N42" s="5" t="str">
        <f t="shared" si="0"/>
        <v>RC</v>
      </c>
      <c r="O42" s="5">
        <f t="shared" si="1"/>
        <v>5</v>
      </c>
      <c r="P42" s="11" t="str">
        <f t="shared" si="2"/>
        <v/>
      </c>
      <c r="Q42" s="11" t="str">
        <f t="shared" si="3"/>
        <v xml:space="preserve">1: Error: Reducible RootOf. 2: Error: Reducible RootOf. 4: Error: Reducible RootOf. </v>
      </c>
      <c r="R42" s="12" t="s">
        <v>47</v>
      </c>
      <c r="S42" s="5"/>
    </row>
    <row r="43" spans="1:20">
      <c r="A43">
        <v>88</v>
      </c>
      <c r="B43" s="9">
        <f>VLOOKUP($A43,'1'!$A:$E,5,0)</f>
        <v>151.25280000000001</v>
      </c>
      <c r="C43" s="9">
        <f>VLOOKUP($A43,'2'!$A:$D,4,0)</f>
        <v>80.671899999999994</v>
      </c>
      <c r="D43" s="9">
        <f>VLOOKUP($A43,'3'!$A:$D,4,0)</f>
        <v>6.7718999999999996</v>
      </c>
      <c r="E43" s="9">
        <f>VLOOKUP($A43,'4'!$A:$D,4,0)</f>
        <v>1.3514999999999999</v>
      </c>
      <c r="F43" s="9">
        <f>VLOOKUP($A43,'5'!$A:$D,4,0)</f>
        <v>0.82650000000000001</v>
      </c>
      <c r="G43" s="10">
        <f>VLOOKUP($A43,'6'!$A:$D,4,0)</f>
        <v>1.3812</v>
      </c>
      <c r="H43" s="9" t="str">
        <f>VLOOKUP($A43,'1'!$A:$J,10,0)</f>
        <v>ERROR: reducible RootOf detected. Substitutions are %1</v>
      </c>
      <c r="I43" s="9" t="str">
        <f>VLOOKUP($A43,'2'!$A:$J,10,0)</f>
        <v>ERROR: reducible RootOf detected. Substitutions are %1</v>
      </c>
      <c r="J43" s="9">
        <f>VLOOKUP($A43,'3'!$A:$J,10,0)</f>
        <v>6.3517000000000001</v>
      </c>
      <c r="K43" s="9" t="str">
        <f>VLOOKUP($A43,'4'!$A:$J,10,0)</f>
        <v>ERROR: reducible RootOf detected. Substitutions are %1</v>
      </c>
      <c r="L43" s="9">
        <f>VLOOKUP($A43,'5'!$A:$J,10,0)</f>
        <v>4.5255999999999998</v>
      </c>
      <c r="M43" s="9">
        <f>VLOOKUP($A43,'6'!$A:$J,10,0)</f>
        <v>2.2888000000000002</v>
      </c>
      <c r="N43" s="5" t="str">
        <f t="shared" si="0"/>
        <v>RC</v>
      </c>
      <c r="O43" s="5">
        <f t="shared" si="1"/>
        <v>5</v>
      </c>
      <c r="P43" s="11" t="str">
        <f t="shared" si="2"/>
        <v/>
      </c>
      <c r="Q43" s="11" t="str">
        <f t="shared" si="3"/>
        <v xml:space="preserve">1: Error: Reducible RootOf. 2: Error: Reducible RootOf. 4: Error: Reducible RootOf. </v>
      </c>
      <c r="R43" s="12" t="s">
        <v>47</v>
      </c>
      <c r="S43" s="5"/>
    </row>
    <row r="44" spans="1:20">
      <c r="A44">
        <v>90</v>
      </c>
      <c r="B44" s="9">
        <f>VLOOKUP($A44,'1'!$A:$E,5,0)</f>
        <v>139.72909999999999</v>
      </c>
      <c r="C44" s="9">
        <f>VLOOKUP($A44,'2'!$A:$D,4,0)</f>
        <v>80.082800000000006</v>
      </c>
      <c r="D44" s="9">
        <f>VLOOKUP($A44,'3'!$A:$D,4,0)</f>
        <v>6.6718999999999999</v>
      </c>
      <c r="E44" s="9">
        <f>VLOOKUP($A44,'4'!$A:$D,4,0)</f>
        <v>1.2546999999999999</v>
      </c>
      <c r="F44" s="9">
        <f>VLOOKUP($A44,'5'!$A:$D,4,0)</f>
        <v>0.82030000000000003</v>
      </c>
      <c r="G44" s="10">
        <f>VLOOKUP($A44,'6'!$A:$D,4,0)</f>
        <v>1.3531</v>
      </c>
      <c r="H44" s="9" t="str">
        <f>VLOOKUP($A44,'1'!$A:$J,10,0)</f>
        <v>ERROR: reducible RootOf detected. Substitutions are %1</v>
      </c>
      <c r="I44" s="9" t="str">
        <f>VLOOKUP($A44,'2'!$A:$J,10,0)</f>
        <v>ERROR: reducible RootOf detected. Substitutions are %1</v>
      </c>
      <c r="J44" s="9">
        <f>VLOOKUP($A44,'3'!$A:$J,10,0)</f>
        <v>6.3533999999999997</v>
      </c>
      <c r="K44" s="9" t="str">
        <f>VLOOKUP($A44,'4'!$A:$J,10,0)</f>
        <v>ERROR: reducible RootOf detected. Substitutions are %1</v>
      </c>
      <c r="L44" s="9">
        <f>VLOOKUP($A44,'5'!$A:$J,10,0)</f>
        <v>3.9285999999999999</v>
      </c>
      <c r="M44" s="9">
        <f>VLOOKUP($A44,'6'!$A:$J,10,0)</f>
        <v>2.2204000000000002</v>
      </c>
      <c r="N44" s="5" t="str">
        <f t="shared" si="0"/>
        <v>RC</v>
      </c>
      <c r="O44" s="5">
        <f t="shared" si="1"/>
        <v>5</v>
      </c>
      <c r="P44" s="11" t="str">
        <f t="shared" si="2"/>
        <v/>
      </c>
      <c r="Q44" s="11" t="str">
        <f t="shared" si="3"/>
        <v xml:space="preserve">1: Error: Reducible RootOf. 2: Error: Reducible RootOf. 4: Error: Reducible RootOf. </v>
      </c>
      <c r="R44" s="12" t="s">
        <v>47</v>
      </c>
      <c r="S44" s="5"/>
    </row>
    <row r="45" spans="1:20">
      <c r="A45">
        <v>92</v>
      </c>
      <c r="B45" s="9">
        <f>VLOOKUP($A45,'1'!$A:$E,5,0)</f>
        <v>139.6566</v>
      </c>
      <c r="C45" s="9">
        <f>VLOOKUP($A45,'2'!$A:$D,4,0)</f>
        <v>81.174999999999997</v>
      </c>
      <c r="D45" s="9">
        <f>VLOOKUP($A45,'3'!$A:$D,4,0)</f>
        <v>6.8562000000000003</v>
      </c>
      <c r="E45" s="9" t="str">
        <f>VLOOKUP($A45,'4'!$A:$D,4,0)</f>
        <v>ERROR</v>
      </c>
      <c r="F45" s="9">
        <f>VLOOKUP($A45,'5'!$A:$D,4,0)</f>
        <v>89.751599999999996</v>
      </c>
      <c r="G45" s="10">
        <f>VLOOKUP($A45,'6'!$A:$D,4,0)</f>
        <v>8.3000000000000007</v>
      </c>
      <c r="H45" s="9" t="str">
        <f>VLOOKUP($A45,'1'!$A:$J,10,0)</f>
        <v>ERROR: reducible RootOf detected. Substitutions are %1</v>
      </c>
      <c r="I45" s="9" t="str">
        <f>VLOOKUP($A45,'2'!$A:$J,10,0)</f>
        <v>ERROR: reducible RootOf detected. Substitutions are %1</v>
      </c>
      <c r="J45" s="9">
        <f>VLOOKUP($A45,'3'!$A:$J,10,0)</f>
        <v>6.3613</v>
      </c>
      <c r="K45" s="9" t="str">
        <f>VLOOKUP($A45,'4'!$A:$J,10,0)</f>
        <v>ERROR: reducible RootOf detected. Substitutions are %1</v>
      </c>
      <c r="L45" s="9" t="str">
        <f>VLOOKUP($A45,'5'!$A:$J,10,0)</f>
        <v>ERROR: reducible RootOf detected. Substitutions are %1</v>
      </c>
      <c r="M45" s="9">
        <f>VLOOKUP($A45,'6'!$A:$J,10,0)</f>
        <v>6.3103999999999996</v>
      </c>
      <c r="N45" s="5" t="str">
        <f t="shared" si="0"/>
        <v>QE</v>
      </c>
      <c r="O45" s="5">
        <f t="shared" si="1"/>
        <v>12</v>
      </c>
      <c r="P45" s="11" t="e">
        <f t="shared" si="2"/>
        <v>#N/A</v>
      </c>
      <c r="Q45" s="11" t="str">
        <f t="shared" si="3"/>
        <v xml:space="preserve">1: Error: Reducible RootOf. 2: Error: Reducible RootOf. 4: Error: Reducible RootOf. 5: Error: Reducible RootOf. </v>
      </c>
      <c r="R45" s="12" t="s">
        <v>47</v>
      </c>
      <c r="S45" s="5"/>
    </row>
    <row r="46" spans="1:20">
      <c r="A46">
        <v>93</v>
      </c>
      <c r="B46" s="9">
        <f>VLOOKUP($A46,'1'!$A:$E,5,0)</f>
        <v>139.94110000000001</v>
      </c>
      <c r="C46" s="9">
        <f>VLOOKUP($A46,'2'!$A:$D,4,0)</f>
        <v>80.6203</v>
      </c>
      <c r="D46" s="9">
        <f>VLOOKUP($A46,'3'!$A:$D,4,0)</f>
        <v>6.6952999999999996</v>
      </c>
      <c r="E46" s="9">
        <f>VLOOKUP($A46,'4'!$A:$D,4,0)</f>
        <v>1.2797000000000001</v>
      </c>
      <c r="F46" s="9">
        <f>VLOOKUP($A46,'5'!$A:$D,4,0)</f>
        <v>0.84219999999999995</v>
      </c>
      <c r="G46" s="10">
        <f>VLOOKUP($A46,'6'!$A:$D,4,0)</f>
        <v>1.4016</v>
      </c>
      <c r="H46" s="9" t="str">
        <f>VLOOKUP($A46,'1'!$A:$J,10,0)</f>
        <v>ERROR: reducible RootOf detected. Substitutions are %1</v>
      </c>
      <c r="I46" s="9" t="str">
        <f>VLOOKUP($A46,'2'!$A:$J,10,0)</f>
        <v>ERROR: reducible RootOf detected. Substitutions are %1</v>
      </c>
      <c r="J46" s="9">
        <f>VLOOKUP($A46,'3'!$A:$J,10,0)</f>
        <v>6.4455999999999998</v>
      </c>
      <c r="K46" s="9" t="str">
        <f>VLOOKUP($A46,'4'!$A:$J,10,0)</f>
        <v>ERROR: reducible RootOf detected. Substitutions are %1</v>
      </c>
      <c r="L46" s="9">
        <f>VLOOKUP($A46,'5'!$A:$J,10,0)</f>
        <v>3.9203000000000001</v>
      </c>
      <c r="M46" s="9">
        <f>VLOOKUP($A46,'6'!$A:$J,10,0)</f>
        <v>2.2875000000000001</v>
      </c>
      <c r="N46" s="5" t="str">
        <f t="shared" si="0"/>
        <v>RC</v>
      </c>
      <c r="O46" s="5">
        <f t="shared" si="1"/>
        <v>5</v>
      </c>
      <c r="P46" s="11" t="str">
        <f t="shared" si="2"/>
        <v/>
      </c>
      <c r="Q46" s="11" t="str">
        <f t="shared" si="3"/>
        <v xml:space="preserve">1: Error: Reducible RootOf. 2: Error: Reducible RootOf. 4: Error: Reducible RootOf. </v>
      </c>
      <c r="R46" s="12" t="s">
        <v>47</v>
      </c>
      <c r="S46" s="5"/>
    </row>
    <row r="47" spans="1:20">
      <c r="A47">
        <v>94</v>
      </c>
      <c r="B47" s="9" t="str">
        <f>VLOOKUP($A47,'1'!$A:$E,5,0)</f>
        <v>TIME OUT</v>
      </c>
      <c r="C47" s="9">
        <f>VLOOKUP($A47,'2'!$A:$D,4,0)</f>
        <v>147.45779999999999</v>
      </c>
      <c r="D47" s="9">
        <f>VLOOKUP($A47,'3'!$A:$D,4,0)</f>
        <v>9.0124999999999993</v>
      </c>
      <c r="E47" s="9" t="str">
        <f>VLOOKUP($A47,'4'!$A:$D,4,0)</f>
        <v>TIME OUT</v>
      </c>
      <c r="F47" s="9">
        <f>VLOOKUP($A47,'5'!$A:$D,4,0)</f>
        <v>160.2047</v>
      </c>
      <c r="G47" s="10">
        <f>VLOOKUP($A47,'6'!$A:$D,4,0)</f>
        <v>11.324999999999999</v>
      </c>
      <c r="H47" s="9" t="str">
        <f>VLOOKUP($A47,'1'!$A:$J,10,0)</f>
        <v>ERROR: reducible RootOf detected. Substitutions are %1</v>
      </c>
      <c r="I47" s="9" t="str">
        <f>VLOOKUP($A47,'2'!$A:$J,10,0)</f>
        <v>ERROR: reducible RootOf detected. Substitutions are %1</v>
      </c>
      <c r="J47" s="9">
        <f>VLOOKUP($A47,'3'!$A:$J,10,0)</f>
        <v>8.3475000000000001</v>
      </c>
      <c r="K47" s="9" t="str">
        <f>VLOOKUP($A47,'4'!$A:$J,10,0)</f>
        <v>ERROR: reducible RootOf detected. Substitutions are %1</v>
      </c>
      <c r="L47" s="9" t="str">
        <f>VLOOKUP($A47,'5'!$A:$J,10,0)</f>
        <v>ERROR: reducible RootOf detected. Substitutions are %1</v>
      </c>
      <c r="M47" s="9">
        <f>VLOOKUP($A47,'6'!$A:$J,10,0)</f>
        <v>8.3977000000000004</v>
      </c>
      <c r="N47" s="5" t="str">
        <f t="shared" si="0"/>
        <v>QE</v>
      </c>
      <c r="O47" s="5">
        <f t="shared" si="1"/>
        <v>9</v>
      </c>
      <c r="P47" s="11" t="str">
        <f t="shared" si="2"/>
        <v/>
      </c>
      <c r="Q47" s="11" t="str">
        <f t="shared" si="3"/>
        <v xml:space="preserve">1: Error: Reducible RootOf. 2: Error: Reducible RootOf. 4: Error: Reducible RootOf. 5: Error: Reducible RootOf. </v>
      </c>
      <c r="R47" s="12" t="s">
        <v>47</v>
      </c>
      <c r="S47" s="5"/>
    </row>
    <row r="48" spans="1:20">
      <c r="A48">
        <v>96</v>
      </c>
      <c r="B48" s="9" t="str">
        <f>VLOOKUP($A48,'1'!$A:$E,5,0)</f>
        <v>TIME OUT</v>
      </c>
      <c r="C48" s="9">
        <f>VLOOKUP($A48,'2'!$A:$D,4,0)</f>
        <v>149.33279999999999</v>
      </c>
      <c r="D48" s="9">
        <f>VLOOKUP($A48,'3'!$A:$D,4,0)</f>
        <v>9.1531000000000002</v>
      </c>
      <c r="E48" s="9" t="str">
        <f>VLOOKUP($A48,'4'!$A:$D,4,0)</f>
        <v>TIME OUT</v>
      </c>
      <c r="F48" s="9">
        <f>VLOOKUP($A48,'5'!$A:$D,4,0)</f>
        <v>162.71719999999999</v>
      </c>
      <c r="G48" s="10">
        <f>VLOOKUP($A48,'6'!$A:$D,4,0)</f>
        <v>11.112500000000001</v>
      </c>
      <c r="H48" s="9" t="str">
        <f>VLOOKUP($A48,'1'!$A:$J,10,0)</f>
        <v>ERROR: reducible RootOf detected. Substitutions are %1</v>
      </c>
      <c r="I48" s="9" t="str">
        <f>VLOOKUP($A48,'2'!$A:$J,10,0)</f>
        <v>ERROR: reducible RootOf detected. Substitutions are %1</v>
      </c>
      <c r="J48" s="9">
        <f>VLOOKUP($A48,'3'!$A:$J,10,0)</f>
        <v>8.4602000000000004</v>
      </c>
      <c r="K48" s="9" t="str">
        <f>VLOOKUP($A48,'4'!$A:$J,10,0)</f>
        <v>ERROR: reducible RootOf detected. Substitutions are %1</v>
      </c>
      <c r="L48" s="9" t="str">
        <f>VLOOKUP($A48,'5'!$A:$J,10,0)</f>
        <v>ERROR: reducible RootOf detected. Substitutions are %1</v>
      </c>
      <c r="M48" s="9">
        <f>VLOOKUP($A48,'6'!$A:$J,10,0)</f>
        <v>8.3819999999999997</v>
      </c>
      <c r="N48" s="5" t="str">
        <f t="shared" si="0"/>
        <v>QE</v>
      </c>
      <c r="O48" s="5">
        <f t="shared" si="1"/>
        <v>12</v>
      </c>
      <c r="P48" s="11" t="str">
        <f t="shared" si="2"/>
        <v/>
      </c>
      <c r="Q48" s="11" t="str">
        <f t="shared" si="3"/>
        <v xml:space="preserve">1: Error: Reducible RootOf. 2: Error: Reducible RootOf. 4: Error: Reducible RootOf. 5: Error: Reducible RootOf. </v>
      </c>
      <c r="R48" s="12" t="s">
        <v>47</v>
      </c>
      <c r="S48" s="5"/>
    </row>
    <row r="49" spans="1:19">
      <c r="A49">
        <v>98</v>
      </c>
      <c r="B49" s="9">
        <f>VLOOKUP($A49,'1'!$A:$E,5,0)</f>
        <v>245.60929999999999</v>
      </c>
      <c r="C49" s="9">
        <f>VLOOKUP($A49,'2'!$A:$D,4,0)</f>
        <v>147.56870000000001</v>
      </c>
      <c r="D49" s="9">
        <f>VLOOKUP($A49,'3'!$A:$D,4,0)</f>
        <v>9.2015999999999991</v>
      </c>
      <c r="E49" s="9" t="str">
        <f>VLOOKUP($A49,'4'!$A:$D,4,0)</f>
        <v>TIME OUT</v>
      </c>
      <c r="F49" s="9">
        <f>VLOOKUP($A49,'5'!$A:$D,4,0)</f>
        <v>165.28899999999999</v>
      </c>
      <c r="G49" s="10">
        <f>VLOOKUP($A49,'6'!$A:$D,4,0)</f>
        <v>11.6203</v>
      </c>
      <c r="H49" s="9" t="str">
        <f>VLOOKUP($A49,'1'!$A:$J,10,0)</f>
        <v>ERROR: reducible RootOf detected. Substitutions are %1</v>
      </c>
      <c r="I49" s="9" t="str">
        <f>VLOOKUP($A49,'2'!$A:$J,10,0)</f>
        <v>ERROR: reducible RootOf detected. Substitutions are %1</v>
      </c>
      <c r="J49" s="9">
        <f>VLOOKUP($A49,'3'!$A:$J,10,0)</f>
        <v>8.3442000000000007</v>
      </c>
      <c r="K49" s="9" t="str">
        <f>VLOOKUP($A49,'4'!$A:$J,10,0)</f>
        <v>ERROR: reducible RootOf detected. Substitutions are %1</v>
      </c>
      <c r="L49" s="9" t="str">
        <f>VLOOKUP($A49,'5'!$A:$J,10,0)</f>
        <v>ERROR: reducible RootOf detected. Substitutions are %1</v>
      </c>
      <c r="M49" s="9">
        <f>VLOOKUP($A49,'6'!$A:$J,10,0)</f>
        <v>8.4398</v>
      </c>
      <c r="N49" s="5" t="str">
        <f t="shared" si="0"/>
        <v>QE</v>
      </c>
      <c r="O49" s="5">
        <f t="shared" si="1"/>
        <v>9</v>
      </c>
      <c r="P49" s="11" t="str">
        <f t="shared" si="2"/>
        <v/>
      </c>
      <c r="Q49" s="11" t="str">
        <f t="shared" si="3"/>
        <v xml:space="preserve">1: Error: Reducible RootOf. 2: Error: Reducible RootOf. 4: Error: Reducible RootOf. 5: Error: Reducible RootOf. </v>
      </c>
      <c r="R49" s="12" t="s">
        <v>47</v>
      </c>
      <c r="S49" s="5"/>
    </row>
    <row r="50" spans="1:19">
      <c r="A50">
        <v>99</v>
      </c>
      <c r="B50" s="9">
        <f>VLOOKUP($A50,'1'!$A:$E,5,0)</f>
        <v>246.70349999999999</v>
      </c>
      <c r="C50" s="9">
        <f>VLOOKUP($A50,'2'!$A:$D,4,0)</f>
        <v>148.6328</v>
      </c>
      <c r="D50" s="9">
        <f>VLOOKUP($A50,'3'!$A:$D,4,0)</f>
        <v>9.1219000000000001</v>
      </c>
      <c r="E50" s="9" t="str">
        <f>VLOOKUP($A50,'4'!$A:$D,4,0)</f>
        <v>TIME OUT</v>
      </c>
      <c r="F50" s="9">
        <f>VLOOKUP($A50,'5'!$A:$D,4,0)</f>
        <v>172.94380000000001</v>
      </c>
      <c r="G50" s="10">
        <f>VLOOKUP($A50,'6'!$A:$D,4,0)</f>
        <v>12.953200000000001</v>
      </c>
      <c r="H50" s="9" t="str">
        <f>VLOOKUP($A50,'1'!$A:$J,10,0)</f>
        <v>ERROR: reducible RootOf detected. Substitutions are %1</v>
      </c>
      <c r="I50" s="9" t="str">
        <f>VLOOKUP($A50,'2'!$A:$J,10,0)</f>
        <v>ERROR: reducible RootOf detected. Substitutions are %1</v>
      </c>
      <c r="J50" s="9">
        <f>VLOOKUP($A50,'3'!$A:$J,10,0)</f>
        <v>8.3064</v>
      </c>
      <c r="K50" s="9" t="str">
        <f>VLOOKUP($A50,'4'!$A:$J,10,0)</f>
        <v>ERROR: reducible RootOf detected. Substitutions are %1</v>
      </c>
      <c r="L50" s="9" t="str">
        <f>VLOOKUP($A50,'5'!$A:$J,10,0)</f>
        <v>ERROR: reducible RootOf detected. Substitutions are %1</v>
      </c>
      <c r="M50" s="9">
        <f>VLOOKUP($A50,'6'!$A:$J,10,0)</f>
        <v>8.4847999999999999</v>
      </c>
      <c r="N50" s="5" t="str">
        <f t="shared" si="0"/>
        <v>QE</v>
      </c>
      <c r="O50" s="5">
        <f t="shared" si="1"/>
        <v>9</v>
      </c>
      <c r="P50" s="11" t="str">
        <f t="shared" si="2"/>
        <v/>
      </c>
      <c r="Q50" s="11" t="str">
        <f t="shared" si="3"/>
        <v xml:space="preserve">1: Error: Reducible RootOf. 2: Error: Reducible RootOf. 4: Error: Reducible RootOf. 5: Error: Reducible RootOf. </v>
      </c>
      <c r="R50" s="12" t="s">
        <v>47</v>
      </c>
      <c r="S50" s="5"/>
    </row>
    <row r="51" spans="1:19">
      <c r="A51">
        <v>101</v>
      </c>
      <c r="B51" s="9">
        <f>VLOOKUP($A51,'1'!$A:$E,5,0)</f>
        <v>246.68190000000001</v>
      </c>
      <c r="C51" s="9">
        <f>VLOOKUP($A51,'2'!$A:$D,4,0)</f>
        <v>145.9829</v>
      </c>
      <c r="D51" s="9">
        <f>VLOOKUP($A51,'3'!$A:$D,4,0)</f>
        <v>9.2453000000000003</v>
      </c>
      <c r="E51" s="9" t="str">
        <f>VLOOKUP($A51,'4'!$A:$D,4,0)</f>
        <v>TIME OUT</v>
      </c>
      <c r="F51" s="9">
        <f>VLOOKUP($A51,'5'!$A:$D,4,0)</f>
        <v>163.13749999999999</v>
      </c>
      <c r="G51" s="10">
        <f>VLOOKUP($A51,'6'!$A:$D,4,0)</f>
        <v>11.2844</v>
      </c>
      <c r="H51" s="9" t="str">
        <f>VLOOKUP($A51,'1'!$A:$J,10,0)</f>
        <v>ERROR: reducible RootOf detected. Substitutions are %1</v>
      </c>
      <c r="I51" s="9" t="str">
        <f>VLOOKUP($A51,'2'!$A:$J,10,0)</f>
        <v>ERROR: reducible RootOf detected. Substitutions are %1</v>
      </c>
      <c r="J51" s="9">
        <f>VLOOKUP($A51,'3'!$A:$J,10,0)</f>
        <v>8.4065999999999992</v>
      </c>
      <c r="K51" s="9" t="str">
        <f>VLOOKUP($A51,'4'!$A:$J,10,0)</f>
        <v>ERROR: reducible RootOf detected. Substitutions are %1</v>
      </c>
      <c r="L51" s="9" t="str">
        <f>VLOOKUP($A51,'5'!$A:$J,10,0)</f>
        <v>ERROR: reducible RootOf detected. Substitutions are %1</v>
      </c>
      <c r="M51" s="9">
        <f>VLOOKUP($A51,'6'!$A:$J,10,0)</f>
        <v>8.4400999999999993</v>
      </c>
      <c r="N51" s="5" t="str">
        <f t="shared" si="0"/>
        <v>QE</v>
      </c>
      <c r="O51" s="5">
        <f t="shared" si="1"/>
        <v>9</v>
      </c>
      <c r="P51" s="11" t="str">
        <f t="shared" si="2"/>
        <v/>
      </c>
      <c r="Q51" s="11" t="str">
        <f t="shared" si="3"/>
        <v xml:space="preserve">1: Error: Reducible RootOf. 2: Error: Reducible RootOf. 4: Error: Reducible RootOf. 5: Error: Reducible RootOf. </v>
      </c>
      <c r="R51" s="12" t="s">
        <v>47</v>
      </c>
      <c r="S51" s="5"/>
    </row>
    <row r="52" spans="1:19">
      <c r="A52">
        <v>103</v>
      </c>
      <c r="B52" s="9">
        <f>VLOOKUP($A52,'1'!$A:$E,5,0)</f>
        <v>151.83189999999999</v>
      </c>
      <c r="C52" s="9">
        <f>VLOOKUP($A52,'2'!$A:$D,4,0)</f>
        <v>81.114099999999993</v>
      </c>
      <c r="D52" s="9">
        <f>VLOOKUP($A52,'3'!$A:$D,4,0)</f>
        <v>6.7718999999999996</v>
      </c>
      <c r="E52" s="9">
        <f>VLOOKUP($A52,'4'!$A:$D,4,0)</f>
        <v>220.12190000000001</v>
      </c>
      <c r="F52" s="9">
        <f>VLOOKUP($A52,'5'!$A:$D,4,0)</f>
        <v>91.165599999999998</v>
      </c>
      <c r="G52" s="10">
        <f>VLOOKUP($A52,'6'!$A:$D,4,0)</f>
        <v>8.3234999999999992</v>
      </c>
      <c r="H52" s="9" t="str">
        <f>VLOOKUP($A52,'1'!$A:$J,10,0)</f>
        <v>ERROR: reducible RootOf detected. Substitutions are %1</v>
      </c>
      <c r="I52" s="9" t="str">
        <f>VLOOKUP($A52,'2'!$A:$J,10,0)</f>
        <v>ERROR: reducible RootOf detected. Substitutions are %1</v>
      </c>
      <c r="J52" s="9">
        <f>VLOOKUP($A52,'3'!$A:$J,10,0)</f>
        <v>6.3909000000000002</v>
      </c>
      <c r="K52" s="9" t="str">
        <f>VLOOKUP($A52,'4'!$A:$J,10,0)</f>
        <v>ERROR: reducible RootOf detected. Substitutions are %1</v>
      </c>
      <c r="L52" s="9" t="str">
        <f>VLOOKUP($A52,'5'!$A:$J,10,0)</f>
        <v>ERROR: reducible RootOf detected. Substitutions are %1</v>
      </c>
      <c r="M52" s="9">
        <f>VLOOKUP($A52,'6'!$A:$J,10,0)</f>
        <v>6.3973000000000004</v>
      </c>
      <c r="N52" s="5" t="str">
        <f t="shared" si="0"/>
        <v>QE</v>
      </c>
      <c r="O52" s="5">
        <f t="shared" si="1"/>
        <v>9</v>
      </c>
      <c r="P52" s="11" t="str">
        <f t="shared" si="2"/>
        <v/>
      </c>
      <c r="Q52" s="11" t="str">
        <f t="shared" si="3"/>
        <v xml:space="preserve">1: Error: Reducible RootOf. 2: Error: Reducible RootOf. 4: Error: Reducible RootOf. 5: Error: Reducible RootOf. </v>
      </c>
      <c r="R52" s="12" t="s">
        <v>47</v>
      </c>
      <c r="S52" s="5"/>
    </row>
    <row r="53" spans="1:19">
      <c r="A53">
        <v>105</v>
      </c>
      <c r="B53" s="9" t="str">
        <f>VLOOKUP($A53,'1'!$A:$E,5,0)</f>
        <v>TIME OUT</v>
      </c>
      <c r="C53" s="9">
        <f>VLOOKUP($A53,'2'!$A:$D,4,0)</f>
        <v>219.52969999999999</v>
      </c>
      <c r="D53" s="9">
        <f>VLOOKUP($A53,'3'!$A:$D,4,0)</f>
        <v>10.1829</v>
      </c>
      <c r="E53" s="9" t="str">
        <f>VLOOKUP($A53,'4'!$A:$D,4,0)</f>
        <v>TIME OUT</v>
      </c>
      <c r="F53" s="9">
        <f>VLOOKUP($A53,'5'!$A:$D,4,0)</f>
        <v>236.76560000000001</v>
      </c>
      <c r="G53" s="10">
        <f>VLOOKUP($A53,'6'!$A:$D,4,0)</f>
        <v>12.267200000000001</v>
      </c>
      <c r="H53" s="9" t="str">
        <f>VLOOKUP($A53,'1'!$A:$J,10,0)</f>
        <v>ERROR: reducible RootOf detected. Substitutions are %1</v>
      </c>
      <c r="I53" s="9" t="str">
        <f>VLOOKUP($A53,'2'!$A:$J,10,0)</f>
        <v>ERROR: reducible RootOf detected. Substitutions are %1</v>
      </c>
      <c r="J53" s="9">
        <f>VLOOKUP($A53,'3'!$A:$J,10,0)</f>
        <v>9.5449000000000002</v>
      </c>
      <c r="K53" s="9" t="str">
        <f>VLOOKUP($A53,'4'!$A:$J,10,0)</f>
        <v>ERROR: reducible RootOf detected. Substitutions are %1</v>
      </c>
      <c r="L53" s="9" t="str">
        <f>VLOOKUP($A53,'5'!$A:$J,10,0)</f>
        <v>ERROR: reducible RootOf detected. Substitutions are %1</v>
      </c>
      <c r="M53" s="9">
        <f>VLOOKUP($A53,'6'!$A:$J,10,0)</f>
        <v>9.5617999999999999</v>
      </c>
      <c r="N53" s="5" t="str">
        <f t="shared" si="0"/>
        <v>QE</v>
      </c>
      <c r="O53" s="5">
        <f t="shared" si="1"/>
        <v>9</v>
      </c>
      <c r="P53" s="11" t="str">
        <f t="shared" si="2"/>
        <v/>
      </c>
      <c r="Q53" s="11" t="str">
        <f t="shared" si="3"/>
        <v xml:space="preserve">1: Error: Reducible RootOf. 2: Error: Reducible RootOf. 4: Error: Reducible RootOf. 5: Error: Reducible RootOf. </v>
      </c>
      <c r="R53" s="12" t="s">
        <v>47</v>
      </c>
      <c r="S53" s="5"/>
    </row>
    <row r="54" spans="1:19">
      <c r="A54">
        <v>106</v>
      </c>
      <c r="B54" s="9" t="str">
        <f>VLOOKUP($A54,'1'!$A:$E,5,0)</f>
        <v>ERROR: invalid subscript selector</v>
      </c>
      <c r="C54" s="9">
        <f>VLOOKUP($A54,'2'!$A:$D,4,0)</f>
        <v>91.573400000000007</v>
      </c>
      <c r="D54" s="9">
        <f>VLOOKUP($A54,'3'!$A:$D,4,0)</f>
        <v>7.0171999999999999</v>
      </c>
      <c r="E54" s="9">
        <f>VLOOKUP($A54,'4'!$A:$D,4,0)</f>
        <v>347.6078</v>
      </c>
      <c r="F54" s="9">
        <f>VLOOKUP($A54,'5'!$A:$D,4,0)</f>
        <v>98.334299999999999</v>
      </c>
      <c r="G54" s="10">
        <f>VLOOKUP($A54,'6'!$A:$D,4,0)</f>
        <v>8.7608999999999995</v>
      </c>
      <c r="H54" s="9" t="str">
        <f>VLOOKUP($A54,'1'!$A:$J,10,0)</f>
        <v>ERROR: reducible RootOf detected. Substitutions are %1</v>
      </c>
      <c r="I54" s="9" t="str">
        <f>VLOOKUP($A54,'2'!$A:$J,10,0)</f>
        <v>ERROR: reducible RootOf detected. Substitutions are %1</v>
      </c>
      <c r="J54" s="9">
        <f>VLOOKUP($A54,'3'!$A:$J,10,0)</f>
        <v>6.5505000000000004</v>
      </c>
      <c r="K54" s="9" t="str">
        <f>VLOOKUP($A54,'4'!$A:$J,10,0)</f>
        <v>ERROR: reducible RootOf detected. Substitutions are %1</v>
      </c>
      <c r="L54" s="9" t="str">
        <f>VLOOKUP($A54,'5'!$A:$J,10,0)</f>
        <v>ERROR: reducible RootOf detected. Substitutions are %1</v>
      </c>
      <c r="M54" s="9">
        <f>VLOOKUP($A54,'6'!$A:$J,10,0)</f>
        <v>6.6676000000000002</v>
      </c>
      <c r="N54" s="5" t="str">
        <f t="shared" si="0"/>
        <v>QE</v>
      </c>
      <c r="O54" s="5">
        <f t="shared" si="1"/>
        <v>9</v>
      </c>
      <c r="P54" s="11" t="e">
        <f t="shared" si="2"/>
        <v>#N/A</v>
      </c>
      <c r="Q54" s="11" t="str">
        <f t="shared" si="3"/>
        <v xml:space="preserve">1: Error: Reducible RootOf. 2: Error: Reducible RootOf. 4: Error: Reducible RootOf. 5: Error: Reducible RootOf. </v>
      </c>
      <c r="R54" s="12" t="s">
        <v>47</v>
      </c>
      <c r="S54" s="5"/>
    </row>
    <row r="55" spans="1:19">
      <c r="A55">
        <v>108</v>
      </c>
      <c r="B55" s="9" t="str">
        <f>VLOOKUP($A55,'1'!$A:$E,5,0)</f>
        <v>TIME OUT</v>
      </c>
      <c r="C55" s="9">
        <f>VLOOKUP($A55,'2'!$A:$D,4,0)</f>
        <v>224.70939999999999</v>
      </c>
      <c r="D55" s="9">
        <f>VLOOKUP($A55,'3'!$A:$D,4,0)</f>
        <v>10.0625</v>
      </c>
      <c r="E55" s="9" t="str">
        <f>VLOOKUP($A55,'4'!$A:$D,4,0)</f>
        <v>TIME OUT</v>
      </c>
      <c r="F55" s="9">
        <f>VLOOKUP($A55,'5'!$A:$D,4,0)</f>
        <v>237.3</v>
      </c>
      <c r="G55" s="10">
        <f>VLOOKUP($A55,'6'!$A:$D,4,0)</f>
        <v>12.4125</v>
      </c>
      <c r="H55" s="9" t="str">
        <f>VLOOKUP($A55,'1'!$A:$J,10,0)</f>
        <v>ERROR: reducible RootOf detected. Substitutions are %1</v>
      </c>
      <c r="I55" s="9" t="str">
        <f>VLOOKUP($A55,'2'!$A:$J,10,0)</f>
        <v>ERROR: reducible RootOf detected. Substitutions are %1</v>
      </c>
      <c r="J55" s="9">
        <f>VLOOKUP($A55,'3'!$A:$J,10,0)</f>
        <v>9.4285999999999994</v>
      </c>
      <c r="K55" s="9" t="str">
        <f>VLOOKUP($A55,'4'!$A:$J,10,0)</f>
        <v>ERROR: reducible RootOf detected. Substitutions are %1</v>
      </c>
      <c r="L55" s="9" t="str">
        <f>VLOOKUP($A55,'5'!$A:$J,10,0)</f>
        <v>ERROR: reducible RootOf detected. Substitutions are %1</v>
      </c>
      <c r="M55" s="9">
        <f>VLOOKUP($A55,'6'!$A:$J,10,0)</f>
        <v>9.4707000000000008</v>
      </c>
      <c r="N55" s="5" t="str">
        <f t="shared" si="0"/>
        <v>QE</v>
      </c>
      <c r="O55" s="5">
        <f t="shared" si="1"/>
        <v>9</v>
      </c>
      <c r="P55" s="11" t="str">
        <f t="shared" si="2"/>
        <v/>
      </c>
      <c r="Q55" s="11" t="str">
        <f t="shared" si="3"/>
        <v xml:space="preserve">1: Error: Reducible RootOf. 2: Error: Reducible RootOf. 4: Error: Reducible RootOf. 5: Error: Reducible RootOf. </v>
      </c>
      <c r="R55" s="12" t="s">
        <v>47</v>
      </c>
      <c r="S55" s="5"/>
    </row>
    <row r="56" spans="1:19">
      <c r="A56">
        <v>109</v>
      </c>
      <c r="B56" s="9" t="str">
        <f>VLOOKUP($A56,'1'!$A:$E,5,0)</f>
        <v>TIME OUT</v>
      </c>
      <c r="C56" s="9">
        <f>VLOOKUP($A56,'2'!$A:$D,4,0)</f>
        <v>224.75620000000001</v>
      </c>
      <c r="D56" s="9">
        <f>VLOOKUP($A56,'3'!$A:$D,4,0)</f>
        <v>10.198399999999999</v>
      </c>
      <c r="E56" s="9" t="str">
        <f>VLOOKUP($A56,'4'!$A:$D,4,0)</f>
        <v>TIME OUT</v>
      </c>
      <c r="F56" s="9">
        <f>VLOOKUP($A56,'5'!$A:$D,4,0)</f>
        <v>235.5609</v>
      </c>
      <c r="G56" s="10">
        <f>VLOOKUP($A56,'6'!$A:$D,4,0)</f>
        <v>12.2218</v>
      </c>
      <c r="H56" s="9" t="str">
        <f>VLOOKUP($A56,'1'!$A:$J,10,0)</f>
        <v>ERROR: reducible RootOf detected. Substitutions are %1</v>
      </c>
      <c r="I56" s="9" t="str">
        <f>VLOOKUP($A56,'2'!$A:$J,10,0)</f>
        <v>ERROR: reducible RootOf detected. Substitutions are %1</v>
      </c>
      <c r="J56" s="9">
        <f>VLOOKUP($A56,'3'!$A:$J,10,0)</f>
        <v>9.4770000000000003</v>
      </c>
      <c r="K56" s="9" t="str">
        <f>VLOOKUP($A56,'4'!$A:$J,10,0)</f>
        <v>ERROR: reducible RootOf detected. Substitutions are %1</v>
      </c>
      <c r="L56" s="9" t="str">
        <f>VLOOKUP($A56,'5'!$A:$J,10,0)</f>
        <v>ERROR: reducible RootOf detected. Substitutions are %1</v>
      </c>
      <c r="M56" s="9">
        <f>VLOOKUP($A56,'6'!$A:$J,10,0)</f>
        <v>9.5609999999999999</v>
      </c>
      <c r="N56" s="5" t="str">
        <f t="shared" si="0"/>
        <v>QE</v>
      </c>
      <c r="O56" s="5">
        <f t="shared" si="1"/>
        <v>9</v>
      </c>
      <c r="P56" s="11" t="str">
        <f t="shared" si="2"/>
        <v/>
      </c>
      <c r="Q56" s="11" t="str">
        <f t="shared" si="3"/>
        <v xml:space="preserve">1: Error: Reducible RootOf. 2: Error: Reducible RootOf. 4: Error: Reducible RootOf. 5: Error: Reducible RootOf. </v>
      </c>
      <c r="R56" s="12" t="s">
        <v>47</v>
      </c>
      <c r="S56" s="5"/>
    </row>
    <row r="57" spans="1:19">
      <c r="A57">
        <v>112</v>
      </c>
      <c r="B57" s="9">
        <f>VLOOKUP($A57,'1'!$A:$E,5,0)</f>
        <v>219.36670000000001</v>
      </c>
      <c r="C57" s="9">
        <f>VLOOKUP($A57,'2'!$A:$D,4,0)</f>
        <v>89.335899999999995</v>
      </c>
      <c r="D57" s="9">
        <f>VLOOKUP($A57,'3'!$A:$D,4,0)</f>
        <v>7.0781999999999998</v>
      </c>
      <c r="E57" s="9">
        <f>VLOOKUP($A57,'4'!$A:$D,4,0)</f>
        <v>347.08280000000002</v>
      </c>
      <c r="F57" s="9">
        <f>VLOOKUP($A57,'5'!$A:$D,4,0)</f>
        <v>98.498500000000007</v>
      </c>
      <c r="G57" s="10">
        <f>VLOOKUP($A57,'6'!$A:$D,4,0)</f>
        <v>8.6593999999999998</v>
      </c>
      <c r="H57" s="9" t="str">
        <f>VLOOKUP($A57,'1'!$A:$J,10,0)</f>
        <v>ERROR: reducible RootOf detected. Substitutions are %1</v>
      </c>
      <c r="I57" s="9" t="str">
        <f>VLOOKUP($A57,'2'!$A:$J,10,0)</f>
        <v>ERROR: reducible RootOf detected. Substitutions are %1</v>
      </c>
      <c r="J57" s="9">
        <f>VLOOKUP($A57,'3'!$A:$J,10,0)</f>
        <v>6.5331999999999999</v>
      </c>
      <c r="K57" s="9" t="str">
        <f>VLOOKUP($A57,'4'!$A:$J,10,0)</f>
        <v>ERROR: reducible RootOf detected. Substitutions are %1</v>
      </c>
      <c r="L57" s="9" t="str">
        <f>VLOOKUP($A57,'5'!$A:$J,10,0)</f>
        <v>ERROR: reducible RootOf detected. Substitutions are %1</v>
      </c>
      <c r="M57" s="9">
        <f>VLOOKUP($A57,'6'!$A:$J,10,0)</f>
        <v>6.649</v>
      </c>
      <c r="N57" s="5" t="str">
        <f t="shared" si="0"/>
        <v>QE</v>
      </c>
      <c r="O57" s="5">
        <f t="shared" si="1"/>
        <v>9</v>
      </c>
      <c r="P57" s="11" t="str">
        <f t="shared" si="2"/>
        <v/>
      </c>
      <c r="Q57" s="11" t="str">
        <f t="shared" si="3"/>
        <v xml:space="preserve">1: Error: Reducible RootOf. 2: Error: Reducible RootOf. 4: Error: Reducible RootOf. 5: Error: Reducible RootOf. </v>
      </c>
      <c r="R57" s="12" t="s">
        <v>47</v>
      </c>
      <c r="S57" s="5"/>
    </row>
    <row r="58" spans="1:19">
      <c r="A58">
        <v>114</v>
      </c>
      <c r="B58" s="9" t="str">
        <f>VLOOKUP($A58,'1'!$A:$E,5,0)</f>
        <v>TIME OUT</v>
      </c>
      <c r="C58" s="9">
        <f>VLOOKUP($A58,'2'!$A:$D,4,0)</f>
        <v>225.1266</v>
      </c>
      <c r="D58" s="9">
        <f>VLOOKUP($A58,'3'!$A:$D,4,0)</f>
        <v>10.3344</v>
      </c>
      <c r="E58" s="9" t="str">
        <f>VLOOKUP($A58,'4'!$A:$D,4,0)</f>
        <v>TIME OUT</v>
      </c>
      <c r="F58" s="9">
        <f>VLOOKUP($A58,'5'!$A:$D,4,0)</f>
        <v>238.19069999999999</v>
      </c>
      <c r="G58" s="10">
        <f>VLOOKUP($A58,'6'!$A:$D,4,0)</f>
        <v>12.323399999999999</v>
      </c>
      <c r="H58" s="9" t="str">
        <f>VLOOKUP($A58,'1'!$A:$J,10,0)</f>
        <v>ERROR: reducible RootOf detected. Substitutions are %1</v>
      </c>
      <c r="I58" s="9" t="str">
        <f>VLOOKUP($A58,'2'!$A:$J,10,0)</f>
        <v>ERROR: reducible RootOf detected. Substitutions are %1</v>
      </c>
      <c r="J58" s="9">
        <f>VLOOKUP($A58,'3'!$A:$J,10,0)</f>
        <v>9.6237999999999992</v>
      </c>
      <c r="K58" s="9" t="str">
        <f>VLOOKUP($A58,'4'!$A:$J,10,0)</f>
        <v>ERROR: reducible RootOf detected. Substitutions are %1</v>
      </c>
      <c r="L58" s="9" t="str">
        <f>VLOOKUP($A58,'5'!$A:$J,10,0)</f>
        <v>ERROR: reducible RootOf detected. Substitutions are %1</v>
      </c>
      <c r="M58" s="9">
        <f>VLOOKUP($A58,'6'!$A:$J,10,0)</f>
        <v>9.4693000000000005</v>
      </c>
      <c r="N58" s="5" t="str">
        <f t="shared" si="0"/>
        <v>QE</v>
      </c>
      <c r="O58" s="5">
        <f t="shared" si="1"/>
        <v>12</v>
      </c>
      <c r="P58" s="11" t="str">
        <f t="shared" si="2"/>
        <v/>
      </c>
      <c r="Q58" s="11" t="str">
        <f t="shared" si="3"/>
        <v xml:space="preserve">1: Error: Reducible RootOf. 2: Error: Reducible RootOf. 4: Error: Reducible RootOf. 5: Error: Reducible RootOf. </v>
      </c>
      <c r="R58" s="12" t="s">
        <v>47</v>
      </c>
      <c r="S58" s="5"/>
    </row>
    <row r="59" spans="1:19">
      <c r="A59">
        <v>115</v>
      </c>
      <c r="B59" s="9" t="str">
        <f>VLOOKUP($A59,'1'!$A:$E,5,0)</f>
        <v>TIME OUT</v>
      </c>
      <c r="C59" s="9">
        <f>VLOOKUP($A59,'2'!$A:$D,4,0)</f>
        <v>229.31569999999999</v>
      </c>
      <c r="D59" s="9">
        <f>VLOOKUP($A59,'3'!$A:$D,4,0)</f>
        <v>10.390599999999999</v>
      </c>
      <c r="E59" s="9" t="str">
        <f>VLOOKUP($A59,'4'!$A:$D,4,0)</f>
        <v>TIME OUT</v>
      </c>
      <c r="F59" s="9">
        <f>VLOOKUP($A59,'5'!$A:$D,4,0)</f>
        <v>238.64529999999999</v>
      </c>
      <c r="G59" s="10">
        <f>VLOOKUP($A59,'6'!$A:$D,4,0)</f>
        <v>12.259399999999999</v>
      </c>
      <c r="H59" s="9" t="str">
        <f>VLOOKUP($A59,'1'!$A:$J,10,0)</f>
        <v>ERROR: reducible RootOf detected. Substitutions are %1</v>
      </c>
      <c r="I59" s="9" t="str">
        <f>VLOOKUP($A59,'2'!$A:$J,10,0)</f>
        <v>ERROR: reducible RootOf detected. Substitutions are %1</v>
      </c>
      <c r="J59" s="9">
        <f>VLOOKUP($A59,'3'!$A:$J,10,0)</f>
        <v>9.5645000000000007</v>
      </c>
      <c r="K59" s="9" t="str">
        <f>VLOOKUP($A59,'4'!$A:$J,10,0)</f>
        <v>ERROR: reducible RootOf detected. Substitutions are %1</v>
      </c>
      <c r="L59" s="9" t="str">
        <f>VLOOKUP($A59,'5'!$A:$J,10,0)</f>
        <v>ERROR: reducible RootOf detected. Substitutions are %1</v>
      </c>
      <c r="M59" s="9">
        <f>VLOOKUP($A59,'6'!$A:$J,10,0)</f>
        <v>9.3895999999999997</v>
      </c>
      <c r="N59" s="5" t="str">
        <f t="shared" si="0"/>
        <v>QE</v>
      </c>
      <c r="O59" s="5">
        <f t="shared" si="1"/>
        <v>12</v>
      </c>
      <c r="P59" s="11" t="str">
        <f t="shared" si="2"/>
        <v/>
      </c>
      <c r="Q59" s="11" t="str">
        <f t="shared" si="3"/>
        <v xml:space="preserve">1: Error: Reducible RootOf. 2: Error: Reducible RootOf. 4: Error: Reducible RootOf. 5: Error: Reducible RootOf. </v>
      </c>
      <c r="R59" s="12" t="s">
        <v>47</v>
      </c>
      <c r="S59" s="5"/>
    </row>
    <row r="60" spans="1:19">
      <c r="A60">
        <v>118</v>
      </c>
      <c r="B60" s="9" t="str">
        <f>VLOOKUP($A60,'1'!$A:$E,5,0)</f>
        <v>TIME OUT</v>
      </c>
      <c r="C60" s="9" t="str">
        <f>VLOOKUP($A60,'2'!$A:$D,4,0)</f>
        <v>TIME OUT</v>
      </c>
      <c r="D60" s="9">
        <f>VLOOKUP($A60,'3'!$A:$D,4,0)</f>
        <v>13.446899999999999</v>
      </c>
      <c r="E60" s="9" t="str">
        <f>VLOOKUP($A60,'4'!$A:$D,4,0)</f>
        <v>TIME OUT</v>
      </c>
      <c r="F60" s="9" t="str">
        <f>VLOOKUP($A60,'5'!$A:$D,4,0)</f>
        <v>TIME OUT</v>
      </c>
      <c r="G60" s="10">
        <f>VLOOKUP($A60,'6'!$A:$D,4,0)</f>
        <v>16.587499999999999</v>
      </c>
      <c r="H60" s="9" t="str">
        <f>VLOOKUP($A60,'1'!$A:$J,10,0)</f>
        <v>ERROR: reducible RootOf detected. Substitutions are %1</v>
      </c>
      <c r="I60" s="9" t="str">
        <f>VLOOKUP($A60,'2'!$A:$J,10,0)</f>
        <v>ERROR: reducible RootOf detected. Substitutions are %1</v>
      </c>
      <c r="J60" s="9">
        <f>VLOOKUP($A60,'3'!$A:$J,10,0)</f>
        <v>12.510199999999999</v>
      </c>
      <c r="K60" s="9" t="str">
        <f>VLOOKUP($A60,'4'!$A:$J,10,0)</f>
        <v>ERROR: reducible RootOf detected. Substitutions are %1</v>
      </c>
      <c r="L60" s="9" t="str">
        <f>VLOOKUP($A60,'5'!$A:$J,10,0)</f>
        <v>ERROR: reducible RootOf detected. Substitutions are %1</v>
      </c>
      <c r="M60" s="9">
        <f>VLOOKUP($A60,'6'!$A:$J,10,0)</f>
        <v>12.4376</v>
      </c>
      <c r="N60" s="5" t="str">
        <f t="shared" si="0"/>
        <v>QE</v>
      </c>
      <c r="O60" s="5">
        <f t="shared" si="1"/>
        <v>12</v>
      </c>
      <c r="P60" s="11" t="str">
        <f t="shared" si="2"/>
        <v/>
      </c>
      <c r="Q60" s="11" t="str">
        <f t="shared" si="3"/>
        <v xml:space="preserve">1: Error: Reducible RootOf. 2: Error: Reducible RootOf. 4: Error: Reducible RootOf. 5: Error: Reducible RootOf. </v>
      </c>
      <c r="R60" s="12" t="s">
        <v>47</v>
      </c>
      <c r="S60" s="5"/>
    </row>
    <row r="61" spans="1:19">
      <c r="A61">
        <v>119</v>
      </c>
      <c r="B61" s="9" t="str">
        <f>VLOOKUP($A61,'1'!$A:$E,5,0)</f>
        <v>TIME OUT</v>
      </c>
      <c r="C61" s="9">
        <f>VLOOKUP($A61,'2'!$A:$D,4,0)</f>
        <v>221.3562</v>
      </c>
      <c r="D61" s="9">
        <f>VLOOKUP($A61,'3'!$A:$D,4,0)</f>
        <v>10.1172</v>
      </c>
      <c r="E61" s="9" t="str">
        <f>VLOOKUP($A61,'4'!$A:$D,4,0)</f>
        <v>TIME OUT</v>
      </c>
      <c r="F61" s="9">
        <f>VLOOKUP($A61,'5'!$A:$D,4,0)</f>
        <v>238.6078</v>
      </c>
      <c r="G61" s="10">
        <f>VLOOKUP($A61,'6'!$A:$D,4,0)</f>
        <v>12.2437</v>
      </c>
      <c r="H61" s="9" t="str">
        <f>VLOOKUP($A61,'1'!$A:$J,10,0)</f>
        <v>ERROR: reducible RootOf detected. Substitutions are %1</v>
      </c>
      <c r="I61" s="9" t="str">
        <f>VLOOKUP($A61,'2'!$A:$J,10,0)</f>
        <v>ERROR: reducible RootOf detected. Substitutions are %1</v>
      </c>
      <c r="J61" s="9">
        <f>VLOOKUP($A61,'3'!$A:$J,10,0)</f>
        <v>9.4536999999999995</v>
      </c>
      <c r="K61" s="9" t="str">
        <f>VLOOKUP($A61,'4'!$A:$J,10,0)</f>
        <v>ERROR: reducible RootOf detected. Substitutions are %1</v>
      </c>
      <c r="L61" s="9" t="str">
        <f>VLOOKUP($A61,'5'!$A:$J,10,0)</f>
        <v>ERROR: reducible RootOf detected. Substitutions are %1</v>
      </c>
      <c r="M61" s="9">
        <f>VLOOKUP($A61,'6'!$A:$J,10,0)</f>
        <v>9.4</v>
      </c>
      <c r="N61" s="5" t="str">
        <f t="shared" si="0"/>
        <v>QE</v>
      </c>
      <c r="O61" s="5">
        <f t="shared" si="1"/>
        <v>12</v>
      </c>
      <c r="P61" s="11" t="str">
        <f t="shared" si="2"/>
        <v/>
      </c>
      <c r="Q61" s="11" t="str">
        <f t="shared" si="3"/>
        <v xml:space="preserve">1: Error: Reducible RootOf. 2: Error: Reducible RootOf. 4: Error: Reducible RootOf. 5: Error: Reducible RootOf. </v>
      </c>
      <c r="R61" s="12" t="s">
        <v>47</v>
      </c>
      <c r="S61" s="5"/>
    </row>
    <row r="62" spans="1:19">
      <c r="A62">
        <v>121</v>
      </c>
      <c r="B62" s="9" t="str">
        <f>VLOOKUP($A62,'1'!$A:$E,5,0)</f>
        <v>TIME OUT</v>
      </c>
      <c r="C62" s="9" t="str">
        <f>VLOOKUP($A62,'2'!$A:$D,4,0)</f>
        <v>TIME OUT</v>
      </c>
      <c r="D62" s="9">
        <f>VLOOKUP($A62,'3'!$A:$D,4,0)</f>
        <v>13.5313</v>
      </c>
      <c r="E62" s="9" t="str">
        <f>VLOOKUP($A62,'4'!$A:$D,4,0)</f>
        <v>TIME OUT</v>
      </c>
      <c r="F62" s="9" t="str">
        <f>VLOOKUP($A62,'5'!$A:$D,4,0)</f>
        <v>TIME OUT</v>
      </c>
      <c r="G62" s="10">
        <f>VLOOKUP($A62,'6'!$A:$D,4,0)</f>
        <v>16.5656</v>
      </c>
      <c r="H62" s="9" t="str">
        <f>VLOOKUP($A62,'1'!$A:$J,10,0)</f>
        <v>ERROR: reducible RootOf detected. Substitutions are %1</v>
      </c>
      <c r="I62" s="9" t="str">
        <f>VLOOKUP($A62,'2'!$A:$J,10,0)</f>
        <v>ERROR: reducible RootOf detected. Substitutions are %1</v>
      </c>
      <c r="J62" s="9">
        <f>VLOOKUP($A62,'3'!$A:$J,10,0)</f>
        <v>12.557</v>
      </c>
      <c r="K62" s="9" t="str">
        <f>VLOOKUP($A62,'4'!$A:$J,10,0)</f>
        <v>ERROR: reducible RootOf detected. Substitutions are %1</v>
      </c>
      <c r="L62" s="9" t="str">
        <f>VLOOKUP($A62,'5'!$A:$J,10,0)</f>
        <v>ERROR: reducible RootOf detected. Substitutions are %1</v>
      </c>
      <c r="M62" s="9">
        <f>VLOOKUP($A62,'6'!$A:$J,10,0)</f>
        <v>12.4582</v>
      </c>
      <c r="N62" s="5" t="str">
        <f t="shared" si="0"/>
        <v>QE</v>
      </c>
      <c r="O62" s="5">
        <f t="shared" si="1"/>
        <v>12</v>
      </c>
      <c r="P62" s="11" t="str">
        <f t="shared" si="2"/>
        <v/>
      </c>
      <c r="Q62" s="11" t="str">
        <f t="shared" si="3"/>
        <v xml:space="preserve">1: Error: Reducible RootOf. 2: Error: Reducible RootOf. 4: Error: Reducible RootOf. 5: Error: Reducible RootOf. </v>
      </c>
      <c r="R62" s="12" t="s">
        <v>47</v>
      </c>
      <c r="S62" s="5"/>
    </row>
    <row r="63" spans="1:19">
      <c r="A63">
        <v>123</v>
      </c>
      <c r="B63" s="9" t="str">
        <f>VLOOKUP($A63,'1'!$A:$E,5,0)</f>
        <v>TIME OUT</v>
      </c>
      <c r="C63" s="9" t="str">
        <f>VLOOKUP($A63,'2'!$A:$D,4,0)</f>
        <v>TIME OUT</v>
      </c>
      <c r="D63" s="9">
        <f>VLOOKUP($A63,'3'!$A:$D,4,0)</f>
        <v>13.6625</v>
      </c>
      <c r="E63" s="9" t="str">
        <f>VLOOKUP($A63,'4'!$A:$D,4,0)</f>
        <v>TIME OUT</v>
      </c>
      <c r="F63" s="9" t="str">
        <f>VLOOKUP($A63,'5'!$A:$D,4,0)</f>
        <v>TIME OUT</v>
      </c>
      <c r="G63" s="10">
        <f>VLOOKUP($A63,'6'!$A:$D,4,0)</f>
        <v>16.423500000000001</v>
      </c>
      <c r="H63" s="9" t="str">
        <f>VLOOKUP($A63,'1'!$A:$J,10,0)</f>
        <v>ERROR: reducible RootOf detected. Substitutions are %1</v>
      </c>
      <c r="I63" s="9" t="str">
        <f>VLOOKUP($A63,'2'!$A:$J,10,0)</f>
        <v>ERROR: reducible RootOf detected. Substitutions are %1</v>
      </c>
      <c r="J63" s="9">
        <f>VLOOKUP($A63,'3'!$A:$J,10,0)</f>
        <v>12.6286</v>
      </c>
      <c r="K63" s="9" t="str">
        <f>VLOOKUP($A63,'4'!$A:$J,10,0)</f>
        <v>ERROR: reducible RootOf detected. Substitutions are %1</v>
      </c>
      <c r="L63" s="9" t="str">
        <f>VLOOKUP($A63,'5'!$A:$J,10,0)</f>
        <v>ERROR: reducible RootOf detected. Substitutions are %1</v>
      </c>
      <c r="M63" s="9">
        <f>VLOOKUP($A63,'6'!$A:$J,10,0)</f>
        <v>12.457599999999999</v>
      </c>
      <c r="N63" s="5" t="str">
        <f t="shared" si="0"/>
        <v>QE</v>
      </c>
      <c r="O63" s="5">
        <f t="shared" si="1"/>
        <v>12</v>
      </c>
      <c r="P63" s="11" t="str">
        <f t="shared" si="2"/>
        <v/>
      </c>
      <c r="Q63" s="11" t="str">
        <f t="shared" si="3"/>
        <v xml:space="preserve">1: Error: Reducible RootOf. 2: Error: Reducible RootOf. 4: Error: Reducible RootOf. 5: Error: Reducible RootOf. </v>
      </c>
      <c r="R63" s="12" t="s">
        <v>47</v>
      </c>
      <c r="S63" s="5"/>
    </row>
    <row r="64" spans="1:19">
      <c r="A64">
        <v>125</v>
      </c>
      <c r="B64" s="9" t="str">
        <f>VLOOKUP($A64,'1'!$A:$E,5,0)</f>
        <v>TIME OUT</v>
      </c>
      <c r="C64" s="9" t="str">
        <f>VLOOKUP($A64,'2'!$A:$D,4,0)</f>
        <v>TIME OUT</v>
      </c>
      <c r="D64" s="9">
        <f>VLOOKUP($A64,'3'!$A:$D,4,0)</f>
        <v>13.4984</v>
      </c>
      <c r="E64" s="9" t="str">
        <f>VLOOKUP($A64,'4'!$A:$D,4,0)</f>
        <v>TIME OUT</v>
      </c>
      <c r="F64" s="9" t="str">
        <f>VLOOKUP($A64,'5'!$A:$D,4,0)</f>
        <v>TIME OUT</v>
      </c>
      <c r="G64" s="10">
        <f>VLOOKUP($A64,'6'!$A:$D,4,0)</f>
        <v>16.473400000000002</v>
      </c>
      <c r="H64" s="9" t="str">
        <f>VLOOKUP($A64,'1'!$A:$J,10,0)</f>
        <v>ERROR: reducible RootOf detected. Substitutions are %1</v>
      </c>
      <c r="I64" s="9" t="str">
        <f>VLOOKUP($A64,'2'!$A:$J,10,0)</f>
        <v>ERROR: reducible RootOf detected. Substitutions are %1</v>
      </c>
      <c r="J64" s="9">
        <f>VLOOKUP($A64,'3'!$A:$J,10,0)</f>
        <v>12.424300000000001</v>
      </c>
      <c r="K64" s="9" t="str">
        <f>VLOOKUP($A64,'4'!$A:$J,10,0)</f>
        <v>ERROR: reducible RootOf detected. Substitutions are %1</v>
      </c>
      <c r="L64" s="9" t="str">
        <f>VLOOKUP($A64,'5'!$A:$J,10,0)</f>
        <v>ERROR: reducible RootOf detected. Substitutions are %1</v>
      </c>
      <c r="M64" s="9">
        <f>VLOOKUP($A64,'6'!$A:$J,10,0)</f>
        <v>12.4191</v>
      </c>
      <c r="N64" s="5" t="str">
        <f t="shared" si="0"/>
        <v>QE</v>
      </c>
      <c r="O64" s="5">
        <f t="shared" si="1"/>
        <v>12</v>
      </c>
      <c r="P64" s="11" t="str">
        <f t="shared" si="2"/>
        <v/>
      </c>
      <c r="Q64" s="11" t="str">
        <f t="shared" si="3"/>
        <v xml:space="preserve">1: Error: Reducible RootOf. 2: Error: Reducible RootOf. 4: Error: Reducible RootOf. 5: Error: Reducible RootOf. </v>
      </c>
      <c r="R64" s="12" t="s">
        <v>47</v>
      </c>
      <c r="S64" s="5"/>
    </row>
    <row r="65" spans="1:19">
      <c r="A65">
        <v>126</v>
      </c>
      <c r="B65" s="9" t="str">
        <f>VLOOKUP($A65,'1'!$A:$E,5,0)</f>
        <v>TIME OUT</v>
      </c>
      <c r="C65" s="9" t="str">
        <f>VLOOKUP($A65,'2'!$A:$D,4,0)</f>
        <v>TIME OUT</v>
      </c>
      <c r="D65" s="9">
        <f>VLOOKUP($A65,'3'!$A:$D,4,0)</f>
        <v>13.607799999999999</v>
      </c>
      <c r="E65" s="9" t="str">
        <f>VLOOKUP($A65,'4'!$A:$D,4,0)</f>
        <v>TIME OUT</v>
      </c>
      <c r="F65" s="9" t="str">
        <f>VLOOKUP($A65,'5'!$A:$D,4,0)</f>
        <v>TIME OUT</v>
      </c>
      <c r="G65" s="10">
        <f>VLOOKUP($A65,'6'!$A:$D,4,0)</f>
        <v>16.476600000000001</v>
      </c>
      <c r="H65" s="9" t="str">
        <f>VLOOKUP($A65,'1'!$A:$J,10,0)</f>
        <v>ERROR: reducible RootOf detected. Substitutions are %1</v>
      </c>
      <c r="I65" s="9" t="str">
        <f>VLOOKUP($A65,'2'!$A:$J,10,0)</f>
        <v>ERROR: reducible RootOf detected. Substitutions are %1</v>
      </c>
      <c r="J65" s="9">
        <f>VLOOKUP($A65,'3'!$A:$J,10,0)</f>
        <v>12.3704</v>
      </c>
      <c r="K65" s="9" t="str">
        <f>VLOOKUP($A65,'4'!$A:$J,10,0)</f>
        <v>ERROR: reducible RootOf detected. Substitutions are %1</v>
      </c>
      <c r="L65" s="9" t="str">
        <f>VLOOKUP($A65,'5'!$A:$J,10,0)</f>
        <v>ERROR: reducible RootOf detected. Substitutions are %1</v>
      </c>
      <c r="M65" s="9">
        <f>VLOOKUP($A65,'6'!$A:$J,10,0)</f>
        <v>12.415900000000001</v>
      </c>
      <c r="N65" s="5" t="str">
        <f t="shared" si="0"/>
        <v>QE</v>
      </c>
      <c r="O65" s="5">
        <f t="shared" si="1"/>
        <v>9</v>
      </c>
      <c r="P65" s="11" t="str">
        <f t="shared" si="2"/>
        <v/>
      </c>
      <c r="Q65" s="11" t="str">
        <f t="shared" si="3"/>
        <v xml:space="preserve">1: Error: Reducible RootOf. 2: Error: Reducible RootOf. 4: Error: Reducible RootOf. 5: Error: Reducible RootOf. </v>
      </c>
      <c r="R65" s="12" t="s">
        <v>47</v>
      </c>
      <c r="S65" s="5"/>
    </row>
    <row r="66" spans="1:19">
      <c r="A66">
        <v>128</v>
      </c>
      <c r="B66" s="9" t="str">
        <f>VLOOKUP($A66,'1'!$A:$E,5,0)</f>
        <v>TIME OUT</v>
      </c>
      <c r="C66" s="9">
        <f>VLOOKUP($A66,'2'!$A:$D,4,0)</f>
        <v>129.63749999999999</v>
      </c>
      <c r="D66" s="9">
        <f>VLOOKUP($A66,'3'!$A:$D,4,0)</f>
        <v>23.176600000000001</v>
      </c>
      <c r="E66" s="9" t="str">
        <f>VLOOKUP($A66,'4'!$A:$D,4,0)</f>
        <v>TIME OUT</v>
      </c>
      <c r="F66" s="9">
        <f>VLOOKUP($A66,'5'!$A:$D,4,0)</f>
        <v>144.62809999999999</v>
      </c>
      <c r="G66" s="10">
        <f>VLOOKUP($A66,'6'!$A:$D,4,0)</f>
        <v>28.548500000000001</v>
      </c>
      <c r="H66" s="9" t="str">
        <f>VLOOKUP($A66,'1'!$A:$J,10,0)</f>
        <v>ERROR: attempt to refine root to target precision %1 failed with last working precision %2</v>
      </c>
      <c r="I66" s="9">
        <f>VLOOKUP($A66,'2'!$A:$J,10,0)</f>
        <v>156.52440000000001</v>
      </c>
      <c r="J66" s="9">
        <f>VLOOKUP($A66,'3'!$A:$J,10,0)</f>
        <v>28.084299999999999</v>
      </c>
      <c r="K66" s="9" t="str">
        <f>VLOOKUP($A66,'4'!$A:$J,10,0)</f>
        <v>ERROR: attempt to refine root to target precision %1 failed with last working precision %2</v>
      </c>
      <c r="L66" s="9">
        <f>VLOOKUP($A66,'5'!$A:$J,10,0)</f>
        <v>155.48929999999999</v>
      </c>
      <c r="M66" s="9">
        <f>VLOOKUP($A66,'6'!$A:$J,10,0)</f>
        <v>28.264099999999999</v>
      </c>
      <c r="N66" s="5" t="str">
        <f t="shared" si="0"/>
        <v>RC</v>
      </c>
      <c r="O66" s="5">
        <f t="shared" si="1"/>
        <v>3</v>
      </c>
      <c r="P66" s="11" t="str">
        <f t="shared" si="2"/>
        <v/>
      </c>
      <c r="Q66" s="11" t="str">
        <f t="shared" si="3"/>
        <v xml:space="preserve">1: Error: Root refine. 4: Error: Root refine. </v>
      </c>
      <c r="R66" s="12" t="s">
        <v>47</v>
      </c>
      <c r="S66" s="5"/>
    </row>
    <row r="67" spans="1:19">
      <c r="A67">
        <v>129</v>
      </c>
      <c r="B67" s="9" t="str">
        <f>VLOOKUP($A67,'1'!$A:$E,5,0)</f>
        <v>TIME OUT</v>
      </c>
      <c r="C67" s="9">
        <f>VLOOKUP($A67,'2'!$A:$D,4,0)</f>
        <v>45.85</v>
      </c>
      <c r="D67" s="9">
        <f>VLOOKUP($A67,'3'!$A:$D,4,0)</f>
        <v>11.5985</v>
      </c>
      <c r="E67" s="9" t="str">
        <f>VLOOKUP($A67,'4'!$A:$D,4,0)</f>
        <v>TIME OUT</v>
      </c>
      <c r="F67" s="9">
        <f>VLOOKUP($A67,'5'!$A:$D,4,0)</f>
        <v>52.426600000000001</v>
      </c>
      <c r="G67" s="10">
        <f>VLOOKUP($A67,'6'!$A:$D,4,0)</f>
        <v>14.3453</v>
      </c>
      <c r="H67" s="9" t="str">
        <f>VLOOKUP($A67,'1'!$A:$J,10,0)</f>
        <v>ERROR: attempt to refine root to target precision %1 failed with last working precision %2</v>
      </c>
      <c r="I67" s="9">
        <f>VLOOKUP($A67,'2'!$A:$J,10,0)</f>
        <v>45.384900000000002</v>
      </c>
      <c r="J67" s="9">
        <f>VLOOKUP($A67,'3'!$A:$J,10,0)</f>
        <v>10.9787</v>
      </c>
      <c r="K67" s="9" t="str">
        <f>VLOOKUP($A67,'4'!$A:$J,10,0)</f>
        <v>ERROR: attempt to refine root to target precision %1 failed with last working precision %2</v>
      </c>
      <c r="L67" s="9">
        <f>VLOOKUP($A67,'5'!$A:$J,10,0)</f>
        <v>45.303800000000003</v>
      </c>
      <c r="M67" s="9">
        <f>VLOOKUP($A67,'6'!$A:$J,10,0)</f>
        <v>11.0084</v>
      </c>
      <c r="N67" s="5" t="str">
        <f t="shared" si="0"/>
        <v>QE</v>
      </c>
      <c r="O67" s="5">
        <f t="shared" si="1"/>
        <v>9</v>
      </c>
      <c r="P67" s="11" t="str">
        <f t="shared" si="2"/>
        <v/>
      </c>
      <c r="Q67" s="11" t="str">
        <f t="shared" si="3"/>
        <v xml:space="preserve">1: Error: Root refine. 4: Error: Root refine. </v>
      </c>
      <c r="R67" s="12" t="s">
        <v>47</v>
      </c>
      <c r="S67" s="5"/>
    </row>
    <row r="68" spans="1:19">
      <c r="A68">
        <v>131</v>
      </c>
      <c r="B68" s="9" t="str">
        <f>VLOOKUP($A68,'1'!$A:$E,5,0)</f>
        <v>TIME OUT</v>
      </c>
      <c r="C68" s="9">
        <f>VLOOKUP($A68,'2'!$A:$D,4,0)</f>
        <v>132.69059999999999</v>
      </c>
      <c r="D68" s="9">
        <f>VLOOKUP($A68,'3'!$A:$D,4,0)</f>
        <v>23.265599999999999</v>
      </c>
      <c r="E68" s="9" t="str">
        <f>VLOOKUP($A68,'4'!$A:$D,4,0)</f>
        <v>TIME OUT</v>
      </c>
      <c r="F68" s="9">
        <f>VLOOKUP($A68,'5'!$A:$D,4,0)</f>
        <v>146.17339999999999</v>
      </c>
      <c r="G68" s="10">
        <f>VLOOKUP($A68,'6'!$A:$D,4,0)</f>
        <v>28.263999999999999</v>
      </c>
      <c r="H68" s="9" t="str">
        <f>VLOOKUP($A68,'1'!$A:$J,10,0)</f>
        <v>ERROR: attempt to refine root to target precision %1 failed with last working precision %2</v>
      </c>
      <c r="I68" s="9">
        <f>VLOOKUP($A68,'2'!$A:$J,10,0)</f>
        <v>155.61779999999999</v>
      </c>
      <c r="J68" s="9">
        <f>VLOOKUP($A68,'3'!$A:$J,10,0)</f>
        <v>28.3124</v>
      </c>
      <c r="K68" s="9" t="str">
        <f>VLOOKUP($A68,'4'!$A:$J,10,0)</f>
        <v>ERROR: attempt to refine root to target precision %1 failed with last working precision %2</v>
      </c>
      <c r="L68" s="9">
        <f>VLOOKUP($A68,'5'!$A:$J,10,0)</f>
        <v>154.6217</v>
      </c>
      <c r="M68" s="9">
        <f>VLOOKUP($A68,'6'!$A:$J,10,0)</f>
        <v>28.362500000000001</v>
      </c>
      <c r="N68" s="5" t="str">
        <f>IF(MATCH(MIN($B68:$M68),$B68:$M68,0)&gt;6,"QE","RC")</f>
        <v>RC</v>
      </c>
      <c r="O68" s="5">
        <f>MATCH(MIN($B68:$M68),$B68:$M68,0)</f>
        <v>3</v>
      </c>
      <c r="P68" s="11" t="str">
        <f>IF(LEFT(B68,5)="ERROR","1: "&amp;VLOOKUP(B68,$S$31:$T$34,2,0)&amp;". ","")&amp;IF(LEFT(C68,5)="ERROR","2: "&amp;VLOOKUP(C68,$S$31:$T$34,2,0)&amp;". ","")&amp;IF(LEFT(D68,5)="ERROR","3: "&amp;VLOOKUP(D68,$S$31:$T$34,2,0)&amp;". ","")&amp;IF(LEFT(E68,5)="ERROR","4: "&amp;VLOOKUP(E68,$S$31:$T$34,2,0)&amp;". ","")&amp;IF(LEFT(F68,5)="ERROR","5: "&amp;VLOOKUP(F68,$S$31:$T$34,2,0)&amp;". ","")&amp;IF(LEFT(G68,5)="ERROR","6: "&amp;G68,"")</f>
        <v/>
      </c>
      <c r="Q68" s="11" t="str">
        <f>IF(LEFT(H68,5)="ERROR","1: "&amp;VLOOKUP(H68,$S$31:$T$34,2,0)&amp;". ","")&amp;IF(LEFT(I68,5)="ERROR","2: "&amp;VLOOKUP(I68,$S$31:$T$34,2,0)&amp;". ","")&amp;IF(LEFT(J68,5)="ERROR","3: "&amp;VLOOKUP(J68,$S$31:$T$34,2,0)&amp;". ","")&amp;IF(LEFT(K68,5)="ERROR","4: "&amp;VLOOKUP(K68,$S$31:$T$34,2,0)&amp;". ","")&amp;IF(LEFT(L68,5)="ERROR","5: "&amp;VLOOKUP(L68,$S$31:$T$34,2,0)&amp;". ","")&amp;IF(LEFT(M68,5)="ERROR","6: "&amp;M68,"")</f>
        <v xml:space="preserve">1: Error: Root refine. 4: Error: Root refine. </v>
      </c>
      <c r="R68" s="12" t="s">
        <v>47</v>
      </c>
      <c r="S68" s="5"/>
    </row>
    <row r="69" spans="1:19">
      <c r="A69">
        <v>132</v>
      </c>
      <c r="B69" s="9" t="str">
        <f>VLOOKUP($A69,'1'!$A:$E,5,0)</f>
        <v>TIME OUT</v>
      </c>
      <c r="C69" s="9">
        <f>VLOOKUP($A69,'2'!$A:$D,4,0)</f>
        <v>45.831299999999999</v>
      </c>
      <c r="D69" s="9">
        <f>VLOOKUP($A69,'3'!$A:$D,4,0)</f>
        <v>11.4953</v>
      </c>
      <c r="E69" s="9" t="str">
        <f>VLOOKUP($A69,'4'!$A:$D,4,0)</f>
        <v>TIME OUT</v>
      </c>
      <c r="F69" s="9">
        <f>VLOOKUP($A69,'5'!$A:$D,4,0)</f>
        <v>51.774999999999999</v>
      </c>
      <c r="G69" s="10">
        <f>VLOOKUP($A69,'6'!$A:$D,4,0)</f>
        <v>14.3985</v>
      </c>
      <c r="H69" s="9" t="str">
        <f>VLOOKUP($A69,'1'!$A:$J,10,0)</f>
        <v>ERROR: attempt to refine root to target precision %1 failed with last working precision %2</v>
      </c>
      <c r="I69" s="9">
        <f>VLOOKUP($A69,'2'!$A:$J,10,0)</f>
        <v>43.664400000000001</v>
      </c>
      <c r="J69" s="9">
        <f>VLOOKUP($A69,'3'!$A:$J,10,0)</f>
        <v>10.992699999999999</v>
      </c>
      <c r="K69" s="9" t="str">
        <f>VLOOKUP($A69,'4'!$A:$J,10,0)</f>
        <v>ERROR: attempt to refine root to target precision %1 failed with last working precision %2</v>
      </c>
      <c r="L69" s="9">
        <f>VLOOKUP($A69,'5'!$A:$J,10,0)</f>
        <v>43.883299999999998</v>
      </c>
      <c r="M69" s="9">
        <f>VLOOKUP($A69,'6'!$A:$J,10,0)</f>
        <v>11.017799999999999</v>
      </c>
      <c r="N69" s="5" t="str">
        <f>IF(MATCH(MIN($B69:$M69),$B69:$M69,0)&gt;6,"QE","RC")</f>
        <v>QE</v>
      </c>
      <c r="O69" s="5">
        <f>MATCH(MIN($B69:$M69),$B69:$M69,0)</f>
        <v>9</v>
      </c>
      <c r="P69" s="11" t="str">
        <f>IF(LEFT(B69,5)="ERROR","1: "&amp;VLOOKUP(B69,$S$31:$T$34,2,0)&amp;". ","")&amp;IF(LEFT(C69,5)="ERROR","2: "&amp;VLOOKUP(C69,$S$31:$T$34,2,0)&amp;". ","")&amp;IF(LEFT(D69,5)="ERROR","3: "&amp;VLOOKUP(D69,$S$31:$T$34,2,0)&amp;". ","")&amp;IF(LEFT(E69,5)="ERROR","4: "&amp;VLOOKUP(E69,$S$31:$T$34,2,0)&amp;". ","")&amp;IF(LEFT(F69,5)="ERROR","5: "&amp;VLOOKUP(F69,$S$31:$T$34,2,0)&amp;". ","")&amp;IF(LEFT(G69,5)="ERROR","6: "&amp;G69,"")</f>
        <v/>
      </c>
      <c r="Q69" s="11" t="str">
        <f>IF(LEFT(H69,5)="ERROR","1: "&amp;VLOOKUP(H69,$S$31:$T$34,2,0)&amp;". ","")&amp;IF(LEFT(I69,5)="ERROR","2: "&amp;VLOOKUP(I69,$S$31:$T$34,2,0)&amp;". ","")&amp;IF(LEFT(J69,5)="ERROR","3: "&amp;VLOOKUP(J69,$S$31:$T$34,2,0)&amp;". ","")&amp;IF(LEFT(K69,5)="ERROR","4: "&amp;VLOOKUP(K69,$S$31:$T$34,2,0)&amp;". ","")&amp;IF(LEFT(L69,5)="ERROR","5: "&amp;VLOOKUP(L69,$S$31:$T$34,2,0)&amp;". ","")&amp;IF(LEFT(M69,5)="ERROR","6: "&amp;M69,"")</f>
        <v xml:space="preserve">1: Error: Root refine. 4: Error: Root refine. </v>
      </c>
      <c r="R69" s="12" t="s">
        <v>47</v>
      </c>
      <c r="S69" s="5"/>
    </row>
    <row r="70" spans="1:19">
      <c r="S70" s="5"/>
    </row>
  </sheetData>
  <autoFilter ref="A1:AE69" xr:uid="{46F900E8-1872-4480-9B88-8B36733592F2}"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5">
    <mergeCell ref="T18:Y18"/>
    <mergeCell ref="Z18:AE18"/>
    <mergeCell ref="T10:AE10"/>
    <mergeCell ref="T11:Y11"/>
    <mergeCell ref="Z11:AE11"/>
    <mergeCell ref="T16:Y16"/>
    <mergeCell ref="Z16:AE16"/>
    <mergeCell ref="T17:Y17"/>
    <mergeCell ref="Z17:AE17"/>
    <mergeCell ref="B1:G1"/>
    <mergeCell ref="H1:M1"/>
    <mergeCell ref="T3:U3"/>
    <mergeCell ref="T6:AE6"/>
    <mergeCell ref="T7:Y7"/>
    <mergeCell ref="Z7:AE7"/>
  </mergeCells>
  <phoneticPr fontId="5" type="noConversion"/>
  <conditionalFormatting sqref="B3:G69">
    <cfRule type="cellIs" dxfId="18" priority="19" operator="equal">
      <formula>MIN($B3:$G3)</formula>
    </cfRule>
    <cfRule type="cellIs" dxfId="17" priority="20" operator="equal">
      <formula>MAX($B3:$G3)</formula>
    </cfRule>
  </conditionalFormatting>
  <conditionalFormatting sqref="B3:M69">
    <cfRule type="containsText" dxfId="16" priority="4" operator="containsText" text="ERROR">
      <formula>NOT(ISERROR(SEARCH("ERROR",B3)))</formula>
    </cfRule>
    <cfRule type="containsText" dxfId="15" priority="23" operator="containsText" text="TIME OUT">
      <formula>NOT(ISERROR(SEARCH("TIME OUT",B3)))</formula>
    </cfRule>
  </conditionalFormatting>
  <conditionalFormatting sqref="H3:M69">
    <cfRule type="cellIs" dxfId="14" priority="21" operator="equal">
      <formula>MIN($H3:$M3)</formula>
    </cfRule>
    <cfRule type="cellIs" dxfId="13" priority="22" operator="equal">
      <formula>MAX($H3:$M3)</formula>
    </cfRule>
  </conditionalFormatting>
  <conditionalFormatting sqref="T12:AE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:AE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:AE16">
    <cfRule type="colorScale" priority="3">
      <colorScale>
        <cfvo type="num" val="0"/>
        <cfvo type="percentile" val="50"/>
        <cfvo type="num" val="1"/>
        <color rgb="FFFF0000"/>
        <color rgb="FFFFEB84"/>
        <color rgb="FF00B050"/>
      </colorScale>
    </cfRule>
  </conditionalFormatting>
  <conditionalFormatting sqref="T17:AE17">
    <cfRule type="colorScale" priority="2">
      <colorScale>
        <cfvo type="num" val="0"/>
        <cfvo type="percentile" val="50"/>
        <cfvo type="num" val="1"/>
        <color rgb="FF92D050"/>
        <color rgb="FFFFEB84"/>
        <color rgb="FFFF0000"/>
      </colorScale>
    </cfRule>
  </conditionalFormatting>
  <conditionalFormatting sqref="T18:AE18">
    <cfRule type="colorScale" priority="1">
      <colorScale>
        <cfvo type="num" val="0"/>
        <cfvo type="percentile" val="50"/>
        <cfvo type="num" val="1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B0E-66B6-4954-828B-857E97262B6F}">
  <sheetPr filterMode="1"/>
  <dimension ref="A1:AG70"/>
  <sheetViews>
    <sheetView zoomScale="80" zoomScaleNormal="80" workbookViewId="0">
      <pane ySplit="2" topLeftCell="A3" activePane="bottomLeft" state="frozen"/>
      <selection pane="bottomLeft" activeCell="H3" sqref="H3"/>
    </sheetView>
  </sheetViews>
  <sheetFormatPr defaultRowHeight="15"/>
  <cols>
    <col min="1" max="1" width="10.140625" bestFit="1" customWidth="1"/>
    <col min="13" max="13" width="9.140625" customWidth="1"/>
    <col min="14" max="14" width="5.42578125" customWidth="1"/>
    <col min="15" max="15" width="4" customWidth="1"/>
    <col min="16" max="16" width="52.42578125" customWidth="1"/>
    <col min="17" max="17" width="35.140625" customWidth="1"/>
    <col min="18" max="18" width="134.85546875" bestFit="1" customWidth="1"/>
    <col min="19" max="19" width="2.7109375" customWidth="1"/>
    <col min="20" max="20" width="40.28515625" customWidth="1"/>
  </cols>
  <sheetData>
    <row r="1" spans="1:33">
      <c r="A1" s="1" t="s">
        <v>0</v>
      </c>
      <c r="B1" s="31" t="s">
        <v>132</v>
      </c>
      <c r="C1" s="31"/>
      <c r="D1" s="31"/>
      <c r="E1" s="31"/>
      <c r="F1" s="31"/>
      <c r="G1" s="32"/>
      <c r="H1" s="31" t="s">
        <v>133</v>
      </c>
      <c r="I1" s="31"/>
      <c r="J1" s="31"/>
      <c r="K1" s="31"/>
      <c r="L1" s="31"/>
      <c r="M1" s="31"/>
    </row>
    <row r="2" spans="1:33" hidden="1">
      <c r="A2" s="1" t="s">
        <v>0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79</v>
      </c>
      <c r="Q2" s="8" t="s">
        <v>45</v>
      </c>
      <c r="R2" s="8" t="s">
        <v>46</v>
      </c>
      <c r="S2" s="8"/>
    </row>
    <row r="3" spans="1:33" hidden="1">
      <c r="A3">
        <v>17</v>
      </c>
      <c r="B3" s="25">
        <f>VLOOKUP($A3,'1'!$A:$F,6,0)</f>
        <v>189</v>
      </c>
      <c r="C3" s="25">
        <f>VLOOKUP($A3,'2'!$A:$F,6,0)</f>
        <v>177</v>
      </c>
      <c r="D3" s="25">
        <f>VLOOKUP($A3,'3'!$A:$F,6,0)</f>
        <v>177</v>
      </c>
      <c r="E3" s="25">
        <f>VLOOKUP($A3,'4'!$A:$F,6,0)</f>
        <v>65</v>
      </c>
      <c r="F3" s="25">
        <f>VLOOKUP($A3,'5'!$A:$F,6,0)</f>
        <v>177</v>
      </c>
      <c r="G3" s="26">
        <f>VLOOKUP($A3,'6'!$A:$F,6,0)</f>
        <v>177</v>
      </c>
      <c r="H3" s="25">
        <f>VLOOKUP($A3,'1'!$A:$K,11,0)</f>
        <v>189</v>
      </c>
      <c r="I3" s="25">
        <f>VLOOKUP($A3,'2'!$A:$K,11,0)</f>
        <v>177</v>
      </c>
      <c r="J3" s="25">
        <f>VLOOKUP($A3,'3'!$A:$K,11,0)</f>
        <v>177</v>
      </c>
      <c r="K3" s="25">
        <f>VLOOKUP($A3,'4'!$A:$K,11,0)</f>
        <v>189</v>
      </c>
      <c r="L3" s="25">
        <f>VLOOKUP($A3,'5'!$A:$K,11,0)</f>
        <v>177</v>
      </c>
      <c r="M3" s="25">
        <f>VLOOKUP($A3,'6'!$A:$K,11,0)</f>
        <v>177</v>
      </c>
      <c r="N3" s="5" t="str">
        <f>IF(MATCH(MIN($B3:$M3),$B3:$M3,0)&gt;6,"QE","RC")</f>
        <v>RC</v>
      </c>
      <c r="O3" s="5">
        <f>MATCH(MIN($B3:$M3),$B3:$M3,0)</f>
        <v>4</v>
      </c>
      <c r="P3" s="5" t="str">
        <f>INDEX($B$2:$M$2,MATCH(MIN(B3:M3),B3:M3,0))&amp;", "&amp;COUNTIF(B3:M3,MIN(B3:M3))</f>
        <v>RC4, 1</v>
      </c>
      <c r="Q3" s="11" t="str">
        <f>IF(LEFT(B3,5)="ERROR","1: "&amp;VLOOKUP(B3,$T$31:$U$34,2,0)&amp;". ","")&amp;IF(LEFT(C3,5)="ERROR","2: "&amp;VLOOKUP(C3,$T$31:$U$34,2,0)&amp;". ","")&amp;IF(LEFT(D3,5)="ERROR","3: "&amp;VLOOKUP(D3,$T$31:$U$34,2,0)&amp;". ","")&amp;IF(LEFT(E3,5)="ERROR","4: "&amp;VLOOKUP(E3,$T$31:$U$34,2,0)&amp;". ","")&amp;IF(LEFT(F3,5)="ERROR","5: "&amp;VLOOKUP(F3,$T$31:$U$34,2,0)&amp;". ","")&amp;IF(LEFT(G3,5)="ERROR","6: "&amp;G3,"")</f>
        <v/>
      </c>
      <c r="R3" s="11" t="str">
        <f>IF(LEFT(H3,5)="ERROR","1: "&amp;VLOOKUP(H3,$T$31:$U$34,2,0)&amp;". ","")&amp;IF(LEFT(I3,5)="ERROR","2: "&amp;VLOOKUP(I3,$T$31:$U$34,2,0)&amp;". ","")&amp;IF(LEFT(J3,5)="ERROR","3: "&amp;VLOOKUP(J3,$T$31:$U$34,2,0)&amp;". ","")&amp;IF(LEFT(K3,5)="ERROR","4: "&amp;VLOOKUP(K3,$T$31:$U$34,2,0)&amp;". ","")&amp;IF(LEFT(L3,5)="ERROR","5: "&amp;VLOOKUP(L3,$T$31:$U$34,2,0)&amp;". ","")&amp;IF(LEFT(M3,5)="ERROR","6: "&amp;M3,"")</f>
        <v/>
      </c>
      <c r="S3" s="12" t="s">
        <v>47</v>
      </c>
      <c r="T3" s="5"/>
      <c r="U3" s="31" t="s">
        <v>130</v>
      </c>
      <c r="V3" s="31"/>
    </row>
    <row r="4" spans="1:33" hidden="1">
      <c r="A4">
        <v>19</v>
      </c>
      <c r="B4" s="25">
        <f>VLOOKUP($A4,'1'!$A:$F,6,0)</f>
        <v>189</v>
      </c>
      <c r="C4" s="25">
        <f>VLOOKUP($A4,'2'!$A:$F,6,0)</f>
        <v>177</v>
      </c>
      <c r="D4" s="25">
        <f>VLOOKUP($A4,'3'!$A:$F,6,0)</f>
        <v>177</v>
      </c>
      <c r="E4" s="25">
        <f>VLOOKUP($A4,'4'!$A:$F,6,0)</f>
        <v>65</v>
      </c>
      <c r="F4" s="25">
        <f>VLOOKUP($A4,'5'!$A:$F,6,0)</f>
        <v>159</v>
      </c>
      <c r="G4" s="26">
        <f>VLOOKUP($A4,'6'!$A:$F,6,0)</f>
        <v>159</v>
      </c>
      <c r="H4" s="25">
        <f>VLOOKUP($A4,'1'!$A:$K,11,0)</f>
        <v>189</v>
      </c>
      <c r="I4" s="25">
        <f>VLOOKUP($A4,'2'!$A:$K,11,0)</f>
        <v>177</v>
      </c>
      <c r="J4" s="25">
        <f>VLOOKUP($A4,'3'!$A:$K,11,0)</f>
        <v>177</v>
      </c>
      <c r="K4" s="25">
        <f>VLOOKUP($A4,'4'!$A:$K,11,0)</f>
        <v>189</v>
      </c>
      <c r="L4" s="25">
        <f>VLOOKUP($A4,'5'!$A:$K,11,0)</f>
        <v>177</v>
      </c>
      <c r="M4" s="25">
        <f>VLOOKUP($A4,'6'!$A:$K,11,0)</f>
        <v>177</v>
      </c>
      <c r="N4" s="5" t="str">
        <f t="shared" ref="N4:N67" si="0">IF(MATCH(MIN($B4:$M4),$B4:$M4,0)&gt;6,"QE","RC")</f>
        <v>RC</v>
      </c>
      <c r="O4" s="5">
        <f t="shared" ref="O4:O67" si="1">MATCH(MIN($B4:$M4),$B4:$M4,0)</f>
        <v>4</v>
      </c>
      <c r="P4" s="5" t="str">
        <f t="shared" ref="P4:P46" si="2">INDEX($B$2:$M$2,MATCH(MIN(B4:M4),B4:M4,0))&amp;", "&amp;COUNTIF(B4:M4,MIN(B4:M4))</f>
        <v>RC4, 1</v>
      </c>
      <c r="Q4" s="11" t="str">
        <f t="shared" ref="Q4:Q67" si="3">IF(LEFT(B4,5)="ERROR","1: "&amp;VLOOKUP(B4,$T$31:$U$34,2,0)&amp;". ","")&amp;IF(LEFT(C4,5)="ERROR","2: "&amp;VLOOKUP(C4,$T$31:$U$34,2,0)&amp;". ","")&amp;IF(LEFT(D4,5)="ERROR","3: "&amp;VLOOKUP(D4,$T$31:$U$34,2,0)&amp;". ","")&amp;IF(LEFT(E4,5)="ERROR","4: "&amp;VLOOKUP(E4,$T$31:$U$34,2,0)&amp;". ","")&amp;IF(LEFT(F4,5)="ERROR","5: "&amp;VLOOKUP(F4,$T$31:$U$34,2,0)&amp;". ","")&amp;IF(LEFT(G4,5)="ERROR","6: "&amp;G4,"")</f>
        <v/>
      </c>
      <c r="R4" s="11" t="str">
        <f t="shared" ref="R4:R67" si="4">IF(LEFT(H4,5)="ERROR","1: "&amp;VLOOKUP(H4,$T$31:$U$34,2,0)&amp;". ","")&amp;IF(LEFT(I4,5)="ERROR","2: "&amp;VLOOKUP(I4,$T$31:$U$34,2,0)&amp;". ","")&amp;IF(LEFT(J4,5)="ERROR","3: "&amp;VLOOKUP(J4,$T$31:$U$34,2,0)&amp;". ","")&amp;IF(LEFT(K4,5)="ERROR","4: "&amp;VLOOKUP(K4,$T$31:$U$34,2,0)&amp;". ","")&amp;IF(LEFT(L4,5)="ERROR","5: "&amp;VLOOKUP(L4,$T$31:$U$34,2,0)&amp;". ","")&amp;IF(LEFT(M4,5)="ERROR","6: "&amp;M4,"")</f>
        <v/>
      </c>
      <c r="S4" s="12" t="s">
        <v>47</v>
      </c>
      <c r="T4" s="5"/>
      <c r="U4" s="5" t="s">
        <v>30</v>
      </c>
      <c r="V4" s="5" t="s">
        <v>31</v>
      </c>
      <c r="X4" t="s">
        <v>49</v>
      </c>
      <c r="Y4" t="s">
        <v>50</v>
      </c>
    </row>
    <row r="5" spans="1:33" hidden="1">
      <c r="A5">
        <v>20</v>
      </c>
      <c r="B5" s="25">
        <f>VLOOKUP($A5,'1'!$A:$F,6,0)</f>
        <v>327</v>
      </c>
      <c r="C5" s="25">
        <f>VLOOKUP($A5,'2'!$A:$F,6,0)</f>
        <v>327</v>
      </c>
      <c r="D5" s="25">
        <f>VLOOKUP($A5,'3'!$A:$F,6,0)</f>
        <v>327</v>
      </c>
      <c r="E5" s="25">
        <f>VLOOKUP($A5,'4'!$A:$F,6,0)</f>
        <v>111</v>
      </c>
      <c r="F5" s="25">
        <f>VLOOKUP($A5,'5'!$A:$F,6,0)</f>
        <v>327</v>
      </c>
      <c r="G5" s="26">
        <f>VLOOKUP($A5,'6'!$A:$F,6,0)</f>
        <v>327</v>
      </c>
      <c r="H5" s="25">
        <f>VLOOKUP($A5,'1'!$A:$K,11,0)</f>
        <v>327</v>
      </c>
      <c r="I5" s="25">
        <f>VLOOKUP($A5,'2'!$A:$K,11,0)</f>
        <v>327</v>
      </c>
      <c r="J5" s="25">
        <f>VLOOKUP($A5,'3'!$A:$K,11,0)</f>
        <v>327</v>
      </c>
      <c r="K5" s="25">
        <f>VLOOKUP($A5,'4'!$A:$K,11,0)</f>
        <v>327</v>
      </c>
      <c r="L5" s="25">
        <f>VLOOKUP($A5,'5'!$A:$K,11,0)</f>
        <v>327</v>
      </c>
      <c r="M5" s="25">
        <f>VLOOKUP($A5,'6'!$A:$K,11,0)</f>
        <v>327</v>
      </c>
      <c r="N5" s="5" t="str">
        <f t="shared" si="0"/>
        <v>RC</v>
      </c>
      <c r="O5" s="5">
        <f t="shared" si="1"/>
        <v>4</v>
      </c>
      <c r="P5" s="5" t="str">
        <f t="shared" si="2"/>
        <v>RC4, 1</v>
      </c>
      <c r="Q5" s="11" t="str">
        <f t="shared" si="3"/>
        <v/>
      </c>
      <c r="R5" s="11" t="str">
        <f t="shared" si="4"/>
        <v/>
      </c>
      <c r="S5" s="12" t="s">
        <v>47</v>
      </c>
      <c r="T5" s="5"/>
      <c r="U5">
        <f>COUNTIF($N:$N,U4)</f>
        <v>67</v>
      </c>
      <c r="V5">
        <f>COUNTIF($N:$N,V4)</f>
        <v>0</v>
      </c>
    </row>
    <row r="6" spans="1:33" hidden="1">
      <c r="A6">
        <v>22</v>
      </c>
      <c r="B6" s="25">
        <f>VLOOKUP($A6,'1'!$A:$F,6,0)</f>
        <v>327</v>
      </c>
      <c r="C6" s="25">
        <f>VLOOKUP($A6,'2'!$A:$F,6,0)</f>
        <v>327</v>
      </c>
      <c r="D6" s="25">
        <f>VLOOKUP($A6,'3'!$A:$F,6,0)</f>
        <v>327</v>
      </c>
      <c r="E6" s="25">
        <f>VLOOKUP($A6,'4'!$A:$F,6,0)</f>
        <v>111</v>
      </c>
      <c r="F6" s="25">
        <f>VLOOKUP($A6,'5'!$A:$F,6,0)</f>
        <v>301</v>
      </c>
      <c r="G6" s="26">
        <f>VLOOKUP($A6,'6'!$A:$F,6,0)</f>
        <v>301</v>
      </c>
      <c r="H6" s="25">
        <f>VLOOKUP($A6,'1'!$A:$K,11,0)</f>
        <v>327</v>
      </c>
      <c r="I6" s="25">
        <f>VLOOKUP($A6,'2'!$A:$K,11,0)</f>
        <v>327</v>
      </c>
      <c r="J6" s="25">
        <f>VLOOKUP($A6,'3'!$A:$K,11,0)</f>
        <v>327</v>
      </c>
      <c r="K6" s="25">
        <f>VLOOKUP($A6,'4'!$A:$K,11,0)</f>
        <v>327</v>
      </c>
      <c r="L6" s="25">
        <f>VLOOKUP($A6,'5'!$A:$K,11,0)</f>
        <v>327</v>
      </c>
      <c r="M6" s="25">
        <f>VLOOKUP($A6,'6'!$A:$K,11,0)</f>
        <v>327</v>
      </c>
      <c r="N6" s="5" t="str">
        <f t="shared" si="0"/>
        <v>RC</v>
      </c>
      <c r="O6" s="5">
        <f t="shared" si="1"/>
        <v>4</v>
      </c>
      <c r="P6" s="5" t="str">
        <f t="shared" si="2"/>
        <v>RC4, 1</v>
      </c>
      <c r="Q6" s="11" t="str">
        <f t="shared" si="3"/>
        <v/>
      </c>
      <c r="R6" s="11" t="str">
        <f t="shared" si="4"/>
        <v/>
      </c>
      <c r="S6" s="12" t="s">
        <v>47</v>
      </c>
      <c r="T6" s="5"/>
      <c r="U6" s="31" t="s">
        <v>130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3" hidden="1">
      <c r="A7">
        <v>23</v>
      </c>
      <c r="B7" s="25">
        <f>VLOOKUP($A7,'1'!$A:$F,6,0)</f>
        <v>327</v>
      </c>
      <c r="C7" s="25">
        <f>VLOOKUP($A7,'2'!$A:$F,6,0)</f>
        <v>327</v>
      </c>
      <c r="D7" s="25">
        <f>VLOOKUP($A7,'3'!$A:$F,6,0)</f>
        <v>327</v>
      </c>
      <c r="E7" s="25">
        <f>VLOOKUP($A7,'4'!$A:$F,6,0)</f>
        <v>111</v>
      </c>
      <c r="F7" s="25">
        <f>VLOOKUP($A7,'5'!$A:$F,6,0)</f>
        <v>327</v>
      </c>
      <c r="G7" s="26">
        <f>VLOOKUP($A7,'6'!$A:$F,6,0)</f>
        <v>327</v>
      </c>
      <c r="H7" s="25">
        <f>VLOOKUP($A7,'1'!$A:$K,11,0)</f>
        <v>327</v>
      </c>
      <c r="I7" s="25">
        <f>VLOOKUP($A7,'2'!$A:$K,11,0)</f>
        <v>327</v>
      </c>
      <c r="J7" s="25">
        <f>VLOOKUP($A7,'3'!$A:$K,11,0)</f>
        <v>327</v>
      </c>
      <c r="K7" s="25">
        <f>VLOOKUP($A7,'4'!$A:$K,11,0)</f>
        <v>327</v>
      </c>
      <c r="L7" s="25">
        <f>VLOOKUP($A7,'5'!$A:$K,11,0)</f>
        <v>327</v>
      </c>
      <c r="M7" s="25">
        <f>VLOOKUP($A7,'6'!$A:$K,11,0)</f>
        <v>327</v>
      </c>
      <c r="N7" s="5" t="str">
        <f t="shared" si="0"/>
        <v>RC</v>
      </c>
      <c r="O7" s="5">
        <f t="shared" si="1"/>
        <v>4</v>
      </c>
      <c r="P7" s="5" t="str">
        <f t="shared" si="2"/>
        <v>RC4, 1</v>
      </c>
      <c r="Q7" s="11" t="str">
        <f t="shared" si="3"/>
        <v/>
      </c>
      <c r="R7" s="11" t="str">
        <f t="shared" si="4"/>
        <v/>
      </c>
      <c r="S7" s="12" t="s">
        <v>47</v>
      </c>
      <c r="T7" s="5"/>
      <c r="U7" s="33" t="s">
        <v>30</v>
      </c>
      <c r="V7" s="33"/>
      <c r="W7" s="33"/>
      <c r="X7" s="33"/>
      <c r="Y7" s="33"/>
      <c r="Z7" s="33"/>
      <c r="AA7" s="33" t="s">
        <v>31</v>
      </c>
      <c r="AB7" s="33"/>
      <c r="AC7" s="33"/>
      <c r="AD7" s="33"/>
      <c r="AE7" s="33"/>
      <c r="AF7" s="33"/>
    </row>
    <row r="8" spans="1:33" hidden="1">
      <c r="A8">
        <v>25</v>
      </c>
      <c r="B8" s="25">
        <f>VLOOKUP($A8,'1'!$A:$F,6,0)</f>
        <v>13005</v>
      </c>
      <c r="C8" s="25">
        <f>VLOOKUP($A8,'2'!$A:$F,6,0)</f>
        <v>13731</v>
      </c>
      <c r="D8" s="25">
        <f>VLOOKUP($A8,'3'!$A:$F,6,0)</f>
        <v>3849</v>
      </c>
      <c r="E8" s="25">
        <f>VLOOKUP($A8,'4'!$A:$F,6,0)</f>
        <v>227</v>
      </c>
      <c r="F8" s="25">
        <f>VLOOKUP($A8,'5'!$A:$F,6,0)</f>
        <v>195</v>
      </c>
      <c r="G8" s="26">
        <f>VLOOKUP($A8,'6'!$A:$F,6,0)</f>
        <v>673</v>
      </c>
      <c r="H8" s="25" t="str">
        <f>VLOOKUP($A8,'1'!$A:$K,11,0)</f>
        <v>TIME OUT</v>
      </c>
      <c r="I8" s="25" t="str">
        <f>VLOOKUP($A8,'2'!$A:$K,11,0)</f>
        <v>ERROR: reducible RootOf detected. Substitutions are %1</v>
      </c>
      <c r="J8" s="25">
        <f>VLOOKUP($A8,'3'!$A:$K,11,0)</f>
        <v>3851</v>
      </c>
      <c r="K8" s="25" t="str">
        <f>VLOOKUP($A8,'4'!$A:$K,11,0)</f>
        <v>TIME OUT</v>
      </c>
      <c r="L8" s="25">
        <f>VLOOKUP($A8,'5'!$A:$K,11,0)</f>
        <v>1131</v>
      </c>
      <c r="M8" s="25">
        <f>VLOOKUP($A8,'6'!$A:$K,11,0)</f>
        <v>1259</v>
      </c>
      <c r="N8" s="5" t="str">
        <f t="shared" si="0"/>
        <v>RC</v>
      </c>
      <c r="O8" s="5">
        <f t="shared" si="1"/>
        <v>5</v>
      </c>
      <c r="P8" s="5" t="str">
        <f t="shared" si="2"/>
        <v>RC5, 1</v>
      </c>
      <c r="Q8" s="11" t="str">
        <f t="shared" si="3"/>
        <v/>
      </c>
      <c r="R8" s="11" t="str">
        <f t="shared" si="4"/>
        <v xml:space="preserve">2: Error: Reducible RootOf. </v>
      </c>
      <c r="S8" s="12" t="s">
        <v>47</v>
      </c>
      <c r="T8" s="5"/>
      <c r="U8" s="8">
        <v>1</v>
      </c>
      <c r="V8" s="8">
        <v>2</v>
      </c>
      <c r="W8" s="8">
        <v>3</v>
      </c>
      <c r="X8" s="8">
        <v>4</v>
      </c>
      <c r="Y8" s="8">
        <v>5</v>
      </c>
      <c r="Z8" s="8">
        <v>6</v>
      </c>
      <c r="AA8" s="8">
        <v>1</v>
      </c>
      <c r="AB8" s="8">
        <v>2</v>
      </c>
      <c r="AC8" s="8">
        <v>3</v>
      </c>
      <c r="AD8" s="8">
        <v>4</v>
      </c>
      <c r="AE8" s="8">
        <v>5</v>
      </c>
      <c r="AF8" s="8">
        <v>6</v>
      </c>
    </row>
    <row r="9" spans="1:33">
      <c r="A9">
        <v>26</v>
      </c>
      <c r="B9" s="25">
        <f>VLOOKUP($A9,'1'!$A:$F,6,0)</f>
        <v>9</v>
      </c>
      <c r="C9" s="25">
        <f>VLOOKUP($A9,'2'!$A:$F,6,0)</f>
        <v>9</v>
      </c>
      <c r="D9" s="25">
        <f>VLOOKUP($A9,'3'!$A:$F,6,0)</f>
        <v>9</v>
      </c>
      <c r="E9" s="25">
        <f>VLOOKUP($A9,'4'!$A:$F,6,0)</f>
        <v>9</v>
      </c>
      <c r="F9" s="25">
        <f>VLOOKUP($A9,'5'!$A:$F,6,0)</f>
        <v>9</v>
      </c>
      <c r="G9" s="26">
        <f>VLOOKUP($A9,'6'!$A:$F,6,0)</f>
        <v>9</v>
      </c>
      <c r="H9" s="25">
        <f>VLOOKUP($A9,'1'!$A:$K,11,0)</f>
        <v>57</v>
      </c>
      <c r="I9" s="25">
        <f>VLOOKUP($A9,'2'!$A:$K,11,0)</f>
        <v>57</v>
      </c>
      <c r="J9" s="25">
        <f>VLOOKUP($A9,'3'!$A:$K,11,0)</f>
        <v>57</v>
      </c>
      <c r="K9" s="25">
        <f>VLOOKUP($A9,'4'!$A:$K,11,0)</f>
        <v>57</v>
      </c>
      <c r="L9" s="25">
        <f>VLOOKUP($A9,'5'!$A:$K,11,0)</f>
        <v>57</v>
      </c>
      <c r="M9" s="25">
        <f>VLOOKUP($A9,'6'!$A:$K,11,0)</f>
        <v>57</v>
      </c>
      <c r="N9" s="5" t="str">
        <f t="shared" si="0"/>
        <v>RC</v>
      </c>
      <c r="O9" s="5">
        <f t="shared" si="1"/>
        <v>1</v>
      </c>
      <c r="P9" s="5" t="s">
        <v>144</v>
      </c>
      <c r="Q9" s="11" t="str">
        <f t="shared" si="3"/>
        <v/>
      </c>
      <c r="R9" s="11" t="str">
        <f t="shared" si="4"/>
        <v/>
      </c>
      <c r="S9" s="12" t="s">
        <v>47</v>
      </c>
      <c r="T9" s="5"/>
      <c r="U9" s="5">
        <f t="shared" ref="U9:Z9" si="5">COUNTIF($O:$O,U8)</f>
        <v>4</v>
      </c>
      <c r="V9" s="5">
        <f t="shared" si="5"/>
        <v>0</v>
      </c>
      <c r="W9" s="5">
        <f t="shared" si="5"/>
        <v>24</v>
      </c>
      <c r="X9" s="5">
        <f t="shared" si="5"/>
        <v>10</v>
      </c>
      <c r="Y9" s="5">
        <f t="shared" si="5"/>
        <v>29</v>
      </c>
      <c r="Z9" s="5">
        <f t="shared" si="5"/>
        <v>0</v>
      </c>
      <c r="AA9" s="5">
        <f t="shared" ref="AA9:AF9" si="6">COUNTIF($O:$O,AA8+6)</f>
        <v>0</v>
      </c>
      <c r="AB9" s="5">
        <f t="shared" si="6"/>
        <v>0</v>
      </c>
      <c r="AC9" s="5">
        <f t="shared" si="6"/>
        <v>0</v>
      </c>
      <c r="AD9" s="5">
        <f t="shared" si="6"/>
        <v>0</v>
      </c>
      <c r="AE9" s="5">
        <f t="shared" si="6"/>
        <v>0</v>
      </c>
      <c r="AF9" s="5">
        <f t="shared" si="6"/>
        <v>0</v>
      </c>
    </row>
    <row r="10" spans="1:33" hidden="1">
      <c r="A10">
        <v>27</v>
      </c>
      <c r="B10" s="25">
        <f>VLOOKUP($A10,'1'!$A:$F,6,0)</f>
        <v>13005</v>
      </c>
      <c r="C10" s="25">
        <f>VLOOKUP($A10,'2'!$A:$F,6,0)</f>
        <v>13731</v>
      </c>
      <c r="D10" s="25">
        <f>VLOOKUP($A10,'3'!$A:$F,6,0)</f>
        <v>3849</v>
      </c>
      <c r="E10" s="25">
        <f>VLOOKUP($A10,'4'!$A:$F,6,0)</f>
        <v>235</v>
      </c>
      <c r="F10" s="25">
        <f>VLOOKUP($A10,'5'!$A:$F,6,0)</f>
        <v>195</v>
      </c>
      <c r="G10" s="26">
        <f>VLOOKUP($A10,'6'!$A:$F,6,0)</f>
        <v>653</v>
      </c>
      <c r="H10" s="25" t="str">
        <f>VLOOKUP($A10,'1'!$A:$K,11,0)</f>
        <v>TIME OUT</v>
      </c>
      <c r="I10" s="25" t="str">
        <f>VLOOKUP($A10,'2'!$A:$K,11,0)</f>
        <v>ERROR: reducible RootOf detected. Substitutions are %1</v>
      </c>
      <c r="J10" s="25">
        <f>VLOOKUP($A10,'3'!$A:$K,11,0)</f>
        <v>3851</v>
      </c>
      <c r="K10" s="25" t="str">
        <f>VLOOKUP($A10,'4'!$A:$K,11,0)</f>
        <v>TIME OUT</v>
      </c>
      <c r="L10" s="25">
        <f>VLOOKUP($A10,'5'!$A:$K,11,0)</f>
        <v>1131</v>
      </c>
      <c r="M10" s="25">
        <f>VLOOKUP($A10,'6'!$A:$K,11,0)</f>
        <v>1259</v>
      </c>
      <c r="N10" s="5" t="str">
        <f t="shared" si="0"/>
        <v>RC</v>
      </c>
      <c r="O10" s="5">
        <f t="shared" si="1"/>
        <v>5</v>
      </c>
      <c r="P10" s="5" t="str">
        <f t="shared" si="2"/>
        <v>RC5, 1</v>
      </c>
      <c r="Q10" s="11" t="str">
        <f t="shared" si="3"/>
        <v/>
      </c>
      <c r="R10" s="11" t="str">
        <f t="shared" si="4"/>
        <v xml:space="preserve">2: Error: Reducible RootOf. </v>
      </c>
      <c r="S10" s="12" t="s">
        <v>47</v>
      </c>
      <c r="T10" s="5"/>
      <c r="U10" s="31" t="s">
        <v>51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3" hidden="1">
      <c r="A11">
        <v>28</v>
      </c>
      <c r="B11" s="25">
        <f>VLOOKUP($A11,'1'!$A:$F,6,0)</f>
        <v>13005</v>
      </c>
      <c r="C11" s="25">
        <f>VLOOKUP($A11,'2'!$A:$F,6,0)</f>
        <v>13731</v>
      </c>
      <c r="D11" s="25">
        <f>VLOOKUP($A11,'3'!$A:$F,6,0)</f>
        <v>2987</v>
      </c>
      <c r="E11" s="25">
        <f>VLOOKUP($A11,'4'!$A:$F,6,0)</f>
        <v>235</v>
      </c>
      <c r="F11" s="25">
        <f>VLOOKUP($A11,'5'!$A:$F,6,0)</f>
        <v>195</v>
      </c>
      <c r="G11" s="26">
        <f>VLOOKUP($A11,'6'!$A:$F,6,0)</f>
        <v>579</v>
      </c>
      <c r="H11" s="25" t="str">
        <f>VLOOKUP($A11,'1'!$A:$K,11,0)</f>
        <v>TIME OUT</v>
      </c>
      <c r="I11" s="25" t="str">
        <f>VLOOKUP($A11,'2'!$A:$K,11,0)</f>
        <v>ERROR: reducible RootOf detected. Substitutions are %1</v>
      </c>
      <c r="J11" s="25">
        <f>VLOOKUP($A11,'3'!$A:$K,11,0)</f>
        <v>2991</v>
      </c>
      <c r="K11" s="25" t="str">
        <f>VLOOKUP($A11,'4'!$A:$K,11,0)</f>
        <v>TIME OUT</v>
      </c>
      <c r="L11" s="25">
        <f>VLOOKUP($A11,'5'!$A:$K,11,0)</f>
        <v>1131</v>
      </c>
      <c r="M11" s="25">
        <f>VLOOKUP($A11,'6'!$A:$K,11,0)</f>
        <v>1131</v>
      </c>
      <c r="N11" s="5" t="str">
        <f t="shared" si="0"/>
        <v>RC</v>
      </c>
      <c r="O11" s="5">
        <f t="shared" si="1"/>
        <v>5</v>
      </c>
      <c r="P11" s="5" t="str">
        <f t="shared" si="2"/>
        <v>RC5, 1</v>
      </c>
      <c r="Q11" s="11" t="str">
        <f t="shared" si="3"/>
        <v/>
      </c>
      <c r="R11" s="11" t="str">
        <f t="shared" si="4"/>
        <v xml:space="preserve">2: Error: Reducible RootOf. </v>
      </c>
      <c r="S11" s="12" t="s">
        <v>47</v>
      </c>
      <c r="T11" s="5"/>
      <c r="U11" s="33" t="s">
        <v>30</v>
      </c>
      <c r="V11" s="33"/>
      <c r="W11" s="33"/>
      <c r="X11" s="33"/>
      <c r="Y11" s="33"/>
      <c r="Z11" s="33"/>
      <c r="AA11" s="33" t="s">
        <v>31</v>
      </c>
      <c r="AB11" s="33"/>
      <c r="AC11" s="33"/>
      <c r="AD11" s="33"/>
      <c r="AE11" s="33"/>
      <c r="AF11" s="33"/>
    </row>
    <row r="12" spans="1:33" hidden="1">
      <c r="A12">
        <v>29</v>
      </c>
      <c r="B12" s="25">
        <f>VLOOKUP($A12,'1'!$A:$F,6,0)</f>
        <v>13005</v>
      </c>
      <c r="C12" s="25">
        <f>VLOOKUP($A12,'2'!$A:$F,6,0)</f>
        <v>13731</v>
      </c>
      <c r="D12" s="25">
        <f>VLOOKUP($A12,'3'!$A:$F,6,0)</f>
        <v>2987</v>
      </c>
      <c r="E12" s="25">
        <f>VLOOKUP($A12,'4'!$A:$F,6,0)</f>
        <v>235</v>
      </c>
      <c r="F12" s="25">
        <f>VLOOKUP($A12,'5'!$A:$F,6,0)</f>
        <v>195</v>
      </c>
      <c r="G12" s="26">
        <f>VLOOKUP($A12,'6'!$A:$F,6,0)</f>
        <v>525</v>
      </c>
      <c r="H12" s="25" t="str">
        <f>VLOOKUP($A12,'1'!$A:$K,11,0)</f>
        <v>TIME OUT</v>
      </c>
      <c r="I12" s="25" t="str">
        <f>VLOOKUP($A12,'2'!$A:$K,11,0)</f>
        <v>ERROR: reducible RootOf detected. Substitutions are %1</v>
      </c>
      <c r="J12" s="25">
        <f>VLOOKUP($A12,'3'!$A:$K,11,0)</f>
        <v>2991</v>
      </c>
      <c r="K12" s="25" t="str">
        <f>VLOOKUP($A12,'4'!$A:$K,11,0)</f>
        <v>TIME OUT</v>
      </c>
      <c r="L12" s="25">
        <f>VLOOKUP($A12,'5'!$A:$K,11,0)</f>
        <v>1131</v>
      </c>
      <c r="M12" s="25">
        <f>VLOOKUP($A12,'6'!$A:$K,11,0)</f>
        <v>1131</v>
      </c>
      <c r="N12" s="5" t="str">
        <f t="shared" si="0"/>
        <v>RC</v>
      </c>
      <c r="O12" s="5">
        <f t="shared" si="1"/>
        <v>5</v>
      </c>
      <c r="P12" s="5" t="str">
        <f t="shared" si="2"/>
        <v>RC5, 1</v>
      </c>
      <c r="Q12" s="11" t="str">
        <f t="shared" si="3"/>
        <v/>
      </c>
      <c r="R12" s="11" t="str">
        <f t="shared" si="4"/>
        <v xml:space="preserve">2: Error: Reducible RootOf. </v>
      </c>
      <c r="S12" s="12" t="s">
        <v>47</v>
      </c>
      <c r="T12" s="8" t="s">
        <v>52</v>
      </c>
      <c r="U12" s="13">
        <f>(COUNTA(B3:B69)-COUNTIF(B3:B69,$X$4)-COUNTIF(B3:B69,"TIME OUT")-COUNTIF(B3:B69,"*ERROR*")-COUNTIF(B3:B69,$Y$4))/COUNTA(B3:B69)</f>
        <v>0.67164179104477617</v>
      </c>
      <c r="V12" s="13">
        <f t="shared" ref="V12:AF12" si="7">(COUNTA(C3:C69)-COUNTIF(C3:C69,$X$4)-COUNTIF(C3:C69,"TIME OUT")-COUNTIF(C3:C69,"*ERROR*")-COUNTIF(C3:C69,$Y$4))/COUNTA(C3:C69)</f>
        <v>0.92537313432835822</v>
      </c>
      <c r="W12" s="13">
        <f t="shared" si="7"/>
        <v>1</v>
      </c>
      <c r="X12" s="13">
        <f t="shared" si="7"/>
        <v>0.68656716417910446</v>
      </c>
      <c r="Y12" s="13">
        <f t="shared" si="7"/>
        <v>0.92537313432835822</v>
      </c>
      <c r="Z12" s="13">
        <f t="shared" si="7"/>
        <v>1</v>
      </c>
      <c r="AA12" s="13">
        <f t="shared" si="7"/>
        <v>0.20895522388059701</v>
      </c>
      <c r="AB12" s="13">
        <f t="shared" si="7"/>
        <v>0.29850746268656714</v>
      </c>
      <c r="AC12" s="13">
        <f t="shared" si="7"/>
        <v>0.97014925373134331</v>
      </c>
      <c r="AD12" s="13">
        <f t="shared" si="7"/>
        <v>0.20895522388059701</v>
      </c>
      <c r="AE12" s="13">
        <f t="shared" si="7"/>
        <v>0.70149253731343286</v>
      </c>
      <c r="AF12" s="13">
        <f t="shared" si="7"/>
        <v>1</v>
      </c>
      <c r="AG12" s="14"/>
    </row>
    <row r="13" spans="1:33" hidden="1">
      <c r="A13">
        <v>30</v>
      </c>
      <c r="B13" s="25">
        <f>VLOOKUP($A13,'1'!$A:$F,6,0)</f>
        <v>13005</v>
      </c>
      <c r="C13" s="25">
        <f>VLOOKUP($A13,'2'!$A:$F,6,0)</f>
        <v>13731</v>
      </c>
      <c r="D13" s="25">
        <f>VLOOKUP($A13,'3'!$A:$F,6,0)</f>
        <v>3849</v>
      </c>
      <c r="E13" s="25">
        <f>VLOOKUP($A13,'4'!$A:$F,6,0)</f>
        <v>227</v>
      </c>
      <c r="F13" s="25">
        <f>VLOOKUP($A13,'5'!$A:$F,6,0)</f>
        <v>195</v>
      </c>
      <c r="G13" s="26">
        <f>VLOOKUP($A13,'6'!$A:$F,6,0)</f>
        <v>673</v>
      </c>
      <c r="H13" s="25" t="str">
        <f>VLOOKUP($A13,'1'!$A:$K,11,0)</f>
        <v>TIME OUT</v>
      </c>
      <c r="I13" s="25" t="str">
        <f>VLOOKUP($A13,'2'!$A:$K,11,0)</f>
        <v>ERROR: reducible RootOf detected. Substitutions are %1</v>
      </c>
      <c r="J13" s="25">
        <f>VLOOKUP($A13,'3'!$A:$K,11,0)</f>
        <v>3851</v>
      </c>
      <c r="K13" s="25" t="str">
        <f>VLOOKUP($A13,'4'!$A:$K,11,0)</f>
        <v>TIME OUT</v>
      </c>
      <c r="L13" s="25">
        <f>VLOOKUP($A13,'5'!$A:$K,11,0)</f>
        <v>1131</v>
      </c>
      <c r="M13" s="25">
        <f>VLOOKUP($A13,'6'!$A:$K,11,0)</f>
        <v>1259</v>
      </c>
      <c r="N13" s="5" t="str">
        <f t="shared" si="0"/>
        <v>RC</v>
      </c>
      <c r="O13" s="5">
        <f t="shared" si="1"/>
        <v>5</v>
      </c>
      <c r="P13" s="5" t="str">
        <f t="shared" si="2"/>
        <v>RC5, 1</v>
      </c>
      <c r="Q13" s="11" t="str">
        <f t="shared" si="3"/>
        <v/>
      </c>
      <c r="R13" s="11" t="str">
        <f t="shared" si="4"/>
        <v xml:space="preserve">2: Error: Reducible RootOf. </v>
      </c>
      <c r="S13" s="12" t="s">
        <v>47</v>
      </c>
      <c r="T13" s="8" t="s">
        <v>53</v>
      </c>
      <c r="U13" s="13">
        <f t="shared" ref="U13:AF13" si="8">(COUNTIF(B3:B69,$X$4)+COUNTIF(B3:B69,"TIME OUT"))/COUNTA(B3:B69)</f>
        <v>0.31343283582089554</v>
      </c>
      <c r="V13" s="13">
        <f t="shared" si="8"/>
        <v>7.4626865671641784E-2</v>
      </c>
      <c r="W13" s="13">
        <f t="shared" si="8"/>
        <v>0</v>
      </c>
      <c r="X13" s="13">
        <f t="shared" si="8"/>
        <v>0.29850746268656714</v>
      </c>
      <c r="Y13" s="13">
        <f t="shared" si="8"/>
        <v>7.4626865671641784E-2</v>
      </c>
      <c r="Z13" s="13">
        <f t="shared" si="8"/>
        <v>0</v>
      </c>
      <c r="AA13" s="13">
        <f t="shared" si="8"/>
        <v>0.31343283582089554</v>
      </c>
      <c r="AB13" s="13">
        <f t="shared" si="8"/>
        <v>4.4776119402985072E-2</v>
      </c>
      <c r="AC13" s="13">
        <f t="shared" si="8"/>
        <v>2.9850746268656716E-2</v>
      </c>
      <c r="AD13" s="13">
        <f t="shared" si="8"/>
        <v>0.31343283582089554</v>
      </c>
      <c r="AE13" s="13">
        <f t="shared" si="8"/>
        <v>0</v>
      </c>
      <c r="AF13" s="13">
        <f t="shared" si="8"/>
        <v>0</v>
      </c>
      <c r="AG13" s="14"/>
    </row>
    <row r="14" spans="1:33">
      <c r="A14">
        <v>31</v>
      </c>
      <c r="B14" s="25">
        <f>VLOOKUP($A14,'1'!$A:$F,6,0)</f>
        <v>9</v>
      </c>
      <c r="C14" s="25">
        <f>VLOOKUP($A14,'2'!$A:$F,6,0)</f>
        <v>9</v>
      </c>
      <c r="D14" s="25">
        <f>VLOOKUP($A14,'3'!$A:$F,6,0)</f>
        <v>9</v>
      </c>
      <c r="E14" s="25">
        <f>VLOOKUP($A14,'4'!$A:$F,6,0)</f>
        <v>9</v>
      </c>
      <c r="F14" s="25">
        <f>VLOOKUP($A14,'5'!$A:$F,6,0)</f>
        <v>9</v>
      </c>
      <c r="G14" s="26">
        <f>VLOOKUP($A14,'6'!$A:$F,6,0)</f>
        <v>9</v>
      </c>
      <c r="H14" s="25">
        <f>VLOOKUP($A14,'1'!$A:$K,11,0)</f>
        <v>57</v>
      </c>
      <c r="I14" s="25">
        <f>VLOOKUP($A14,'2'!$A:$K,11,0)</f>
        <v>57</v>
      </c>
      <c r="J14" s="25">
        <f>VLOOKUP($A14,'3'!$A:$K,11,0)</f>
        <v>57</v>
      </c>
      <c r="K14" s="25">
        <f>VLOOKUP($A14,'4'!$A:$K,11,0)</f>
        <v>57</v>
      </c>
      <c r="L14" s="25">
        <f>VLOOKUP($A14,'5'!$A:$K,11,0)</f>
        <v>57</v>
      </c>
      <c r="M14" s="25">
        <f>VLOOKUP($A14,'6'!$A:$K,11,0)</f>
        <v>57</v>
      </c>
      <c r="N14" s="5" t="str">
        <f t="shared" si="0"/>
        <v>RC</v>
      </c>
      <c r="O14" s="5">
        <f t="shared" si="1"/>
        <v>1</v>
      </c>
      <c r="P14" s="5" t="s">
        <v>144</v>
      </c>
      <c r="Q14" s="11" t="str">
        <f t="shared" si="3"/>
        <v/>
      </c>
      <c r="R14" s="11" t="str">
        <f t="shared" si="4"/>
        <v/>
      </c>
      <c r="S14" s="12" t="s">
        <v>47</v>
      </c>
      <c r="T14" s="8" t="s">
        <v>54</v>
      </c>
      <c r="U14" s="13">
        <f t="shared" ref="U14:AF14" si="9">(COUNTIF(B3:B69,"*ERROR*"))/COUNTA(B3:B69)</f>
        <v>1.4925373134328358E-2</v>
      </c>
      <c r="V14" s="13">
        <f t="shared" si="9"/>
        <v>0</v>
      </c>
      <c r="W14" s="13">
        <f t="shared" si="9"/>
        <v>0</v>
      </c>
      <c r="X14" s="13">
        <f t="shared" si="9"/>
        <v>1.4925373134328358E-2</v>
      </c>
      <c r="Y14" s="13">
        <f t="shared" si="9"/>
        <v>0</v>
      </c>
      <c r="Z14" s="13">
        <f t="shared" si="9"/>
        <v>0</v>
      </c>
      <c r="AA14" s="13">
        <f t="shared" si="9"/>
        <v>0.47761194029850745</v>
      </c>
      <c r="AB14" s="13">
        <f t="shared" si="9"/>
        <v>0.65671641791044777</v>
      </c>
      <c r="AC14" s="13">
        <f t="shared" si="9"/>
        <v>0</v>
      </c>
      <c r="AD14" s="13">
        <f t="shared" si="9"/>
        <v>0.47761194029850745</v>
      </c>
      <c r="AE14" s="13">
        <f t="shared" si="9"/>
        <v>0.29850746268656714</v>
      </c>
      <c r="AF14" s="13">
        <f t="shared" si="9"/>
        <v>0</v>
      </c>
    </row>
    <row r="15" spans="1:33" hidden="1">
      <c r="A15">
        <v>32</v>
      </c>
      <c r="B15" s="25">
        <f>VLOOKUP($A15,'1'!$A:$F,6,0)</f>
        <v>13005</v>
      </c>
      <c r="C15" s="25">
        <f>VLOOKUP($A15,'2'!$A:$F,6,0)</f>
        <v>13731</v>
      </c>
      <c r="D15" s="25">
        <f>VLOOKUP($A15,'3'!$A:$F,6,0)</f>
        <v>3849</v>
      </c>
      <c r="E15" s="25">
        <f>VLOOKUP($A15,'4'!$A:$F,6,0)</f>
        <v>235</v>
      </c>
      <c r="F15" s="25">
        <f>VLOOKUP($A15,'5'!$A:$F,6,0)</f>
        <v>195</v>
      </c>
      <c r="G15" s="26">
        <f>VLOOKUP($A15,'6'!$A:$F,6,0)</f>
        <v>653</v>
      </c>
      <c r="H15" s="25" t="str">
        <f>VLOOKUP($A15,'1'!$A:$K,11,0)</f>
        <v>TIME OUT</v>
      </c>
      <c r="I15" s="25" t="str">
        <f>VLOOKUP($A15,'2'!$A:$K,11,0)</f>
        <v>ERROR: reducible RootOf detected. Substitutions are %1</v>
      </c>
      <c r="J15" s="25">
        <f>VLOOKUP($A15,'3'!$A:$K,11,0)</f>
        <v>3851</v>
      </c>
      <c r="K15" s="25" t="str">
        <f>VLOOKUP($A15,'4'!$A:$K,11,0)</f>
        <v>TIME OUT</v>
      </c>
      <c r="L15" s="25">
        <f>VLOOKUP($A15,'5'!$A:$K,11,0)</f>
        <v>1131</v>
      </c>
      <c r="M15" s="25">
        <f>VLOOKUP($A15,'6'!$A:$K,11,0)</f>
        <v>1259</v>
      </c>
      <c r="N15" s="5" t="str">
        <f t="shared" si="0"/>
        <v>RC</v>
      </c>
      <c r="O15" s="5">
        <f t="shared" si="1"/>
        <v>5</v>
      </c>
      <c r="P15" s="5" t="str">
        <f t="shared" si="2"/>
        <v>RC5, 1</v>
      </c>
      <c r="Q15" s="11" t="str">
        <f t="shared" si="3"/>
        <v/>
      </c>
      <c r="R15" s="11" t="str">
        <f t="shared" si="4"/>
        <v xml:space="preserve">2: Error: Reducible RootOf. </v>
      </c>
      <c r="S15" s="12" t="s">
        <v>47</v>
      </c>
      <c r="T15" s="5"/>
    </row>
    <row r="16" spans="1:33" hidden="1">
      <c r="A16">
        <v>33</v>
      </c>
      <c r="B16" s="25">
        <f>VLOOKUP($A16,'1'!$A:$F,6,0)</f>
        <v>13005</v>
      </c>
      <c r="C16" s="25">
        <f>VLOOKUP($A16,'2'!$A:$F,6,0)</f>
        <v>13731</v>
      </c>
      <c r="D16" s="25">
        <f>VLOOKUP($A16,'3'!$A:$F,6,0)</f>
        <v>3849</v>
      </c>
      <c r="E16" s="25">
        <f>VLOOKUP($A16,'4'!$A:$F,6,0)</f>
        <v>235</v>
      </c>
      <c r="F16" s="25">
        <f>VLOOKUP($A16,'5'!$A:$F,6,0)</f>
        <v>195</v>
      </c>
      <c r="G16" s="26">
        <f>VLOOKUP($A16,'6'!$A:$F,6,0)</f>
        <v>699</v>
      </c>
      <c r="H16" s="25" t="str">
        <f>VLOOKUP($A16,'1'!$A:$K,11,0)</f>
        <v>TIME OUT</v>
      </c>
      <c r="I16" s="25" t="str">
        <f>VLOOKUP($A16,'2'!$A:$K,11,0)</f>
        <v>ERROR: reducible RootOf detected. Substitutions are %1</v>
      </c>
      <c r="J16" s="25">
        <f>VLOOKUP($A16,'3'!$A:$K,11,0)</f>
        <v>3851</v>
      </c>
      <c r="K16" s="25" t="str">
        <f>VLOOKUP($A16,'4'!$A:$K,11,0)</f>
        <v>TIME OUT</v>
      </c>
      <c r="L16" s="25">
        <f>VLOOKUP($A16,'5'!$A:$K,11,0)</f>
        <v>1131</v>
      </c>
      <c r="M16" s="25">
        <f>VLOOKUP($A16,'6'!$A:$K,11,0)</f>
        <v>1259</v>
      </c>
      <c r="N16" s="5" t="str">
        <f t="shared" si="0"/>
        <v>RC</v>
      </c>
      <c r="O16" s="5">
        <f t="shared" si="1"/>
        <v>5</v>
      </c>
      <c r="P16" s="5" t="str">
        <f t="shared" si="2"/>
        <v>RC5, 1</v>
      </c>
      <c r="Q16" s="11" t="str">
        <f t="shared" si="3"/>
        <v/>
      </c>
      <c r="R16" s="11" t="str">
        <f t="shared" si="4"/>
        <v xml:space="preserve">2: Error: Reducible RootOf. </v>
      </c>
      <c r="S16" s="12" t="s">
        <v>47</v>
      </c>
      <c r="T16" s="8" t="s">
        <v>52</v>
      </c>
      <c r="U16" s="34">
        <f>(COUNTA(B3:G69)-COUNTIF(B3:G69,$X$4)-COUNTIF(B3:G69,"TIME OUT")-COUNTIF(B3:G69,"*ERROR*")-COUNTIF(B3:G69,$Y$4))/COUNTA(B3:G69)</f>
        <v>0.86815920398009949</v>
      </c>
      <c r="V16" s="34"/>
      <c r="W16" s="34"/>
      <c r="X16" s="34"/>
      <c r="Y16" s="34"/>
      <c r="Z16" s="34"/>
      <c r="AA16" s="34">
        <f>(COUNTA(H3:M69)-COUNTIF(H3:M69,$X$4)-COUNTIF(H3:M69,"TIME OUT")-COUNTIF(H3:M69,"*ERROR*")-COUNTIF(H3:M69,$Y$4))/COUNTA(H3:M69)</f>
        <v>0.56467661691542292</v>
      </c>
      <c r="AB16" s="34"/>
      <c r="AC16" s="34"/>
      <c r="AD16" s="34"/>
      <c r="AE16" s="34"/>
      <c r="AF16" s="34"/>
    </row>
    <row r="17" spans="1:32" hidden="1">
      <c r="A17">
        <v>34</v>
      </c>
      <c r="B17" s="25">
        <f>VLOOKUP($A17,'1'!$A:$F,6,0)</f>
        <v>13005</v>
      </c>
      <c r="C17" s="25">
        <f>VLOOKUP($A17,'2'!$A:$F,6,0)</f>
        <v>13731</v>
      </c>
      <c r="D17" s="25">
        <f>VLOOKUP($A17,'3'!$A:$F,6,0)</f>
        <v>3849</v>
      </c>
      <c r="E17" s="25">
        <f>VLOOKUP($A17,'4'!$A:$F,6,0)</f>
        <v>235</v>
      </c>
      <c r="F17" s="25">
        <f>VLOOKUP($A17,'5'!$A:$F,6,0)</f>
        <v>195</v>
      </c>
      <c r="G17" s="26">
        <f>VLOOKUP($A17,'6'!$A:$F,6,0)</f>
        <v>653</v>
      </c>
      <c r="H17" s="25" t="str">
        <f>VLOOKUP($A17,'1'!$A:$K,11,0)</f>
        <v>TIME OUT</v>
      </c>
      <c r="I17" s="25" t="str">
        <f>VLOOKUP($A17,'2'!$A:$K,11,0)</f>
        <v>ERROR: reducible RootOf detected. Substitutions are %1</v>
      </c>
      <c r="J17" s="25">
        <f>VLOOKUP($A17,'3'!$A:$K,11,0)</f>
        <v>3851</v>
      </c>
      <c r="K17" s="25" t="str">
        <f>VLOOKUP($A17,'4'!$A:$K,11,0)</f>
        <v>TIME OUT</v>
      </c>
      <c r="L17" s="25">
        <f>VLOOKUP($A17,'5'!$A:$K,11,0)</f>
        <v>1131</v>
      </c>
      <c r="M17" s="25">
        <f>VLOOKUP($A17,'6'!$A:$K,11,0)</f>
        <v>1259</v>
      </c>
      <c r="N17" s="5" t="str">
        <f t="shared" si="0"/>
        <v>RC</v>
      </c>
      <c r="O17" s="5">
        <f t="shared" si="1"/>
        <v>5</v>
      </c>
      <c r="P17" s="5" t="str">
        <f t="shared" si="2"/>
        <v>RC5, 1</v>
      </c>
      <c r="Q17" s="11" t="str">
        <f t="shared" si="3"/>
        <v/>
      </c>
      <c r="R17" s="11" t="str">
        <f t="shared" si="4"/>
        <v xml:space="preserve">2: Error: Reducible RootOf. </v>
      </c>
      <c r="S17" s="12" t="s">
        <v>47</v>
      </c>
      <c r="T17" s="8" t="s">
        <v>53</v>
      </c>
      <c r="U17" s="34">
        <f>(COUNTIF(B3:G69,$X$4)+COUNTIF(B3:G69,"TIME OUT"))/COUNTA(B3:G69)</f>
        <v>0.12686567164179105</v>
      </c>
      <c r="V17" s="34"/>
      <c r="W17" s="34"/>
      <c r="X17" s="34"/>
      <c r="Y17" s="34"/>
      <c r="Z17" s="34"/>
      <c r="AA17" s="34">
        <f>(COUNTIF(H3:M69,$X$4)+COUNTIF(H3:M69,"TIME OUT"))/COUNTA(H3:M69)</f>
        <v>0.11691542288557213</v>
      </c>
      <c r="AB17" s="34"/>
      <c r="AC17" s="34"/>
      <c r="AD17" s="34"/>
      <c r="AE17" s="34"/>
      <c r="AF17" s="34"/>
    </row>
    <row r="18" spans="1:32" hidden="1">
      <c r="A18">
        <v>36</v>
      </c>
      <c r="B18" s="25">
        <f>VLOOKUP($A18,'1'!$A:$F,6,0)</f>
        <v>33047</v>
      </c>
      <c r="C18" s="25">
        <f>VLOOKUP($A18,'2'!$A:$F,6,0)</f>
        <v>32831</v>
      </c>
      <c r="D18" s="25">
        <f>VLOOKUP($A18,'3'!$A:$F,6,0)</f>
        <v>5001</v>
      </c>
      <c r="E18" s="25">
        <f>VLOOKUP($A18,'4'!$A:$F,6,0)</f>
        <v>433</v>
      </c>
      <c r="F18" s="25">
        <f>VLOOKUP($A18,'5'!$A:$F,6,0)</f>
        <v>333</v>
      </c>
      <c r="G18" s="26">
        <f>VLOOKUP($A18,'6'!$A:$F,6,0)</f>
        <v>943</v>
      </c>
      <c r="H18" s="25" t="str">
        <f>VLOOKUP($A18,'1'!$A:$K,11,0)</f>
        <v>TIME OUT</v>
      </c>
      <c r="I18" s="25" t="str">
        <f>VLOOKUP($A18,'2'!$A:$K,11,0)</f>
        <v>TIME OUT</v>
      </c>
      <c r="J18" s="25">
        <f>VLOOKUP($A18,'3'!$A:$K,11,0)</f>
        <v>5005</v>
      </c>
      <c r="K18" s="25" t="str">
        <f>VLOOKUP($A18,'4'!$A:$K,11,0)</f>
        <v>TIME OUT</v>
      </c>
      <c r="L18" s="25">
        <f>VLOOKUP($A18,'5'!$A:$K,11,0)</f>
        <v>2359</v>
      </c>
      <c r="M18" s="25">
        <f>VLOOKUP($A18,'6'!$A:$K,11,0)</f>
        <v>1897</v>
      </c>
      <c r="N18" s="5" t="str">
        <f t="shared" si="0"/>
        <v>RC</v>
      </c>
      <c r="O18" s="5">
        <f t="shared" si="1"/>
        <v>5</v>
      </c>
      <c r="P18" s="5" t="str">
        <f t="shared" si="2"/>
        <v>RC5, 1</v>
      </c>
      <c r="Q18" s="11" t="str">
        <f t="shared" si="3"/>
        <v/>
      </c>
      <c r="R18" s="11" t="str">
        <f t="shared" si="4"/>
        <v/>
      </c>
      <c r="S18" s="12" t="s">
        <v>47</v>
      </c>
      <c r="T18" s="8" t="s">
        <v>54</v>
      </c>
      <c r="U18" s="34">
        <f>(COUNTIF(B3:G69,"*ERROR*")+COUNTIF(B3:G69,$Y$4))/COUNTA(B3:G69)</f>
        <v>4.9751243781094526E-3</v>
      </c>
      <c r="V18" s="34"/>
      <c r="W18" s="34"/>
      <c r="X18" s="34"/>
      <c r="Y18" s="34"/>
      <c r="Z18" s="34"/>
      <c r="AA18" s="34">
        <f>(COUNTIF(H3:M69,"*ERROR*")+COUNTIF(H3:M69,$Y$4))/COUNTA(H3:M69)</f>
        <v>0.31840796019900497</v>
      </c>
      <c r="AB18" s="34"/>
      <c r="AC18" s="34"/>
      <c r="AD18" s="34"/>
      <c r="AE18" s="34"/>
      <c r="AF18" s="34"/>
    </row>
    <row r="19" spans="1:32" hidden="1">
      <c r="A19">
        <v>38</v>
      </c>
      <c r="B19" s="25">
        <f>VLOOKUP($A19,'1'!$A:$F,6,0)</f>
        <v>33047</v>
      </c>
      <c r="C19" s="25">
        <f>VLOOKUP($A19,'2'!$A:$F,6,0)</f>
        <v>32831</v>
      </c>
      <c r="D19" s="25">
        <f>VLOOKUP($A19,'3'!$A:$F,6,0)</f>
        <v>5001</v>
      </c>
      <c r="E19" s="25">
        <f>VLOOKUP($A19,'4'!$A:$F,6,0)</f>
        <v>433</v>
      </c>
      <c r="F19" s="25">
        <f>VLOOKUP($A19,'5'!$A:$F,6,0)</f>
        <v>325</v>
      </c>
      <c r="G19" s="26">
        <f>VLOOKUP($A19,'6'!$A:$F,6,0)</f>
        <v>967</v>
      </c>
      <c r="H19" s="25" t="str">
        <f>VLOOKUP($A19,'1'!$A:$K,11,0)</f>
        <v>TIME OUT</v>
      </c>
      <c r="I19" s="25" t="str">
        <f>VLOOKUP($A19,'2'!$A:$K,11,0)</f>
        <v>TIME OUT</v>
      </c>
      <c r="J19" s="25">
        <f>VLOOKUP($A19,'3'!$A:$K,11,0)</f>
        <v>5005</v>
      </c>
      <c r="K19" s="25" t="str">
        <f>VLOOKUP($A19,'4'!$A:$K,11,0)</f>
        <v>TIME OUT</v>
      </c>
      <c r="L19" s="25">
        <f>VLOOKUP($A19,'5'!$A:$K,11,0)</f>
        <v>2359</v>
      </c>
      <c r="M19" s="25">
        <f>VLOOKUP($A19,'6'!$A:$K,11,0)</f>
        <v>1897</v>
      </c>
      <c r="N19" s="5" t="str">
        <f t="shared" si="0"/>
        <v>RC</v>
      </c>
      <c r="O19" s="5">
        <f t="shared" si="1"/>
        <v>5</v>
      </c>
      <c r="P19" s="5" t="str">
        <f t="shared" si="2"/>
        <v>RC5, 1</v>
      </c>
      <c r="Q19" s="11" t="str">
        <f t="shared" si="3"/>
        <v/>
      </c>
      <c r="R19" s="11" t="str">
        <f t="shared" si="4"/>
        <v/>
      </c>
      <c r="S19" s="12" t="s">
        <v>47</v>
      </c>
      <c r="T19" s="5"/>
    </row>
    <row r="20" spans="1:32" hidden="1">
      <c r="A20">
        <v>40</v>
      </c>
      <c r="B20" s="25">
        <f>VLOOKUP($A20,'1'!$A:$F,6,0)</f>
        <v>28799</v>
      </c>
      <c r="C20" s="25">
        <f>VLOOKUP($A20,'2'!$A:$F,6,0)</f>
        <v>32831</v>
      </c>
      <c r="D20" s="25">
        <f>VLOOKUP($A20,'3'!$A:$F,6,0)</f>
        <v>6037</v>
      </c>
      <c r="E20" s="25">
        <f>VLOOKUP($A20,'4'!$A:$F,6,0)</f>
        <v>377</v>
      </c>
      <c r="F20" s="25">
        <f>VLOOKUP($A20,'5'!$A:$F,6,0)</f>
        <v>333</v>
      </c>
      <c r="G20" s="26">
        <f>VLOOKUP($A20,'6'!$A:$F,6,0)</f>
        <v>1063</v>
      </c>
      <c r="H20" s="25" t="str">
        <f>VLOOKUP($A20,'1'!$A:$K,11,0)</f>
        <v>TIME OUT</v>
      </c>
      <c r="I20" s="25" t="str">
        <f>VLOOKUP($A20,'2'!$A:$K,11,0)</f>
        <v>ERROR: reducible RootOf detected. Substitutions are %1</v>
      </c>
      <c r="J20" s="25">
        <f>VLOOKUP($A20,'3'!$A:$K,11,0)</f>
        <v>6039</v>
      </c>
      <c r="K20" s="25" t="str">
        <f>VLOOKUP($A20,'4'!$A:$K,11,0)</f>
        <v>TIME OUT</v>
      </c>
      <c r="L20" s="25">
        <f>VLOOKUP($A20,'5'!$A:$K,11,0)</f>
        <v>1897</v>
      </c>
      <c r="M20" s="25">
        <f>VLOOKUP($A20,'6'!$A:$K,11,0)</f>
        <v>1973</v>
      </c>
      <c r="N20" s="5" t="str">
        <f t="shared" si="0"/>
        <v>RC</v>
      </c>
      <c r="O20" s="5">
        <f t="shared" si="1"/>
        <v>5</v>
      </c>
      <c r="P20" s="5" t="str">
        <f t="shared" si="2"/>
        <v>RC5, 1</v>
      </c>
      <c r="Q20" s="11" t="str">
        <f t="shared" si="3"/>
        <v/>
      </c>
      <c r="R20" s="11" t="str">
        <f t="shared" si="4"/>
        <v xml:space="preserve">2: Error: Reducible RootOf. </v>
      </c>
      <c r="S20" s="12" t="s">
        <v>47</v>
      </c>
      <c r="T20" s="11" t="s">
        <v>55</v>
      </c>
      <c r="U20" s="15">
        <f>COUNTIF(B:G,T20)</f>
        <v>0</v>
      </c>
      <c r="V20" s="16">
        <f>U20/$U$25</f>
        <v>0</v>
      </c>
      <c r="W20" s="15">
        <f>COUNTIF(H:M,T20)</f>
        <v>0</v>
      </c>
      <c r="X20" s="16">
        <f>W20/$W$25</f>
        <v>0</v>
      </c>
      <c r="Y20" t="s">
        <v>56</v>
      </c>
    </row>
    <row r="21" spans="1:32" hidden="1">
      <c r="A21">
        <v>41</v>
      </c>
      <c r="B21" s="25">
        <f>VLOOKUP($A21,'1'!$A:$F,6,0)</f>
        <v>28799</v>
      </c>
      <c r="C21" s="25">
        <f>VLOOKUP($A21,'2'!$A:$F,6,0)</f>
        <v>32831</v>
      </c>
      <c r="D21" s="25">
        <f>VLOOKUP($A21,'3'!$A:$F,6,0)</f>
        <v>6037</v>
      </c>
      <c r="E21" s="25">
        <f>VLOOKUP($A21,'4'!$A:$F,6,0)</f>
        <v>377</v>
      </c>
      <c r="F21" s="25">
        <f>VLOOKUP($A21,'5'!$A:$F,6,0)</f>
        <v>333</v>
      </c>
      <c r="G21" s="26">
        <f>VLOOKUP($A21,'6'!$A:$F,6,0)</f>
        <v>1125</v>
      </c>
      <c r="H21" s="25" t="str">
        <f>VLOOKUP($A21,'1'!$A:$K,11,0)</f>
        <v>TIME OUT</v>
      </c>
      <c r="I21" s="25" t="str">
        <f>VLOOKUP($A21,'2'!$A:$K,11,0)</f>
        <v>ERROR: reducible RootOf detected. Substitutions are %1</v>
      </c>
      <c r="J21" s="25">
        <f>VLOOKUP($A21,'3'!$A:$K,11,0)</f>
        <v>6039</v>
      </c>
      <c r="K21" s="25" t="str">
        <f>VLOOKUP($A21,'4'!$A:$K,11,0)</f>
        <v>TIME OUT</v>
      </c>
      <c r="L21" s="25">
        <f>VLOOKUP($A21,'5'!$A:$K,11,0)</f>
        <v>1897</v>
      </c>
      <c r="M21" s="25">
        <f>VLOOKUP($A21,'6'!$A:$K,11,0)</f>
        <v>1973</v>
      </c>
      <c r="N21" s="5" t="str">
        <f t="shared" si="0"/>
        <v>RC</v>
      </c>
      <c r="O21" s="5">
        <f t="shared" si="1"/>
        <v>5</v>
      </c>
      <c r="P21" s="5" t="str">
        <f t="shared" si="2"/>
        <v>RC5, 1</v>
      </c>
      <c r="Q21" s="11" t="str">
        <f t="shared" si="3"/>
        <v/>
      </c>
      <c r="R21" s="11" t="str">
        <f t="shared" si="4"/>
        <v xml:space="preserve">2: Error: Reducible RootOf. </v>
      </c>
      <c r="S21" s="12" t="s">
        <v>47</v>
      </c>
      <c r="T21" s="11" t="s">
        <v>57</v>
      </c>
      <c r="U21" s="15">
        <f>COUNTIF(B:G,T21)</f>
        <v>0</v>
      </c>
      <c r="V21" s="16">
        <f>U21/$U$25</f>
        <v>0</v>
      </c>
      <c r="W21" s="15">
        <f>COUNTIF(H:M,T21)</f>
        <v>120</v>
      </c>
      <c r="X21" s="16">
        <f>W21/$W$25</f>
        <v>0.29850746268656714</v>
      </c>
      <c r="Y21" t="s">
        <v>58</v>
      </c>
    </row>
    <row r="22" spans="1:32" hidden="1">
      <c r="A22">
        <v>43</v>
      </c>
      <c r="B22" s="25">
        <f>VLOOKUP($A22,'1'!$A:$F,6,0)</f>
        <v>33047</v>
      </c>
      <c r="C22" s="25">
        <f>VLOOKUP($A22,'2'!$A:$F,6,0)</f>
        <v>32831</v>
      </c>
      <c r="D22" s="25">
        <f>VLOOKUP($A22,'3'!$A:$F,6,0)</f>
        <v>5001</v>
      </c>
      <c r="E22" s="25">
        <f>VLOOKUP($A22,'4'!$A:$F,6,0)</f>
        <v>433</v>
      </c>
      <c r="F22" s="25">
        <f>VLOOKUP($A22,'5'!$A:$F,6,0)</f>
        <v>325</v>
      </c>
      <c r="G22" s="26">
        <f>VLOOKUP($A22,'6'!$A:$F,6,0)</f>
        <v>919</v>
      </c>
      <c r="H22" s="25" t="str">
        <f>VLOOKUP($A22,'1'!$A:$K,11,0)</f>
        <v>TIME OUT</v>
      </c>
      <c r="I22" s="25" t="str">
        <f>VLOOKUP($A22,'2'!$A:$K,11,0)</f>
        <v>TIME OUT</v>
      </c>
      <c r="J22" s="25">
        <f>VLOOKUP($A22,'3'!$A:$K,11,0)</f>
        <v>5005</v>
      </c>
      <c r="K22" s="25" t="str">
        <f>VLOOKUP($A22,'4'!$A:$K,11,0)</f>
        <v>TIME OUT</v>
      </c>
      <c r="L22" s="25">
        <f>VLOOKUP($A22,'5'!$A:$K,11,0)</f>
        <v>2359</v>
      </c>
      <c r="M22" s="25">
        <f>VLOOKUP($A22,'6'!$A:$K,11,0)</f>
        <v>1897</v>
      </c>
      <c r="N22" s="5" t="str">
        <f t="shared" si="0"/>
        <v>RC</v>
      </c>
      <c r="O22" s="5">
        <f t="shared" si="1"/>
        <v>5</v>
      </c>
      <c r="P22" s="5" t="str">
        <f t="shared" si="2"/>
        <v>RC5, 1</v>
      </c>
      <c r="Q22" s="11" t="str">
        <f t="shared" si="3"/>
        <v/>
      </c>
      <c r="R22" s="11" t="str">
        <f t="shared" si="4"/>
        <v/>
      </c>
      <c r="S22" s="12" t="s">
        <v>47</v>
      </c>
      <c r="T22" s="11" t="s">
        <v>59</v>
      </c>
      <c r="U22" s="15">
        <f>COUNTIF(B:G,T22)</f>
        <v>0</v>
      </c>
      <c r="V22" s="16">
        <f>U22/$U$25</f>
        <v>0</v>
      </c>
      <c r="W22" s="15">
        <f>COUNTIF(H:M,T22)</f>
        <v>0</v>
      </c>
      <c r="X22" s="16">
        <f>W22/$W$25</f>
        <v>0</v>
      </c>
      <c r="Y22" t="s">
        <v>60</v>
      </c>
    </row>
    <row r="23" spans="1:32" hidden="1">
      <c r="A23">
        <v>45</v>
      </c>
      <c r="B23" s="25" t="str">
        <f>VLOOKUP($A23,'1'!$A:$F,6,0)</f>
        <v>TIME OUT</v>
      </c>
      <c r="C23" s="25">
        <f>VLOOKUP($A23,'2'!$A:$F,6,0)</f>
        <v>59051</v>
      </c>
      <c r="D23" s="25">
        <f>VLOOKUP($A23,'3'!$A:$F,6,0)</f>
        <v>12477</v>
      </c>
      <c r="E23" s="25">
        <f>VLOOKUP($A23,'4'!$A:$F,6,0)</f>
        <v>1901</v>
      </c>
      <c r="F23" s="25">
        <f>VLOOKUP($A23,'5'!$A:$F,6,0)</f>
        <v>1015</v>
      </c>
      <c r="G23" s="26">
        <f>VLOOKUP($A23,'6'!$A:$F,6,0)</f>
        <v>2405</v>
      </c>
      <c r="H23" s="25" t="str">
        <f>VLOOKUP($A23,'1'!$A:$K,11,0)</f>
        <v>ERROR: reducible RootOf detected. Substitutions are %1</v>
      </c>
      <c r="I23" s="25">
        <f>VLOOKUP($A23,'2'!$A:$K,11,0)</f>
        <v>59073</v>
      </c>
      <c r="J23" s="25" t="str">
        <f>VLOOKUP($A23,'3'!$A:$K,11,0)</f>
        <v>TIME OUT</v>
      </c>
      <c r="K23" s="25" t="str">
        <f>VLOOKUP($A23,'4'!$A:$K,11,0)</f>
        <v>ERROR: reducible RootOf detected. Substitutions are %1</v>
      </c>
      <c r="L23" s="25">
        <f>VLOOKUP($A23,'5'!$A:$K,11,0)</f>
        <v>5677</v>
      </c>
      <c r="M23" s="25">
        <f>VLOOKUP($A23,'6'!$A:$K,11,0)</f>
        <v>5677</v>
      </c>
      <c r="N23" s="5" t="str">
        <f t="shared" si="0"/>
        <v>RC</v>
      </c>
      <c r="O23" s="5">
        <f t="shared" si="1"/>
        <v>5</v>
      </c>
      <c r="P23" s="5" t="str">
        <f t="shared" si="2"/>
        <v>RC5, 1</v>
      </c>
      <c r="Q23" s="11" t="str">
        <f t="shared" si="3"/>
        <v/>
      </c>
      <c r="R23" s="11" t="str">
        <f t="shared" si="4"/>
        <v xml:space="preserve">1: Error: Reducible RootOf. 4: Error: Reducible RootOf. </v>
      </c>
      <c r="S23" s="12" t="s">
        <v>47</v>
      </c>
      <c r="T23" s="11" t="s">
        <v>61</v>
      </c>
      <c r="U23" s="15">
        <f>COUNTIF(B:G,T23)</f>
        <v>0</v>
      </c>
      <c r="V23" s="16">
        <f>U23/$U$25</f>
        <v>0</v>
      </c>
      <c r="W23" s="15">
        <f>COUNTIF(H:M,T23)</f>
        <v>8</v>
      </c>
      <c r="X23" s="16">
        <f>W23/$W$25</f>
        <v>1.9900497512437811E-2</v>
      </c>
      <c r="Y23" t="s">
        <v>62</v>
      </c>
    </row>
    <row r="24" spans="1:32" hidden="1">
      <c r="A24">
        <v>46</v>
      </c>
      <c r="B24" s="25" t="str">
        <f>VLOOKUP($A24,'1'!$A:$F,6,0)</f>
        <v>TIME OUT</v>
      </c>
      <c r="C24" s="25">
        <f>VLOOKUP($A24,'2'!$A:$F,6,0)</f>
        <v>18171</v>
      </c>
      <c r="D24" s="25">
        <f>VLOOKUP($A24,'3'!$A:$F,6,0)</f>
        <v>5413</v>
      </c>
      <c r="E24" s="25">
        <f>VLOOKUP($A24,'4'!$A:$F,6,0)</f>
        <v>849</v>
      </c>
      <c r="F24" s="25">
        <f>VLOOKUP($A24,'5'!$A:$F,6,0)</f>
        <v>433</v>
      </c>
      <c r="G24" s="26">
        <f>VLOOKUP($A24,'6'!$A:$F,6,0)</f>
        <v>1067</v>
      </c>
      <c r="H24" s="25" t="str">
        <f>VLOOKUP($A24,'1'!$A:$K,11,0)</f>
        <v>ERROR: reducible RootOf detected. Substitutions are %1</v>
      </c>
      <c r="I24" s="25" t="str">
        <f>VLOOKUP($A24,'2'!$A:$K,11,0)</f>
        <v>ERROR: reducible RootOf detected. Substitutions are %1</v>
      </c>
      <c r="J24" s="25">
        <f>VLOOKUP($A24,'3'!$A:$K,11,0)</f>
        <v>5417</v>
      </c>
      <c r="K24" s="25" t="str">
        <f>VLOOKUP($A24,'4'!$A:$K,11,0)</f>
        <v>ERROR: reducible RootOf detected. Substitutions are %1</v>
      </c>
      <c r="L24" s="25">
        <f>VLOOKUP($A24,'5'!$A:$K,11,0)</f>
        <v>2189</v>
      </c>
      <c r="M24" s="25">
        <f>VLOOKUP($A24,'6'!$A:$K,11,0)</f>
        <v>2189</v>
      </c>
      <c r="N24" s="5" t="str">
        <f t="shared" si="0"/>
        <v>RC</v>
      </c>
      <c r="O24" s="5">
        <f t="shared" si="1"/>
        <v>5</v>
      </c>
      <c r="P24" s="5" t="str">
        <f t="shared" si="2"/>
        <v>RC5, 1</v>
      </c>
      <c r="Q24" s="11" t="str">
        <f t="shared" si="3"/>
        <v/>
      </c>
      <c r="R24" s="11" t="str">
        <f t="shared" si="4"/>
        <v xml:space="preserve">1: Error: Reducible RootOf. 2: Error: Reducible RootOf. 4: Error: Reducible RootOf. </v>
      </c>
      <c r="S24" s="12" t="s">
        <v>47</v>
      </c>
      <c r="T24" s="11" t="s">
        <v>63</v>
      </c>
      <c r="U24" s="17">
        <f>U25-SUM(U20:U23)</f>
        <v>402</v>
      </c>
      <c r="V24" s="16">
        <f>U24/$U$25</f>
        <v>1</v>
      </c>
      <c r="W24" s="17">
        <f>W25-SUM(W20:W23)</f>
        <v>274</v>
      </c>
      <c r="X24" s="16">
        <f>W24/$W$25</f>
        <v>0.68159203980099503</v>
      </c>
    </row>
    <row r="25" spans="1:32" hidden="1">
      <c r="A25">
        <v>48</v>
      </c>
      <c r="B25" s="25" t="str">
        <f>VLOOKUP($A25,'1'!$A:$F,6,0)</f>
        <v>TIME OUT</v>
      </c>
      <c r="C25" s="25">
        <f>VLOOKUP($A25,'2'!$A:$F,6,0)</f>
        <v>59051</v>
      </c>
      <c r="D25" s="25">
        <f>VLOOKUP($A25,'3'!$A:$F,6,0)</f>
        <v>12477</v>
      </c>
      <c r="E25" s="25">
        <f>VLOOKUP($A25,'4'!$A:$F,6,0)</f>
        <v>1901</v>
      </c>
      <c r="F25" s="25">
        <f>VLOOKUP($A25,'5'!$A:$F,6,0)</f>
        <v>1015</v>
      </c>
      <c r="G25" s="26">
        <f>VLOOKUP($A25,'6'!$A:$F,6,0)</f>
        <v>2405</v>
      </c>
      <c r="H25" s="25" t="str">
        <f>VLOOKUP($A25,'1'!$A:$K,11,0)</f>
        <v>ERROR: reducible RootOf detected. Substitutions are %1</v>
      </c>
      <c r="I25" s="25">
        <f>VLOOKUP($A25,'2'!$A:$K,11,0)</f>
        <v>59073</v>
      </c>
      <c r="J25" s="25" t="str">
        <f>VLOOKUP($A25,'3'!$A:$K,11,0)</f>
        <v>TIME OUT</v>
      </c>
      <c r="K25" s="25" t="str">
        <f>VLOOKUP($A25,'4'!$A:$K,11,0)</f>
        <v>ERROR: reducible RootOf detected. Substitutions are %1</v>
      </c>
      <c r="L25" s="25">
        <f>VLOOKUP($A25,'5'!$A:$K,11,0)</f>
        <v>5677</v>
      </c>
      <c r="M25" s="25">
        <f>VLOOKUP($A25,'6'!$A:$K,11,0)</f>
        <v>5677</v>
      </c>
      <c r="N25" s="5" t="str">
        <f t="shared" si="0"/>
        <v>RC</v>
      </c>
      <c r="O25" s="5">
        <f t="shared" si="1"/>
        <v>5</v>
      </c>
      <c r="P25" s="5" t="str">
        <f t="shared" si="2"/>
        <v>RC5, 1</v>
      </c>
      <c r="Q25" s="11" t="str">
        <f t="shared" si="3"/>
        <v/>
      </c>
      <c r="R25" s="11" t="str">
        <f t="shared" si="4"/>
        <v xml:space="preserve">1: Error: Reducible RootOf. 4: Error: Reducible RootOf. </v>
      </c>
      <c r="S25" s="12" t="s">
        <v>47</v>
      </c>
      <c r="T25" s="18" t="s">
        <v>39</v>
      </c>
      <c r="U25" s="19">
        <f>COUNTA(B3:G69)</f>
        <v>402</v>
      </c>
      <c r="V25" s="20">
        <f>SUM(V20:V24)</f>
        <v>1</v>
      </c>
      <c r="W25" s="19">
        <f>COUNTA(H3:M69)</f>
        <v>402</v>
      </c>
      <c r="X25" s="20">
        <f>SUM(X20:X24)</f>
        <v>1</v>
      </c>
    </row>
    <row r="26" spans="1:32" hidden="1">
      <c r="A26">
        <v>49</v>
      </c>
      <c r="B26" s="25" t="str">
        <f>VLOOKUP($A26,'1'!$A:$F,6,0)</f>
        <v>TIME OUT</v>
      </c>
      <c r="C26" s="25">
        <f>VLOOKUP($A26,'2'!$A:$F,6,0)</f>
        <v>18171</v>
      </c>
      <c r="D26" s="25">
        <f>VLOOKUP($A26,'3'!$A:$F,6,0)</f>
        <v>5413</v>
      </c>
      <c r="E26" s="25">
        <f>VLOOKUP($A26,'4'!$A:$F,6,0)</f>
        <v>849</v>
      </c>
      <c r="F26" s="25">
        <f>VLOOKUP($A26,'5'!$A:$F,6,0)</f>
        <v>433</v>
      </c>
      <c r="G26" s="26">
        <f>VLOOKUP($A26,'6'!$A:$F,6,0)</f>
        <v>1067</v>
      </c>
      <c r="H26" s="25" t="str">
        <f>VLOOKUP($A26,'1'!$A:$K,11,0)</f>
        <v>ERROR: reducible RootOf detected. Substitutions are %1</v>
      </c>
      <c r="I26" s="25" t="str">
        <f>VLOOKUP($A26,'2'!$A:$K,11,0)</f>
        <v>ERROR: reducible RootOf detected. Substitutions are %1</v>
      </c>
      <c r="J26" s="25">
        <f>VLOOKUP($A26,'3'!$A:$K,11,0)</f>
        <v>5417</v>
      </c>
      <c r="K26" s="25" t="str">
        <f>VLOOKUP($A26,'4'!$A:$K,11,0)</f>
        <v>ERROR: reducible RootOf detected. Substitutions are %1</v>
      </c>
      <c r="L26" s="25">
        <f>VLOOKUP($A26,'5'!$A:$K,11,0)</f>
        <v>2189</v>
      </c>
      <c r="M26" s="25">
        <f>VLOOKUP($A26,'6'!$A:$K,11,0)</f>
        <v>2189</v>
      </c>
      <c r="N26" s="5" t="str">
        <f t="shared" si="0"/>
        <v>RC</v>
      </c>
      <c r="O26" s="5">
        <f t="shared" si="1"/>
        <v>5</v>
      </c>
      <c r="P26" s="5" t="str">
        <f t="shared" si="2"/>
        <v>RC5, 1</v>
      </c>
      <c r="Q26" s="11" t="str">
        <f t="shared" si="3"/>
        <v/>
      </c>
      <c r="R26" s="11" t="str">
        <f t="shared" si="4"/>
        <v xml:space="preserve">1: Error: Reducible RootOf. 2: Error: Reducible RootOf. 4: Error: Reducible RootOf. </v>
      </c>
      <c r="S26" s="12" t="s">
        <v>47</v>
      </c>
      <c r="T26" s="5"/>
    </row>
    <row r="27" spans="1:32" hidden="1">
      <c r="A27">
        <v>67</v>
      </c>
      <c r="B27" s="25">
        <f>VLOOKUP($A27,'1'!$A:$F,6,0)</f>
        <v>189</v>
      </c>
      <c r="C27" s="25">
        <f>VLOOKUP($A27,'2'!$A:$F,6,0)</f>
        <v>177</v>
      </c>
      <c r="D27" s="25">
        <f>VLOOKUP($A27,'3'!$A:$F,6,0)</f>
        <v>177</v>
      </c>
      <c r="E27" s="25">
        <f>VLOOKUP($A27,'4'!$A:$F,6,0)</f>
        <v>65</v>
      </c>
      <c r="F27" s="25">
        <f>VLOOKUP($A27,'5'!$A:$F,6,0)</f>
        <v>177</v>
      </c>
      <c r="G27" s="26">
        <f>VLOOKUP($A27,'6'!$A:$F,6,0)</f>
        <v>177</v>
      </c>
      <c r="H27" s="25">
        <f>VLOOKUP($A27,'1'!$A:$K,11,0)</f>
        <v>189</v>
      </c>
      <c r="I27" s="25">
        <f>VLOOKUP($A27,'2'!$A:$K,11,0)</f>
        <v>177</v>
      </c>
      <c r="J27" s="25">
        <f>VLOOKUP($A27,'3'!$A:$K,11,0)</f>
        <v>177</v>
      </c>
      <c r="K27" s="25">
        <f>VLOOKUP($A27,'4'!$A:$K,11,0)</f>
        <v>189</v>
      </c>
      <c r="L27" s="25">
        <f>VLOOKUP($A27,'5'!$A:$K,11,0)</f>
        <v>177</v>
      </c>
      <c r="M27" s="25">
        <f>VLOOKUP($A27,'6'!$A:$K,11,0)</f>
        <v>177</v>
      </c>
      <c r="N27" s="5" t="str">
        <f t="shared" si="0"/>
        <v>RC</v>
      </c>
      <c r="O27" s="5">
        <f t="shared" si="1"/>
        <v>4</v>
      </c>
      <c r="P27" s="5" t="str">
        <f t="shared" si="2"/>
        <v>RC4, 1</v>
      </c>
      <c r="Q27" s="11" t="str">
        <f t="shared" si="3"/>
        <v/>
      </c>
      <c r="R27" s="11" t="str">
        <f t="shared" si="4"/>
        <v/>
      </c>
      <c r="S27" s="12" t="s">
        <v>47</v>
      </c>
      <c r="T27" s="5"/>
    </row>
    <row r="28" spans="1:32" hidden="1">
      <c r="A28">
        <v>69</v>
      </c>
      <c r="B28" s="25">
        <f>VLOOKUP($A28,'1'!$A:$F,6,0)</f>
        <v>189</v>
      </c>
      <c r="C28" s="25">
        <f>VLOOKUP($A28,'2'!$A:$F,6,0)</f>
        <v>177</v>
      </c>
      <c r="D28" s="25">
        <f>VLOOKUP($A28,'3'!$A:$F,6,0)</f>
        <v>177</v>
      </c>
      <c r="E28" s="25">
        <f>VLOOKUP($A28,'4'!$A:$F,6,0)</f>
        <v>65</v>
      </c>
      <c r="F28" s="25">
        <f>VLOOKUP($A28,'5'!$A:$F,6,0)</f>
        <v>159</v>
      </c>
      <c r="G28" s="26">
        <f>VLOOKUP($A28,'6'!$A:$F,6,0)</f>
        <v>159</v>
      </c>
      <c r="H28" s="25">
        <f>VLOOKUP($A28,'1'!$A:$K,11,0)</f>
        <v>189</v>
      </c>
      <c r="I28" s="25">
        <f>VLOOKUP($A28,'2'!$A:$K,11,0)</f>
        <v>177</v>
      </c>
      <c r="J28" s="25">
        <f>VLOOKUP($A28,'3'!$A:$K,11,0)</f>
        <v>177</v>
      </c>
      <c r="K28" s="25">
        <f>VLOOKUP($A28,'4'!$A:$K,11,0)</f>
        <v>189</v>
      </c>
      <c r="L28" s="25">
        <f>VLOOKUP($A28,'5'!$A:$K,11,0)</f>
        <v>177</v>
      </c>
      <c r="M28" s="25">
        <f>VLOOKUP($A28,'6'!$A:$K,11,0)</f>
        <v>177</v>
      </c>
      <c r="N28" s="5" t="str">
        <f t="shared" si="0"/>
        <v>RC</v>
      </c>
      <c r="O28" s="5">
        <f t="shared" si="1"/>
        <v>4</v>
      </c>
      <c r="P28" s="5" t="str">
        <f t="shared" si="2"/>
        <v>RC4, 1</v>
      </c>
      <c r="Q28" s="11" t="str">
        <f t="shared" si="3"/>
        <v/>
      </c>
      <c r="R28" s="11" t="str">
        <f t="shared" si="4"/>
        <v/>
      </c>
      <c r="S28" s="12" t="s">
        <v>47</v>
      </c>
      <c r="T28" s="5"/>
    </row>
    <row r="29" spans="1:32" hidden="1">
      <c r="A29">
        <v>70</v>
      </c>
      <c r="B29" s="25">
        <f>VLOOKUP($A29,'1'!$A:$F,6,0)</f>
        <v>327</v>
      </c>
      <c r="C29" s="25">
        <f>VLOOKUP($A29,'2'!$A:$F,6,0)</f>
        <v>327</v>
      </c>
      <c r="D29" s="25">
        <f>VLOOKUP($A29,'3'!$A:$F,6,0)</f>
        <v>327</v>
      </c>
      <c r="E29" s="25">
        <f>VLOOKUP($A29,'4'!$A:$F,6,0)</f>
        <v>111</v>
      </c>
      <c r="F29" s="25">
        <f>VLOOKUP($A29,'5'!$A:$F,6,0)</f>
        <v>327</v>
      </c>
      <c r="G29" s="26">
        <f>VLOOKUP($A29,'6'!$A:$F,6,0)</f>
        <v>327</v>
      </c>
      <c r="H29" s="25">
        <f>VLOOKUP($A29,'1'!$A:$K,11,0)</f>
        <v>327</v>
      </c>
      <c r="I29" s="25">
        <f>VLOOKUP($A29,'2'!$A:$K,11,0)</f>
        <v>327</v>
      </c>
      <c r="J29" s="25">
        <f>VLOOKUP($A29,'3'!$A:$K,11,0)</f>
        <v>327</v>
      </c>
      <c r="K29" s="25">
        <f>VLOOKUP($A29,'4'!$A:$K,11,0)</f>
        <v>327</v>
      </c>
      <c r="L29" s="25">
        <f>VLOOKUP($A29,'5'!$A:$K,11,0)</f>
        <v>327</v>
      </c>
      <c r="M29" s="25">
        <f>VLOOKUP($A29,'6'!$A:$K,11,0)</f>
        <v>327</v>
      </c>
      <c r="N29" s="5" t="str">
        <f t="shared" si="0"/>
        <v>RC</v>
      </c>
      <c r="O29" s="5">
        <f t="shared" si="1"/>
        <v>4</v>
      </c>
      <c r="P29" s="5" t="str">
        <f t="shared" si="2"/>
        <v>RC4, 1</v>
      </c>
      <c r="Q29" s="11" t="str">
        <f t="shared" si="3"/>
        <v/>
      </c>
      <c r="R29" s="11" t="str">
        <f t="shared" si="4"/>
        <v/>
      </c>
      <c r="S29" s="12" t="s">
        <v>47</v>
      </c>
      <c r="T29" s="5"/>
    </row>
    <row r="30" spans="1:32" hidden="1">
      <c r="A30">
        <v>72</v>
      </c>
      <c r="B30" s="25">
        <f>VLOOKUP($A30,'1'!$A:$F,6,0)</f>
        <v>327</v>
      </c>
      <c r="C30" s="25">
        <f>VLOOKUP($A30,'2'!$A:$F,6,0)</f>
        <v>327</v>
      </c>
      <c r="D30" s="25">
        <f>VLOOKUP($A30,'3'!$A:$F,6,0)</f>
        <v>327</v>
      </c>
      <c r="E30" s="25">
        <f>VLOOKUP($A30,'4'!$A:$F,6,0)</f>
        <v>111</v>
      </c>
      <c r="F30" s="25">
        <f>VLOOKUP($A30,'5'!$A:$F,6,0)</f>
        <v>301</v>
      </c>
      <c r="G30" s="26">
        <f>VLOOKUP($A30,'6'!$A:$F,6,0)</f>
        <v>301</v>
      </c>
      <c r="H30" s="25">
        <f>VLOOKUP($A30,'1'!$A:$K,11,0)</f>
        <v>327</v>
      </c>
      <c r="I30" s="25">
        <f>VLOOKUP($A30,'2'!$A:$K,11,0)</f>
        <v>327</v>
      </c>
      <c r="J30" s="25">
        <f>VLOOKUP($A30,'3'!$A:$K,11,0)</f>
        <v>327</v>
      </c>
      <c r="K30" s="25">
        <f>VLOOKUP($A30,'4'!$A:$K,11,0)</f>
        <v>327</v>
      </c>
      <c r="L30" s="25">
        <f>VLOOKUP($A30,'5'!$A:$K,11,0)</f>
        <v>327</v>
      </c>
      <c r="M30" s="25">
        <f>VLOOKUP($A30,'6'!$A:$K,11,0)</f>
        <v>327</v>
      </c>
      <c r="N30" s="5" t="str">
        <f t="shared" si="0"/>
        <v>RC</v>
      </c>
      <c r="O30" s="5">
        <f t="shared" si="1"/>
        <v>4</v>
      </c>
      <c r="P30" s="5" t="str">
        <f t="shared" si="2"/>
        <v>RC4, 1</v>
      </c>
      <c r="Q30" s="11" t="str">
        <f t="shared" si="3"/>
        <v/>
      </c>
      <c r="R30" s="11" t="str">
        <f t="shared" si="4"/>
        <v/>
      </c>
      <c r="S30" s="12" t="s">
        <v>47</v>
      </c>
      <c r="T30" s="5"/>
    </row>
    <row r="31" spans="1:32" hidden="1">
      <c r="A31">
        <v>73</v>
      </c>
      <c r="B31" s="25">
        <f>VLOOKUP($A31,'1'!$A:$F,6,0)</f>
        <v>327</v>
      </c>
      <c r="C31" s="25">
        <f>VLOOKUP($A31,'2'!$A:$F,6,0)</f>
        <v>327</v>
      </c>
      <c r="D31" s="25">
        <f>VLOOKUP($A31,'3'!$A:$F,6,0)</f>
        <v>327</v>
      </c>
      <c r="E31" s="25">
        <f>VLOOKUP($A31,'4'!$A:$F,6,0)</f>
        <v>111</v>
      </c>
      <c r="F31" s="25">
        <f>VLOOKUP($A31,'5'!$A:$F,6,0)</f>
        <v>327</v>
      </c>
      <c r="G31" s="26">
        <f>VLOOKUP($A31,'6'!$A:$F,6,0)</f>
        <v>327</v>
      </c>
      <c r="H31" s="25">
        <f>VLOOKUP($A31,'1'!$A:$K,11,0)</f>
        <v>327</v>
      </c>
      <c r="I31" s="25">
        <f>VLOOKUP($A31,'2'!$A:$K,11,0)</f>
        <v>327</v>
      </c>
      <c r="J31" s="25">
        <f>VLOOKUP($A31,'3'!$A:$K,11,0)</f>
        <v>327</v>
      </c>
      <c r="K31" s="25">
        <f>VLOOKUP($A31,'4'!$A:$K,11,0)</f>
        <v>327</v>
      </c>
      <c r="L31" s="25">
        <f>VLOOKUP($A31,'5'!$A:$K,11,0)</f>
        <v>327</v>
      </c>
      <c r="M31" s="25">
        <f>VLOOKUP($A31,'6'!$A:$K,11,0)</f>
        <v>327</v>
      </c>
      <c r="N31" s="5" t="str">
        <f t="shared" si="0"/>
        <v>RC</v>
      </c>
      <c r="O31" s="5">
        <f t="shared" si="1"/>
        <v>4</v>
      </c>
      <c r="P31" s="5" t="str">
        <f t="shared" si="2"/>
        <v>RC4, 1</v>
      </c>
      <c r="Q31" s="11" t="str">
        <f t="shared" si="3"/>
        <v/>
      </c>
      <c r="R31" s="11" t="str">
        <f t="shared" si="4"/>
        <v/>
      </c>
      <c r="S31" s="12" t="s">
        <v>47</v>
      </c>
      <c r="T31" s="11" t="s">
        <v>55</v>
      </c>
      <c r="U31" t="s">
        <v>64</v>
      </c>
    </row>
    <row r="32" spans="1:32" hidden="1">
      <c r="A32">
        <v>75</v>
      </c>
      <c r="B32" s="25">
        <f>VLOOKUP($A32,'1'!$A:$F,6,0)</f>
        <v>13005</v>
      </c>
      <c r="C32" s="25">
        <f>VLOOKUP($A32,'2'!$A:$F,6,0)</f>
        <v>13731</v>
      </c>
      <c r="D32" s="25">
        <f>VLOOKUP($A32,'3'!$A:$F,6,0)</f>
        <v>3849</v>
      </c>
      <c r="E32" s="25">
        <f>VLOOKUP($A32,'4'!$A:$F,6,0)</f>
        <v>227</v>
      </c>
      <c r="F32" s="25">
        <f>VLOOKUP($A32,'5'!$A:$F,6,0)</f>
        <v>195</v>
      </c>
      <c r="G32" s="26">
        <f>VLOOKUP($A32,'6'!$A:$F,6,0)</f>
        <v>673</v>
      </c>
      <c r="H32" s="25" t="str">
        <f>VLOOKUP($A32,'1'!$A:$K,11,0)</f>
        <v>TIME OUT</v>
      </c>
      <c r="I32" s="25" t="str">
        <f>VLOOKUP($A32,'2'!$A:$K,11,0)</f>
        <v>ERROR: reducible RootOf detected. Substitutions are %1</v>
      </c>
      <c r="J32" s="25">
        <f>VLOOKUP($A32,'3'!$A:$K,11,0)</f>
        <v>3851</v>
      </c>
      <c r="K32" s="25" t="str">
        <f>VLOOKUP($A32,'4'!$A:$K,11,0)</f>
        <v>TIME OUT</v>
      </c>
      <c r="L32" s="25">
        <f>VLOOKUP($A32,'5'!$A:$K,11,0)</f>
        <v>1131</v>
      </c>
      <c r="M32" s="25">
        <f>VLOOKUP($A32,'6'!$A:$K,11,0)</f>
        <v>1259</v>
      </c>
      <c r="N32" s="5" t="str">
        <f t="shared" si="0"/>
        <v>RC</v>
      </c>
      <c r="O32" s="5">
        <f t="shared" si="1"/>
        <v>5</v>
      </c>
      <c r="P32" s="5" t="str">
        <f t="shared" si="2"/>
        <v>RC5, 1</v>
      </c>
      <c r="Q32" s="11" t="str">
        <f t="shared" si="3"/>
        <v/>
      </c>
      <c r="R32" s="11" t="str">
        <f t="shared" si="4"/>
        <v xml:space="preserve">2: Error: Reducible RootOf. </v>
      </c>
      <c r="S32" s="12" t="s">
        <v>47</v>
      </c>
      <c r="T32" s="11" t="s">
        <v>57</v>
      </c>
      <c r="U32" t="s">
        <v>65</v>
      </c>
    </row>
    <row r="33" spans="1:21">
      <c r="A33">
        <v>76</v>
      </c>
      <c r="B33" s="25">
        <f>VLOOKUP($A33,'1'!$A:$F,6,0)</f>
        <v>9</v>
      </c>
      <c r="C33" s="25">
        <f>VLOOKUP($A33,'2'!$A:$F,6,0)</f>
        <v>9</v>
      </c>
      <c r="D33" s="25">
        <f>VLOOKUP($A33,'3'!$A:$F,6,0)</f>
        <v>9</v>
      </c>
      <c r="E33" s="25">
        <f>VLOOKUP($A33,'4'!$A:$F,6,0)</f>
        <v>9</v>
      </c>
      <c r="F33" s="25">
        <f>VLOOKUP($A33,'5'!$A:$F,6,0)</f>
        <v>9</v>
      </c>
      <c r="G33" s="26">
        <f>VLOOKUP($A33,'6'!$A:$F,6,0)</f>
        <v>9</v>
      </c>
      <c r="H33" s="25">
        <f>VLOOKUP($A33,'1'!$A:$K,11,0)</f>
        <v>57</v>
      </c>
      <c r="I33" s="25">
        <f>VLOOKUP($A33,'2'!$A:$K,11,0)</f>
        <v>57</v>
      </c>
      <c r="J33" s="25">
        <f>VLOOKUP($A33,'3'!$A:$K,11,0)</f>
        <v>57</v>
      </c>
      <c r="K33" s="25">
        <f>VLOOKUP($A33,'4'!$A:$K,11,0)</f>
        <v>57</v>
      </c>
      <c r="L33" s="25">
        <f>VLOOKUP($A33,'5'!$A:$K,11,0)</f>
        <v>57</v>
      </c>
      <c r="M33" s="25">
        <f>VLOOKUP($A33,'6'!$A:$K,11,0)</f>
        <v>57</v>
      </c>
      <c r="N33" s="5" t="str">
        <f t="shared" si="0"/>
        <v>RC</v>
      </c>
      <c r="O33" s="5">
        <f t="shared" si="1"/>
        <v>1</v>
      </c>
      <c r="P33" s="5" t="s">
        <v>144</v>
      </c>
      <c r="Q33" s="11" t="str">
        <f t="shared" si="3"/>
        <v/>
      </c>
      <c r="R33" s="11" t="str">
        <f t="shared" si="4"/>
        <v/>
      </c>
      <c r="S33" s="12" t="s">
        <v>47</v>
      </c>
      <c r="T33" s="11" t="s">
        <v>59</v>
      </c>
      <c r="U33" t="s">
        <v>66</v>
      </c>
    </row>
    <row r="34" spans="1:21" hidden="1">
      <c r="A34">
        <v>77</v>
      </c>
      <c r="B34" s="25">
        <f>VLOOKUP($A34,'1'!$A:$F,6,0)</f>
        <v>13005</v>
      </c>
      <c r="C34" s="25">
        <f>VLOOKUP($A34,'2'!$A:$F,6,0)</f>
        <v>13731</v>
      </c>
      <c r="D34" s="25">
        <f>VLOOKUP($A34,'3'!$A:$F,6,0)</f>
        <v>3849</v>
      </c>
      <c r="E34" s="25">
        <f>VLOOKUP($A34,'4'!$A:$F,6,0)</f>
        <v>235</v>
      </c>
      <c r="F34" s="25">
        <f>VLOOKUP($A34,'5'!$A:$F,6,0)</f>
        <v>195</v>
      </c>
      <c r="G34" s="26">
        <f>VLOOKUP($A34,'6'!$A:$F,6,0)</f>
        <v>653</v>
      </c>
      <c r="H34" s="25" t="str">
        <f>VLOOKUP($A34,'1'!$A:$K,11,0)</f>
        <v>TIME OUT</v>
      </c>
      <c r="I34" s="25" t="str">
        <f>VLOOKUP($A34,'2'!$A:$K,11,0)</f>
        <v>ERROR: reducible RootOf detected. Substitutions are %1</v>
      </c>
      <c r="J34" s="25">
        <f>VLOOKUP($A34,'3'!$A:$K,11,0)</f>
        <v>3851</v>
      </c>
      <c r="K34" s="25" t="str">
        <f>VLOOKUP($A34,'4'!$A:$K,11,0)</f>
        <v>TIME OUT</v>
      </c>
      <c r="L34" s="25">
        <f>VLOOKUP($A34,'5'!$A:$K,11,0)</f>
        <v>1131</v>
      </c>
      <c r="M34" s="25">
        <f>VLOOKUP($A34,'6'!$A:$K,11,0)</f>
        <v>1259</v>
      </c>
      <c r="N34" s="5" t="str">
        <f t="shared" si="0"/>
        <v>RC</v>
      </c>
      <c r="O34" s="5">
        <f t="shared" si="1"/>
        <v>5</v>
      </c>
      <c r="P34" s="5" t="str">
        <f t="shared" si="2"/>
        <v>RC5, 1</v>
      </c>
      <c r="Q34" s="11" t="str">
        <f t="shared" si="3"/>
        <v/>
      </c>
      <c r="R34" s="11" t="str">
        <f t="shared" si="4"/>
        <v xml:space="preserve">2: Error: Reducible RootOf. </v>
      </c>
      <c r="S34" s="12" t="s">
        <v>47</v>
      </c>
      <c r="T34" s="11" t="s">
        <v>61</v>
      </c>
      <c r="U34" t="s">
        <v>67</v>
      </c>
    </row>
    <row r="35" spans="1:21" hidden="1">
      <c r="A35">
        <v>78</v>
      </c>
      <c r="B35" s="25">
        <f>VLOOKUP($A35,'1'!$A:$F,6,0)</f>
        <v>13005</v>
      </c>
      <c r="C35" s="25">
        <f>VLOOKUP($A35,'2'!$A:$F,6,0)</f>
        <v>13731</v>
      </c>
      <c r="D35" s="25">
        <f>VLOOKUP($A35,'3'!$A:$F,6,0)</f>
        <v>2987</v>
      </c>
      <c r="E35" s="25">
        <f>VLOOKUP($A35,'4'!$A:$F,6,0)</f>
        <v>235</v>
      </c>
      <c r="F35" s="25">
        <f>VLOOKUP($A35,'5'!$A:$F,6,0)</f>
        <v>195</v>
      </c>
      <c r="G35" s="26">
        <f>VLOOKUP($A35,'6'!$A:$F,6,0)</f>
        <v>579</v>
      </c>
      <c r="H35" s="25" t="str">
        <f>VLOOKUP($A35,'1'!$A:$K,11,0)</f>
        <v>TIME OUT</v>
      </c>
      <c r="I35" s="25" t="str">
        <f>VLOOKUP($A35,'2'!$A:$K,11,0)</f>
        <v>ERROR: reducible RootOf detected. Substitutions are %1</v>
      </c>
      <c r="J35" s="25">
        <f>VLOOKUP($A35,'3'!$A:$K,11,0)</f>
        <v>2991</v>
      </c>
      <c r="K35" s="25" t="str">
        <f>VLOOKUP($A35,'4'!$A:$K,11,0)</f>
        <v>TIME OUT</v>
      </c>
      <c r="L35" s="25">
        <f>VLOOKUP($A35,'5'!$A:$K,11,0)</f>
        <v>1131</v>
      </c>
      <c r="M35" s="25">
        <f>VLOOKUP($A35,'6'!$A:$K,11,0)</f>
        <v>1131</v>
      </c>
      <c r="N35" s="5" t="str">
        <f t="shared" si="0"/>
        <v>RC</v>
      </c>
      <c r="O35" s="5">
        <f t="shared" si="1"/>
        <v>5</v>
      </c>
      <c r="P35" s="5" t="str">
        <f t="shared" si="2"/>
        <v>RC5, 1</v>
      </c>
      <c r="Q35" s="11" t="str">
        <f t="shared" si="3"/>
        <v/>
      </c>
      <c r="R35" s="11" t="str">
        <f t="shared" si="4"/>
        <v xml:space="preserve">2: Error: Reducible RootOf. </v>
      </c>
      <c r="S35" s="12" t="s">
        <v>47</v>
      </c>
      <c r="T35" s="5"/>
    </row>
    <row r="36" spans="1:21" hidden="1">
      <c r="A36">
        <v>79</v>
      </c>
      <c r="B36" s="25">
        <f>VLOOKUP($A36,'1'!$A:$F,6,0)</f>
        <v>13005</v>
      </c>
      <c r="C36" s="25">
        <f>VLOOKUP($A36,'2'!$A:$F,6,0)</f>
        <v>13731</v>
      </c>
      <c r="D36" s="25">
        <f>VLOOKUP($A36,'3'!$A:$F,6,0)</f>
        <v>2987</v>
      </c>
      <c r="E36" s="25">
        <f>VLOOKUP($A36,'4'!$A:$F,6,0)</f>
        <v>235</v>
      </c>
      <c r="F36" s="25">
        <f>VLOOKUP($A36,'5'!$A:$F,6,0)</f>
        <v>195</v>
      </c>
      <c r="G36" s="26">
        <f>VLOOKUP($A36,'6'!$A:$F,6,0)</f>
        <v>525</v>
      </c>
      <c r="H36" s="25" t="str">
        <f>VLOOKUP($A36,'1'!$A:$K,11,0)</f>
        <v>TIME OUT</v>
      </c>
      <c r="I36" s="25" t="str">
        <f>VLOOKUP($A36,'2'!$A:$K,11,0)</f>
        <v>ERROR: reducible RootOf detected. Substitutions are %1</v>
      </c>
      <c r="J36" s="25">
        <f>VLOOKUP($A36,'3'!$A:$K,11,0)</f>
        <v>2991</v>
      </c>
      <c r="K36" s="25" t="str">
        <f>VLOOKUP($A36,'4'!$A:$K,11,0)</f>
        <v>TIME OUT</v>
      </c>
      <c r="L36" s="25">
        <f>VLOOKUP($A36,'5'!$A:$K,11,0)</f>
        <v>1131</v>
      </c>
      <c r="M36" s="25">
        <f>VLOOKUP($A36,'6'!$A:$K,11,0)</f>
        <v>1131</v>
      </c>
      <c r="N36" s="5" t="str">
        <f t="shared" si="0"/>
        <v>RC</v>
      </c>
      <c r="O36" s="5">
        <f t="shared" si="1"/>
        <v>5</v>
      </c>
      <c r="P36" s="5" t="str">
        <f t="shared" si="2"/>
        <v>RC5, 1</v>
      </c>
      <c r="Q36" s="11" t="str">
        <f t="shared" si="3"/>
        <v/>
      </c>
      <c r="R36" s="11" t="str">
        <f t="shared" si="4"/>
        <v xml:space="preserve">2: Error: Reducible RootOf. </v>
      </c>
      <c r="S36" s="12" t="s">
        <v>47</v>
      </c>
      <c r="T36" s="5"/>
    </row>
    <row r="37" spans="1:21" hidden="1">
      <c r="A37">
        <v>80</v>
      </c>
      <c r="B37" s="25">
        <f>VLOOKUP($A37,'1'!$A:$F,6,0)</f>
        <v>13005</v>
      </c>
      <c r="C37" s="25">
        <f>VLOOKUP($A37,'2'!$A:$F,6,0)</f>
        <v>13731</v>
      </c>
      <c r="D37" s="25">
        <f>VLOOKUP($A37,'3'!$A:$F,6,0)</f>
        <v>3849</v>
      </c>
      <c r="E37" s="25">
        <f>VLOOKUP($A37,'4'!$A:$F,6,0)</f>
        <v>227</v>
      </c>
      <c r="F37" s="25">
        <f>VLOOKUP($A37,'5'!$A:$F,6,0)</f>
        <v>195</v>
      </c>
      <c r="G37" s="26">
        <f>VLOOKUP($A37,'6'!$A:$F,6,0)</f>
        <v>673</v>
      </c>
      <c r="H37" s="25" t="str">
        <f>VLOOKUP($A37,'1'!$A:$K,11,0)</f>
        <v>TIME OUT</v>
      </c>
      <c r="I37" s="25" t="str">
        <f>VLOOKUP($A37,'2'!$A:$K,11,0)</f>
        <v>ERROR: reducible RootOf detected. Substitutions are %1</v>
      </c>
      <c r="J37" s="25">
        <f>VLOOKUP($A37,'3'!$A:$K,11,0)</f>
        <v>3851</v>
      </c>
      <c r="K37" s="25" t="str">
        <f>VLOOKUP($A37,'4'!$A:$K,11,0)</f>
        <v>TIME OUT</v>
      </c>
      <c r="L37" s="25">
        <f>VLOOKUP($A37,'5'!$A:$K,11,0)</f>
        <v>1131</v>
      </c>
      <c r="M37" s="25">
        <f>VLOOKUP($A37,'6'!$A:$K,11,0)</f>
        <v>1259</v>
      </c>
      <c r="N37" s="5" t="str">
        <f t="shared" si="0"/>
        <v>RC</v>
      </c>
      <c r="O37" s="5">
        <f t="shared" si="1"/>
        <v>5</v>
      </c>
      <c r="P37" s="5" t="str">
        <f t="shared" si="2"/>
        <v>RC5, 1</v>
      </c>
      <c r="Q37" s="11" t="str">
        <f t="shared" si="3"/>
        <v/>
      </c>
      <c r="R37" s="11" t="str">
        <f t="shared" si="4"/>
        <v xml:space="preserve">2: Error: Reducible RootOf. </v>
      </c>
      <c r="S37" s="12" t="s">
        <v>47</v>
      </c>
      <c r="T37" s="5"/>
    </row>
    <row r="38" spans="1:21">
      <c r="A38">
        <v>81</v>
      </c>
      <c r="B38" s="25">
        <f>VLOOKUP($A38,'1'!$A:$F,6,0)</f>
        <v>9</v>
      </c>
      <c r="C38" s="25">
        <f>VLOOKUP($A38,'2'!$A:$F,6,0)</f>
        <v>9</v>
      </c>
      <c r="D38" s="25">
        <f>VLOOKUP($A38,'3'!$A:$F,6,0)</f>
        <v>9</v>
      </c>
      <c r="E38" s="25">
        <f>VLOOKUP($A38,'4'!$A:$F,6,0)</f>
        <v>9</v>
      </c>
      <c r="F38" s="25">
        <f>VLOOKUP($A38,'5'!$A:$F,6,0)</f>
        <v>9</v>
      </c>
      <c r="G38" s="26">
        <f>VLOOKUP($A38,'6'!$A:$F,6,0)</f>
        <v>9</v>
      </c>
      <c r="H38" s="25">
        <f>VLOOKUP($A38,'1'!$A:$K,11,0)</f>
        <v>57</v>
      </c>
      <c r="I38" s="25">
        <f>VLOOKUP($A38,'2'!$A:$K,11,0)</f>
        <v>57</v>
      </c>
      <c r="J38" s="25">
        <f>VLOOKUP($A38,'3'!$A:$K,11,0)</f>
        <v>57</v>
      </c>
      <c r="K38" s="25">
        <f>VLOOKUP($A38,'4'!$A:$K,11,0)</f>
        <v>57</v>
      </c>
      <c r="L38" s="25">
        <f>VLOOKUP($A38,'5'!$A:$K,11,0)</f>
        <v>57</v>
      </c>
      <c r="M38" s="25">
        <f>VLOOKUP($A38,'6'!$A:$K,11,0)</f>
        <v>57</v>
      </c>
      <c r="N38" s="5" t="str">
        <f t="shared" si="0"/>
        <v>RC</v>
      </c>
      <c r="O38" s="5">
        <f t="shared" si="1"/>
        <v>1</v>
      </c>
      <c r="P38" s="5" t="s">
        <v>144</v>
      </c>
      <c r="Q38" s="11" t="str">
        <f t="shared" si="3"/>
        <v/>
      </c>
      <c r="R38" s="11" t="str">
        <f t="shared" si="4"/>
        <v/>
      </c>
      <c r="S38" s="12" t="s">
        <v>47</v>
      </c>
      <c r="T38" s="5"/>
    </row>
    <row r="39" spans="1:21" hidden="1">
      <c r="A39">
        <v>82</v>
      </c>
      <c r="B39" s="25">
        <f>VLOOKUP($A39,'1'!$A:$F,6,0)</f>
        <v>13005</v>
      </c>
      <c r="C39" s="25">
        <f>VLOOKUP($A39,'2'!$A:$F,6,0)</f>
        <v>13731</v>
      </c>
      <c r="D39" s="25">
        <f>VLOOKUP($A39,'3'!$A:$F,6,0)</f>
        <v>3849</v>
      </c>
      <c r="E39" s="25">
        <f>VLOOKUP($A39,'4'!$A:$F,6,0)</f>
        <v>235</v>
      </c>
      <c r="F39" s="25">
        <f>VLOOKUP($A39,'5'!$A:$F,6,0)</f>
        <v>195</v>
      </c>
      <c r="G39" s="26">
        <f>VLOOKUP($A39,'6'!$A:$F,6,0)</f>
        <v>653</v>
      </c>
      <c r="H39" s="25" t="str">
        <f>VLOOKUP($A39,'1'!$A:$K,11,0)</f>
        <v>TIME OUT</v>
      </c>
      <c r="I39" s="25" t="str">
        <f>VLOOKUP($A39,'2'!$A:$K,11,0)</f>
        <v>ERROR: reducible RootOf detected. Substitutions are %1</v>
      </c>
      <c r="J39" s="25">
        <f>VLOOKUP($A39,'3'!$A:$K,11,0)</f>
        <v>3851</v>
      </c>
      <c r="K39" s="25" t="str">
        <f>VLOOKUP($A39,'4'!$A:$K,11,0)</f>
        <v>TIME OUT</v>
      </c>
      <c r="L39" s="25">
        <f>VLOOKUP($A39,'5'!$A:$K,11,0)</f>
        <v>1131</v>
      </c>
      <c r="M39" s="25">
        <f>VLOOKUP($A39,'6'!$A:$K,11,0)</f>
        <v>1259</v>
      </c>
      <c r="N39" s="5" t="str">
        <f t="shared" si="0"/>
        <v>RC</v>
      </c>
      <c r="O39" s="5">
        <f t="shared" si="1"/>
        <v>5</v>
      </c>
      <c r="P39" s="5" t="str">
        <f t="shared" si="2"/>
        <v>RC5, 1</v>
      </c>
      <c r="Q39" s="11" t="str">
        <f t="shared" si="3"/>
        <v/>
      </c>
      <c r="R39" s="11" t="str">
        <f t="shared" si="4"/>
        <v xml:space="preserve">2: Error: Reducible RootOf. </v>
      </c>
      <c r="S39" s="12" t="s">
        <v>47</v>
      </c>
      <c r="T39" s="5"/>
    </row>
    <row r="40" spans="1:21" hidden="1">
      <c r="A40">
        <v>83</v>
      </c>
      <c r="B40" s="25">
        <f>VLOOKUP($A40,'1'!$A:$F,6,0)</f>
        <v>13005</v>
      </c>
      <c r="C40" s="25">
        <f>VLOOKUP($A40,'2'!$A:$F,6,0)</f>
        <v>13731</v>
      </c>
      <c r="D40" s="25">
        <f>VLOOKUP($A40,'3'!$A:$F,6,0)</f>
        <v>3849</v>
      </c>
      <c r="E40" s="25">
        <f>VLOOKUP($A40,'4'!$A:$F,6,0)</f>
        <v>235</v>
      </c>
      <c r="F40" s="25">
        <f>VLOOKUP($A40,'5'!$A:$F,6,0)</f>
        <v>195</v>
      </c>
      <c r="G40" s="26">
        <f>VLOOKUP($A40,'6'!$A:$F,6,0)</f>
        <v>699</v>
      </c>
      <c r="H40" s="25" t="str">
        <f>VLOOKUP($A40,'1'!$A:$K,11,0)</f>
        <v>TIME OUT</v>
      </c>
      <c r="I40" s="25" t="str">
        <f>VLOOKUP($A40,'2'!$A:$K,11,0)</f>
        <v>ERROR: reducible RootOf detected. Substitutions are %1</v>
      </c>
      <c r="J40" s="25">
        <f>VLOOKUP($A40,'3'!$A:$K,11,0)</f>
        <v>3851</v>
      </c>
      <c r="K40" s="25" t="str">
        <f>VLOOKUP($A40,'4'!$A:$K,11,0)</f>
        <v>TIME OUT</v>
      </c>
      <c r="L40" s="25">
        <f>VLOOKUP($A40,'5'!$A:$K,11,0)</f>
        <v>1131</v>
      </c>
      <c r="M40" s="25">
        <f>VLOOKUP($A40,'6'!$A:$K,11,0)</f>
        <v>1259</v>
      </c>
      <c r="N40" s="5" t="str">
        <f t="shared" si="0"/>
        <v>RC</v>
      </c>
      <c r="O40" s="5">
        <f t="shared" si="1"/>
        <v>5</v>
      </c>
      <c r="P40" s="5" t="str">
        <f t="shared" si="2"/>
        <v>RC5, 1</v>
      </c>
      <c r="Q40" s="11" t="str">
        <f t="shared" si="3"/>
        <v/>
      </c>
      <c r="R40" s="11" t="str">
        <f t="shared" si="4"/>
        <v xml:space="preserve">2: Error: Reducible RootOf. </v>
      </c>
      <c r="S40" s="12" t="s">
        <v>47</v>
      </c>
      <c r="T40" s="5"/>
    </row>
    <row r="41" spans="1:21" hidden="1">
      <c r="A41">
        <v>84</v>
      </c>
      <c r="B41" s="25">
        <f>VLOOKUP($A41,'1'!$A:$F,6,0)</f>
        <v>13005</v>
      </c>
      <c r="C41" s="25">
        <f>VLOOKUP($A41,'2'!$A:$F,6,0)</f>
        <v>13731</v>
      </c>
      <c r="D41" s="25">
        <f>VLOOKUP($A41,'3'!$A:$F,6,0)</f>
        <v>3849</v>
      </c>
      <c r="E41" s="25">
        <f>VLOOKUP($A41,'4'!$A:$F,6,0)</f>
        <v>235</v>
      </c>
      <c r="F41" s="25">
        <f>VLOOKUP($A41,'5'!$A:$F,6,0)</f>
        <v>195</v>
      </c>
      <c r="G41" s="26">
        <f>VLOOKUP($A41,'6'!$A:$F,6,0)</f>
        <v>653</v>
      </c>
      <c r="H41" s="25" t="str">
        <f>VLOOKUP($A41,'1'!$A:$K,11,0)</f>
        <v>TIME OUT</v>
      </c>
      <c r="I41" s="25" t="str">
        <f>VLOOKUP($A41,'2'!$A:$K,11,0)</f>
        <v>ERROR: reducible RootOf detected. Substitutions are %1</v>
      </c>
      <c r="J41" s="25">
        <f>VLOOKUP($A41,'3'!$A:$K,11,0)</f>
        <v>3851</v>
      </c>
      <c r="K41" s="25" t="str">
        <f>VLOOKUP($A41,'4'!$A:$K,11,0)</f>
        <v>TIME OUT</v>
      </c>
      <c r="L41" s="25">
        <f>VLOOKUP($A41,'5'!$A:$K,11,0)</f>
        <v>1131</v>
      </c>
      <c r="M41" s="25">
        <f>VLOOKUP($A41,'6'!$A:$K,11,0)</f>
        <v>1259</v>
      </c>
      <c r="N41" s="5" t="str">
        <f t="shared" si="0"/>
        <v>RC</v>
      </c>
      <c r="O41" s="5">
        <f t="shared" si="1"/>
        <v>5</v>
      </c>
      <c r="P41" s="5" t="str">
        <f t="shared" si="2"/>
        <v>RC5, 1</v>
      </c>
      <c r="Q41" s="11" t="str">
        <f t="shared" si="3"/>
        <v/>
      </c>
      <c r="R41" s="11" t="str">
        <f t="shared" si="4"/>
        <v xml:space="preserve">2: Error: Reducible RootOf. </v>
      </c>
      <c r="S41" s="12" t="s">
        <v>47</v>
      </c>
      <c r="T41" s="5"/>
    </row>
    <row r="42" spans="1:21" hidden="1">
      <c r="A42">
        <v>86</v>
      </c>
      <c r="B42" s="25">
        <f>VLOOKUP($A42,'1'!$A:$F,6,0)</f>
        <v>130067</v>
      </c>
      <c r="C42" s="25">
        <f>VLOOKUP($A42,'2'!$A:$F,6,0)</f>
        <v>57809</v>
      </c>
      <c r="D42" s="25">
        <f>VLOOKUP($A42,'3'!$A:$F,6,0)</f>
        <v>5037</v>
      </c>
      <c r="E42" s="25">
        <f>VLOOKUP($A42,'4'!$A:$F,6,0)</f>
        <v>685</v>
      </c>
      <c r="F42" s="25">
        <f>VLOOKUP($A42,'5'!$A:$F,6,0)</f>
        <v>389</v>
      </c>
      <c r="G42" s="26">
        <f>VLOOKUP($A42,'6'!$A:$F,6,0)</f>
        <v>1103</v>
      </c>
      <c r="H42" s="25" t="str">
        <f>VLOOKUP($A42,'1'!$A:$K,11,0)</f>
        <v>ERROR: reducible RootOf detected. Substitutions are %1</v>
      </c>
      <c r="I42" s="25" t="str">
        <f>VLOOKUP($A42,'2'!$A:$K,11,0)</f>
        <v>ERROR: reducible RootOf detected. Substitutions are %1</v>
      </c>
      <c r="J42" s="25">
        <f>VLOOKUP($A42,'3'!$A:$K,11,0)</f>
        <v>5041</v>
      </c>
      <c r="K42" s="25" t="str">
        <f>VLOOKUP($A42,'4'!$A:$K,11,0)</f>
        <v>ERROR: reducible RootOf detected. Substitutions are %1</v>
      </c>
      <c r="L42" s="25">
        <f>VLOOKUP($A42,'5'!$A:$K,11,0)</f>
        <v>3823</v>
      </c>
      <c r="M42" s="25">
        <f>VLOOKUP($A42,'6'!$A:$K,11,0)</f>
        <v>2273</v>
      </c>
      <c r="N42" s="5" t="str">
        <f t="shared" si="0"/>
        <v>RC</v>
      </c>
      <c r="O42" s="5">
        <f t="shared" si="1"/>
        <v>5</v>
      </c>
      <c r="P42" s="5" t="str">
        <f t="shared" si="2"/>
        <v>RC5, 1</v>
      </c>
      <c r="Q42" s="11" t="str">
        <f t="shared" si="3"/>
        <v/>
      </c>
      <c r="R42" s="11" t="str">
        <f t="shared" si="4"/>
        <v xml:space="preserve">1: Error: Reducible RootOf. 2: Error: Reducible RootOf. 4: Error: Reducible RootOf. </v>
      </c>
      <c r="S42" s="12" t="s">
        <v>47</v>
      </c>
      <c r="T42" s="5"/>
    </row>
    <row r="43" spans="1:21" hidden="1">
      <c r="A43">
        <v>88</v>
      </c>
      <c r="B43" s="25">
        <f>VLOOKUP($A43,'1'!$A:$F,6,0)</f>
        <v>130067</v>
      </c>
      <c r="C43" s="25">
        <f>VLOOKUP($A43,'2'!$A:$F,6,0)</f>
        <v>57809</v>
      </c>
      <c r="D43" s="25">
        <f>VLOOKUP($A43,'3'!$A:$F,6,0)</f>
        <v>5037</v>
      </c>
      <c r="E43" s="25">
        <f>VLOOKUP($A43,'4'!$A:$F,6,0)</f>
        <v>685</v>
      </c>
      <c r="F43" s="25">
        <f>VLOOKUP($A43,'5'!$A:$F,6,0)</f>
        <v>383</v>
      </c>
      <c r="G43" s="26">
        <f>VLOOKUP($A43,'6'!$A:$F,6,0)</f>
        <v>1141</v>
      </c>
      <c r="H43" s="25" t="str">
        <f>VLOOKUP($A43,'1'!$A:$K,11,0)</f>
        <v>ERROR: reducible RootOf detected. Substitutions are %1</v>
      </c>
      <c r="I43" s="25" t="str">
        <f>VLOOKUP($A43,'2'!$A:$K,11,0)</f>
        <v>ERROR: reducible RootOf detected. Substitutions are %1</v>
      </c>
      <c r="J43" s="25">
        <f>VLOOKUP($A43,'3'!$A:$K,11,0)</f>
        <v>5041</v>
      </c>
      <c r="K43" s="25" t="str">
        <f>VLOOKUP($A43,'4'!$A:$K,11,0)</f>
        <v>ERROR: reducible RootOf detected. Substitutions are %1</v>
      </c>
      <c r="L43" s="25">
        <f>VLOOKUP($A43,'5'!$A:$K,11,0)</f>
        <v>3823</v>
      </c>
      <c r="M43" s="25">
        <f>VLOOKUP($A43,'6'!$A:$K,11,0)</f>
        <v>2273</v>
      </c>
      <c r="N43" s="5" t="str">
        <f t="shared" si="0"/>
        <v>RC</v>
      </c>
      <c r="O43" s="5">
        <f t="shared" si="1"/>
        <v>5</v>
      </c>
      <c r="P43" s="5" t="str">
        <f t="shared" si="2"/>
        <v>RC5, 1</v>
      </c>
      <c r="Q43" s="11" t="str">
        <f t="shared" si="3"/>
        <v/>
      </c>
      <c r="R43" s="11" t="str">
        <f t="shared" si="4"/>
        <v xml:space="preserve">1: Error: Reducible RootOf. 2: Error: Reducible RootOf. 4: Error: Reducible RootOf. </v>
      </c>
      <c r="S43" s="12" t="s">
        <v>47</v>
      </c>
      <c r="T43" s="5"/>
    </row>
    <row r="44" spans="1:21" hidden="1">
      <c r="A44">
        <v>90</v>
      </c>
      <c r="B44" s="25">
        <f>VLOOKUP($A44,'1'!$A:$F,6,0)</f>
        <v>114529</v>
      </c>
      <c r="C44" s="25">
        <f>VLOOKUP($A44,'2'!$A:$F,6,0)</f>
        <v>57809</v>
      </c>
      <c r="D44" s="25">
        <f>VLOOKUP($A44,'3'!$A:$F,6,0)</f>
        <v>5037</v>
      </c>
      <c r="E44" s="25">
        <f>VLOOKUP($A44,'4'!$A:$F,6,0)</f>
        <v>603</v>
      </c>
      <c r="F44" s="25">
        <f>VLOOKUP($A44,'5'!$A:$F,6,0)</f>
        <v>375</v>
      </c>
      <c r="G44" s="26">
        <f>VLOOKUP($A44,'6'!$A:$F,6,0)</f>
        <v>1117</v>
      </c>
      <c r="H44" s="25" t="str">
        <f>VLOOKUP($A44,'1'!$A:$K,11,0)</f>
        <v>ERROR: reducible RootOf detected. Substitutions are %1</v>
      </c>
      <c r="I44" s="25" t="str">
        <f>VLOOKUP($A44,'2'!$A:$K,11,0)</f>
        <v>ERROR: reducible RootOf detected. Substitutions are %1</v>
      </c>
      <c r="J44" s="25">
        <f>VLOOKUP($A44,'3'!$A:$K,11,0)</f>
        <v>5041</v>
      </c>
      <c r="K44" s="25" t="str">
        <f>VLOOKUP($A44,'4'!$A:$K,11,0)</f>
        <v>ERROR: reducible RootOf detected. Substitutions are %1</v>
      </c>
      <c r="L44" s="25">
        <f>VLOOKUP($A44,'5'!$A:$K,11,0)</f>
        <v>3257</v>
      </c>
      <c r="M44" s="25">
        <f>VLOOKUP($A44,'6'!$A:$K,11,0)</f>
        <v>2273</v>
      </c>
      <c r="N44" s="5" t="str">
        <f t="shared" si="0"/>
        <v>RC</v>
      </c>
      <c r="O44" s="5">
        <f t="shared" si="1"/>
        <v>5</v>
      </c>
      <c r="P44" s="5" t="str">
        <f t="shared" si="2"/>
        <v>RC5, 1</v>
      </c>
      <c r="Q44" s="11" t="str">
        <f t="shared" si="3"/>
        <v/>
      </c>
      <c r="R44" s="11" t="str">
        <f t="shared" si="4"/>
        <v xml:space="preserve">1: Error: Reducible RootOf. 2: Error: Reducible RootOf. 4: Error: Reducible RootOf. </v>
      </c>
      <c r="S44" s="12" t="s">
        <v>47</v>
      </c>
      <c r="T44" s="5"/>
    </row>
    <row r="45" spans="1:21" hidden="1">
      <c r="A45">
        <v>92</v>
      </c>
      <c r="B45" s="25">
        <f>VLOOKUP($A45,'1'!$A:$F,6,0)</f>
        <v>114529</v>
      </c>
      <c r="C45" s="25">
        <f>VLOOKUP($A45,'2'!$A:$F,6,0)</f>
        <v>57809</v>
      </c>
      <c r="D45" s="25">
        <f>VLOOKUP($A45,'3'!$A:$F,6,0)</f>
        <v>5037</v>
      </c>
      <c r="E45" s="25" t="str">
        <f>VLOOKUP($A45,'4'!$A:$F,6,0)</f>
        <v>ERROR</v>
      </c>
      <c r="F45" s="25">
        <f>VLOOKUP($A45,'5'!$A:$F,6,0)</f>
        <v>57809</v>
      </c>
      <c r="G45" s="26">
        <f>VLOOKUP($A45,'6'!$A:$F,6,0)</f>
        <v>5037</v>
      </c>
      <c r="H45" s="25" t="str">
        <f>VLOOKUP($A45,'1'!$A:$K,11,0)</f>
        <v>ERROR: reducible RootOf detected. Substitutions are %1</v>
      </c>
      <c r="I45" s="25" t="str">
        <f>VLOOKUP($A45,'2'!$A:$K,11,0)</f>
        <v>ERROR: reducible RootOf detected. Substitutions are %1</v>
      </c>
      <c r="J45" s="25">
        <f>VLOOKUP($A45,'3'!$A:$K,11,0)</f>
        <v>5041</v>
      </c>
      <c r="K45" s="25" t="str">
        <f>VLOOKUP($A45,'4'!$A:$K,11,0)</f>
        <v>ERROR: reducible RootOf detected. Substitutions are %1</v>
      </c>
      <c r="L45" s="25" t="str">
        <f>VLOOKUP($A45,'5'!$A:$K,11,0)</f>
        <v>ERROR: reducible RootOf detected. Substitutions are %1</v>
      </c>
      <c r="M45" s="25">
        <f>VLOOKUP($A45,'6'!$A:$K,11,0)</f>
        <v>5041</v>
      </c>
      <c r="N45" s="5" t="str">
        <f t="shared" si="0"/>
        <v>RC</v>
      </c>
      <c r="O45" s="5">
        <f t="shared" si="1"/>
        <v>3</v>
      </c>
      <c r="P45" s="5" t="s">
        <v>145</v>
      </c>
      <c r="Q45" s="11" t="e">
        <f t="shared" si="3"/>
        <v>#N/A</v>
      </c>
      <c r="R45" s="11" t="str">
        <f t="shared" si="4"/>
        <v xml:space="preserve">1: Error: Reducible RootOf. 2: Error: Reducible RootOf. 4: Error: Reducible RootOf. 5: Error: Reducible RootOf. </v>
      </c>
      <c r="S45" s="12" t="s">
        <v>47</v>
      </c>
      <c r="T45" s="5"/>
    </row>
    <row r="46" spans="1:21" hidden="1">
      <c r="A46">
        <v>93</v>
      </c>
      <c r="B46" s="25">
        <f>VLOOKUP($A46,'1'!$A:$F,6,0)</f>
        <v>114529</v>
      </c>
      <c r="C46" s="25">
        <f>VLOOKUP($A46,'2'!$A:$F,6,0)</f>
        <v>57809</v>
      </c>
      <c r="D46" s="25">
        <f>VLOOKUP($A46,'3'!$A:$F,6,0)</f>
        <v>5037</v>
      </c>
      <c r="E46" s="25">
        <f>VLOOKUP($A46,'4'!$A:$F,6,0)</f>
        <v>603</v>
      </c>
      <c r="F46" s="25">
        <f>VLOOKUP($A46,'5'!$A:$F,6,0)</f>
        <v>389</v>
      </c>
      <c r="G46" s="26">
        <f>VLOOKUP($A46,'6'!$A:$F,6,0)</f>
        <v>1161</v>
      </c>
      <c r="H46" s="25" t="str">
        <f>VLOOKUP($A46,'1'!$A:$K,11,0)</f>
        <v>ERROR: reducible RootOf detected. Substitutions are %1</v>
      </c>
      <c r="I46" s="25" t="str">
        <f>VLOOKUP($A46,'2'!$A:$K,11,0)</f>
        <v>ERROR: reducible RootOf detected. Substitutions are %1</v>
      </c>
      <c r="J46" s="25">
        <f>VLOOKUP($A46,'3'!$A:$K,11,0)</f>
        <v>5041</v>
      </c>
      <c r="K46" s="25" t="str">
        <f>VLOOKUP($A46,'4'!$A:$K,11,0)</f>
        <v>ERROR: reducible RootOf detected. Substitutions are %1</v>
      </c>
      <c r="L46" s="25">
        <f>VLOOKUP($A46,'5'!$A:$K,11,0)</f>
        <v>3257</v>
      </c>
      <c r="M46" s="25">
        <f>VLOOKUP($A46,'6'!$A:$K,11,0)</f>
        <v>2273</v>
      </c>
      <c r="N46" s="5" t="str">
        <f t="shared" si="0"/>
        <v>RC</v>
      </c>
      <c r="O46" s="5">
        <f t="shared" si="1"/>
        <v>5</v>
      </c>
      <c r="P46" s="5" t="str">
        <f t="shared" si="2"/>
        <v>RC5, 1</v>
      </c>
      <c r="Q46" s="11" t="str">
        <f t="shared" si="3"/>
        <v/>
      </c>
      <c r="R46" s="11" t="str">
        <f t="shared" si="4"/>
        <v xml:space="preserve">1: Error: Reducible RootOf. 2: Error: Reducible RootOf. 4: Error: Reducible RootOf. </v>
      </c>
      <c r="S46" s="12" t="s">
        <v>47</v>
      </c>
      <c r="T46" s="5"/>
    </row>
    <row r="47" spans="1:21" hidden="1">
      <c r="A47">
        <v>94</v>
      </c>
      <c r="B47" s="25" t="str">
        <f>VLOOKUP($A47,'1'!$A:$F,6,0)</f>
        <v>TIME OUT</v>
      </c>
      <c r="C47" s="25">
        <f>VLOOKUP($A47,'2'!$A:$F,6,0)</f>
        <v>97187</v>
      </c>
      <c r="D47" s="25">
        <f>VLOOKUP($A47,'3'!$A:$F,6,0)</f>
        <v>6531</v>
      </c>
      <c r="E47" s="25" t="str">
        <f>VLOOKUP($A47,'4'!$A:$F,6,0)</f>
        <v>TIME OUT</v>
      </c>
      <c r="F47" s="25">
        <f>VLOOKUP($A47,'5'!$A:$F,6,0)</f>
        <v>97187</v>
      </c>
      <c r="G47" s="26">
        <f>VLOOKUP($A47,'6'!$A:$F,6,0)</f>
        <v>6531</v>
      </c>
      <c r="H47" s="25" t="str">
        <f>VLOOKUP($A47,'1'!$A:$K,11,0)</f>
        <v>ERROR: reducible RootOf detected. Substitutions are %1</v>
      </c>
      <c r="I47" s="25" t="str">
        <f>VLOOKUP($A47,'2'!$A:$K,11,0)</f>
        <v>ERROR: reducible RootOf detected. Substitutions are %1</v>
      </c>
      <c r="J47" s="25">
        <f>VLOOKUP($A47,'3'!$A:$K,11,0)</f>
        <v>6535</v>
      </c>
      <c r="K47" s="25" t="str">
        <f>VLOOKUP($A47,'4'!$A:$K,11,0)</f>
        <v>ERROR: reducible RootOf detected. Substitutions are %1</v>
      </c>
      <c r="L47" s="25" t="str">
        <f>VLOOKUP($A47,'5'!$A:$K,11,0)</f>
        <v>ERROR: reducible RootOf detected. Substitutions are %1</v>
      </c>
      <c r="M47" s="25">
        <f>VLOOKUP($A47,'6'!$A:$K,11,0)</f>
        <v>6535</v>
      </c>
      <c r="N47" s="5" t="str">
        <f t="shared" si="0"/>
        <v>RC</v>
      </c>
      <c r="O47" s="5">
        <f t="shared" si="1"/>
        <v>3</v>
      </c>
      <c r="P47" s="5" t="s">
        <v>145</v>
      </c>
      <c r="Q47" s="11" t="str">
        <f t="shared" si="3"/>
        <v/>
      </c>
      <c r="R47" s="11" t="str">
        <f t="shared" si="4"/>
        <v xml:space="preserve">1: Error: Reducible RootOf. 2: Error: Reducible RootOf. 4: Error: Reducible RootOf. 5: Error: Reducible RootOf. </v>
      </c>
      <c r="S47" s="12" t="s">
        <v>47</v>
      </c>
      <c r="T47" s="5"/>
    </row>
    <row r="48" spans="1:21" hidden="1">
      <c r="A48">
        <v>96</v>
      </c>
      <c r="B48" s="25" t="str">
        <f>VLOOKUP($A48,'1'!$A:$F,6,0)</f>
        <v>TIME OUT</v>
      </c>
      <c r="C48" s="25">
        <f>VLOOKUP($A48,'2'!$A:$F,6,0)</f>
        <v>97187</v>
      </c>
      <c r="D48" s="25">
        <f>VLOOKUP($A48,'3'!$A:$F,6,0)</f>
        <v>6531</v>
      </c>
      <c r="E48" s="25" t="str">
        <f>VLOOKUP($A48,'4'!$A:$F,6,0)</f>
        <v>TIME OUT</v>
      </c>
      <c r="F48" s="25">
        <f>VLOOKUP($A48,'5'!$A:$F,6,0)</f>
        <v>97187</v>
      </c>
      <c r="G48" s="26">
        <f>VLOOKUP($A48,'6'!$A:$F,6,0)</f>
        <v>6531</v>
      </c>
      <c r="H48" s="25" t="str">
        <f>VLOOKUP($A48,'1'!$A:$K,11,0)</f>
        <v>ERROR: reducible RootOf detected. Substitutions are %1</v>
      </c>
      <c r="I48" s="25" t="str">
        <f>VLOOKUP($A48,'2'!$A:$K,11,0)</f>
        <v>ERROR: reducible RootOf detected. Substitutions are %1</v>
      </c>
      <c r="J48" s="25">
        <f>VLOOKUP($A48,'3'!$A:$K,11,0)</f>
        <v>6535</v>
      </c>
      <c r="K48" s="25" t="str">
        <f>VLOOKUP($A48,'4'!$A:$K,11,0)</f>
        <v>ERROR: reducible RootOf detected. Substitutions are %1</v>
      </c>
      <c r="L48" s="25" t="str">
        <f>VLOOKUP($A48,'5'!$A:$K,11,0)</f>
        <v>ERROR: reducible RootOf detected. Substitutions are %1</v>
      </c>
      <c r="M48" s="25">
        <f>VLOOKUP($A48,'6'!$A:$K,11,0)</f>
        <v>6535</v>
      </c>
      <c r="N48" s="5" t="str">
        <f t="shared" si="0"/>
        <v>RC</v>
      </c>
      <c r="O48" s="5">
        <f t="shared" si="1"/>
        <v>3</v>
      </c>
      <c r="P48" s="5" t="s">
        <v>145</v>
      </c>
      <c r="Q48" s="11" t="str">
        <f t="shared" si="3"/>
        <v/>
      </c>
      <c r="R48" s="11" t="str">
        <f t="shared" si="4"/>
        <v xml:space="preserve">1: Error: Reducible RootOf. 2: Error: Reducible RootOf. 4: Error: Reducible RootOf. 5: Error: Reducible RootOf. </v>
      </c>
      <c r="S48" s="12" t="s">
        <v>47</v>
      </c>
      <c r="T48" s="5"/>
    </row>
    <row r="49" spans="1:20" hidden="1">
      <c r="A49">
        <v>98</v>
      </c>
      <c r="B49" s="25">
        <f>VLOOKUP($A49,'1'!$A:$F,6,0)</f>
        <v>181381</v>
      </c>
      <c r="C49" s="25">
        <f>VLOOKUP($A49,'2'!$A:$F,6,0)</f>
        <v>97187</v>
      </c>
      <c r="D49" s="25">
        <f>VLOOKUP($A49,'3'!$A:$F,6,0)</f>
        <v>6531</v>
      </c>
      <c r="E49" s="25" t="str">
        <f>VLOOKUP($A49,'4'!$A:$F,6,0)</f>
        <v>TIME OUT</v>
      </c>
      <c r="F49" s="25">
        <f>VLOOKUP($A49,'5'!$A:$F,6,0)</f>
        <v>97187</v>
      </c>
      <c r="G49" s="26">
        <f>VLOOKUP($A49,'6'!$A:$F,6,0)</f>
        <v>6531</v>
      </c>
      <c r="H49" s="25" t="str">
        <f>VLOOKUP($A49,'1'!$A:$K,11,0)</f>
        <v>ERROR: reducible RootOf detected. Substitutions are %1</v>
      </c>
      <c r="I49" s="25" t="str">
        <f>VLOOKUP($A49,'2'!$A:$K,11,0)</f>
        <v>ERROR: reducible RootOf detected. Substitutions are %1</v>
      </c>
      <c r="J49" s="25">
        <f>VLOOKUP($A49,'3'!$A:$K,11,0)</f>
        <v>6535</v>
      </c>
      <c r="K49" s="25" t="str">
        <f>VLOOKUP($A49,'4'!$A:$K,11,0)</f>
        <v>ERROR: reducible RootOf detected. Substitutions are %1</v>
      </c>
      <c r="L49" s="25" t="str">
        <f>VLOOKUP($A49,'5'!$A:$K,11,0)</f>
        <v>ERROR: reducible RootOf detected. Substitutions are %1</v>
      </c>
      <c r="M49" s="25">
        <f>VLOOKUP($A49,'6'!$A:$K,11,0)</f>
        <v>6535</v>
      </c>
      <c r="N49" s="5" t="str">
        <f t="shared" si="0"/>
        <v>RC</v>
      </c>
      <c r="O49" s="5">
        <f t="shared" si="1"/>
        <v>3</v>
      </c>
      <c r="P49" s="5" t="s">
        <v>145</v>
      </c>
      <c r="Q49" s="11" t="str">
        <f t="shared" si="3"/>
        <v/>
      </c>
      <c r="R49" s="11" t="str">
        <f t="shared" si="4"/>
        <v xml:space="preserve">1: Error: Reducible RootOf. 2: Error: Reducible RootOf. 4: Error: Reducible RootOf. 5: Error: Reducible RootOf. </v>
      </c>
      <c r="S49" s="12" t="s">
        <v>47</v>
      </c>
      <c r="T49" s="5"/>
    </row>
    <row r="50" spans="1:20" hidden="1">
      <c r="A50">
        <v>99</v>
      </c>
      <c r="B50" s="25">
        <f>VLOOKUP($A50,'1'!$A:$F,6,0)</f>
        <v>181381</v>
      </c>
      <c r="C50" s="25">
        <f>VLOOKUP($A50,'2'!$A:$F,6,0)</f>
        <v>97187</v>
      </c>
      <c r="D50" s="25">
        <f>VLOOKUP($A50,'3'!$A:$F,6,0)</f>
        <v>6531</v>
      </c>
      <c r="E50" s="25" t="str">
        <f>VLOOKUP($A50,'4'!$A:$F,6,0)</f>
        <v>TIME OUT</v>
      </c>
      <c r="F50" s="25">
        <f>VLOOKUP($A50,'5'!$A:$F,6,0)</f>
        <v>97187</v>
      </c>
      <c r="G50" s="26">
        <f>VLOOKUP($A50,'6'!$A:$F,6,0)</f>
        <v>6531</v>
      </c>
      <c r="H50" s="25" t="str">
        <f>VLOOKUP($A50,'1'!$A:$K,11,0)</f>
        <v>ERROR: reducible RootOf detected. Substitutions are %1</v>
      </c>
      <c r="I50" s="25" t="str">
        <f>VLOOKUP($A50,'2'!$A:$K,11,0)</f>
        <v>ERROR: reducible RootOf detected. Substitutions are %1</v>
      </c>
      <c r="J50" s="25">
        <f>VLOOKUP($A50,'3'!$A:$K,11,0)</f>
        <v>6535</v>
      </c>
      <c r="K50" s="25" t="str">
        <f>VLOOKUP($A50,'4'!$A:$K,11,0)</f>
        <v>ERROR: reducible RootOf detected. Substitutions are %1</v>
      </c>
      <c r="L50" s="25" t="str">
        <f>VLOOKUP($A50,'5'!$A:$K,11,0)</f>
        <v>ERROR: reducible RootOf detected. Substitutions are %1</v>
      </c>
      <c r="M50" s="25">
        <f>VLOOKUP($A50,'6'!$A:$K,11,0)</f>
        <v>6535</v>
      </c>
      <c r="N50" s="5" t="str">
        <f t="shared" si="0"/>
        <v>RC</v>
      </c>
      <c r="O50" s="5">
        <f t="shared" si="1"/>
        <v>3</v>
      </c>
      <c r="P50" s="5" t="s">
        <v>145</v>
      </c>
      <c r="Q50" s="11" t="str">
        <f t="shared" si="3"/>
        <v/>
      </c>
      <c r="R50" s="11" t="str">
        <f t="shared" si="4"/>
        <v xml:space="preserve">1: Error: Reducible RootOf. 2: Error: Reducible RootOf. 4: Error: Reducible RootOf. 5: Error: Reducible RootOf. </v>
      </c>
      <c r="S50" s="12" t="s">
        <v>47</v>
      </c>
      <c r="T50" s="5"/>
    </row>
    <row r="51" spans="1:20" hidden="1">
      <c r="A51">
        <v>101</v>
      </c>
      <c r="B51" s="25">
        <f>VLOOKUP($A51,'1'!$A:$F,6,0)</f>
        <v>181381</v>
      </c>
      <c r="C51" s="25">
        <f>VLOOKUP($A51,'2'!$A:$F,6,0)</f>
        <v>97187</v>
      </c>
      <c r="D51" s="25">
        <f>VLOOKUP($A51,'3'!$A:$F,6,0)</f>
        <v>6531</v>
      </c>
      <c r="E51" s="25" t="str">
        <f>VLOOKUP($A51,'4'!$A:$F,6,0)</f>
        <v>TIME OUT</v>
      </c>
      <c r="F51" s="25">
        <f>VLOOKUP($A51,'5'!$A:$F,6,0)</f>
        <v>97187</v>
      </c>
      <c r="G51" s="26">
        <f>VLOOKUP($A51,'6'!$A:$F,6,0)</f>
        <v>6531</v>
      </c>
      <c r="H51" s="25" t="str">
        <f>VLOOKUP($A51,'1'!$A:$K,11,0)</f>
        <v>ERROR: reducible RootOf detected. Substitutions are %1</v>
      </c>
      <c r="I51" s="25" t="str">
        <f>VLOOKUP($A51,'2'!$A:$K,11,0)</f>
        <v>ERROR: reducible RootOf detected. Substitutions are %1</v>
      </c>
      <c r="J51" s="25">
        <f>VLOOKUP($A51,'3'!$A:$K,11,0)</f>
        <v>6535</v>
      </c>
      <c r="K51" s="25" t="str">
        <f>VLOOKUP($A51,'4'!$A:$K,11,0)</f>
        <v>ERROR: reducible RootOf detected. Substitutions are %1</v>
      </c>
      <c r="L51" s="25" t="str">
        <f>VLOOKUP($A51,'5'!$A:$K,11,0)</f>
        <v>ERROR: reducible RootOf detected. Substitutions are %1</v>
      </c>
      <c r="M51" s="25">
        <f>VLOOKUP($A51,'6'!$A:$K,11,0)</f>
        <v>6535</v>
      </c>
      <c r="N51" s="5" t="str">
        <f t="shared" si="0"/>
        <v>RC</v>
      </c>
      <c r="O51" s="5">
        <f t="shared" si="1"/>
        <v>3</v>
      </c>
      <c r="P51" s="5" t="s">
        <v>145</v>
      </c>
      <c r="Q51" s="11" t="str">
        <f t="shared" si="3"/>
        <v/>
      </c>
      <c r="R51" s="11" t="str">
        <f t="shared" si="4"/>
        <v xml:space="preserve">1: Error: Reducible RootOf. 2: Error: Reducible RootOf. 4: Error: Reducible RootOf. 5: Error: Reducible RootOf. </v>
      </c>
      <c r="S51" s="12" t="s">
        <v>47</v>
      </c>
      <c r="T51" s="5"/>
    </row>
    <row r="52" spans="1:20" hidden="1">
      <c r="A52">
        <v>103</v>
      </c>
      <c r="B52" s="25">
        <f>VLOOKUP($A52,'1'!$A:$F,6,0)</f>
        <v>130067</v>
      </c>
      <c r="C52" s="25">
        <f>VLOOKUP($A52,'2'!$A:$F,6,0)</f>
        <v>57809</v>
      </c>
      <c r="D52" s="25">
        <f>VLOOKUP($A52,'3'!$A:$F,6,0)</f>
        <v>5037</v>
      </c>
      <c r="E52" s="25">
        <f>VLOOKUP($A52,'4'!$A:$F,6,0)</f>
        <v>130067</v>
      </c>
      <c r="F52" s="25">
        <f>VLOOKUP($A52,'5'!$A:$F,6,0)</f>
        <v>57809</v>
      </c>
      <c r="G52" s="26">
        <f>VLOOKUP($A52,'6'!$A:$F,6,0)</f>
        <v>5037</v>
      </c>
      <c r="H52" s="25" t="str">
        <f>VLOOKUP($A52,'1'!$A:$K,11,0)</f>
        <v>ERROR: reducible RootOf detected. Substitutions are %1</v>
      </c>
      <c r="I52" s="25" t="str">
        <f>VLOOKUP($A52,'2'!$A:$K,11,0)</f>
        <v>ERROR: reducible RootOf detected. Substitutions are %1</v>
      </c>
      <c r="J52" s="25">
        <f>VLOOKUP($A52,'3'!$A:$K,11,0)</f>
        <v>5041</v>
      </c>
      <c r="K52" s="25" t="str">
        <f>VLOOKUP($A52,'4'!$A:$K,11,0)</f>
        <v>ERROR: reducible RootOf detected. Substitutions are %1</v>
      </c>
      <c r="L52" s="25" t="str">
        <f>VLOOKUP($A52,'5'!$A:$K,11,0)</f>
        <v>ERROR: reducible RootOf detected. Substitutions are %1</v>
      </c>
      <c r="M52" s="25">
        <f>VLOOKUP($A52,'6'!$A:$K,11,0)</f>
        <v>5041</v>
      </c>
      <c r="N52" s="5" t="str">
        <f t="shared" si="0"/>
        <v>RC</v>
      </c>
      <c r="O52" s="5">
        <f t="shared" si="1"/>
        <v>3</v>
      </c>
      <c r="P52" s="5" t="s">
        <v>145</v>
      </c>
      <c r="Q52" s="11" t="str">
        <f t="shared" si="3"/>
        <v/>
      </c>
      <c r="R52" s="11" t="str">
        <f t="shared" si="4"/>
        <v xml:space="preserve">1: Error: Reducible RootOf. 2: Error: Reducible RootOf. 4: Error: Reducible RootOf. 5: Error: Reducible RootOf. </v>
      </c>
      <c r="S52" s="12" t="s">
        <v>47</v>
      </c>
      <c r="T52" s="5"/>
    </row>
    <row r="53" spans="1:20" hidden="1">
      <c r="A53">
        <v>105</v>
      </c>
      <c r="B53" s="25" t="str">
        <f>VLOOKUP($A53,'1'!$A:$F,6,0)</f>
        <v>TIME OUT</v>
      </c>
      <c r="C53" s="25">
        <f>VLOOKUP($A53,'2'!$A:$F,6,0)</f>
        <v>134735</v>
      </c>
      <c r="D53" s="25">
        <f>VLOOKUP($A53,'3'!$A:$F,6,0)</f>
        <v>7115</v>
      </c>
      <c r="E53" s="25" t="str">
        <f>VLOOKUP($A53,'4'!$A:$F,6,0)</f>
        <v>TIME OUT</v>
      </c>
      <c r="F53" s="25">
        <f>VLOOKUP($A53,'5'!$A:$F,6,0)</f>
        <v>134735</v>
      </c>
      <c r="G53" s="26">
        <f>VLOOKUP($A53,'6'!$A:$F,6,0)</f>
        <v>7115</v>
      </c>
      <c r="H53" s="25" t="str">
        <f>VLOOKUP($A53,'1'!$A:$K,11,0)</f>
        <v>ERROR: reducible RootOf detected. Substitutions are %1</v>
      </c>
      <c r="I53" s="25" t="str">
        <f>VLOOKUP($A53,'2'!$A:$K,11,0)</f>
        <v>ERROR: reducible RootOf detected. Substitutions are %1</v>
      </c>
      <c r="J53" s="25">
        <f>VLOOKUP($A53,'3'!$A:$K,11,0)</f>
        <v>7119</v>
      </c>
      <c r="K53" s="25" t="str">
        <f>VLOOKUP($A53,'4'!$A:$K,11,0)</f>
        <v>ERROR: reducible RootOf detected. Substitutions are %1</v>
      </c>
      <c r="L53" s="25" t="str">
        <f>VLOOKUP($A53,'5'!$A:$K,11,0)</f>
        <v>ERROR: reducible RootOf detected. Substitutions are %1</v>
      </c>
      <c r="M53" s="25">
        <f>VLOOKUP($A53,'6'!$A:$K,11,0)</f>
        <v>7119</v>
      </c>
      <c r="N53" s="5" t="str">
        <f t="shared" si="0"/>
        <v>RC</v>
      </c>
      <c r="O53" s="5">
        <f t="shared" si="1"/>
        <v>3</v>
      </c>
      <c r="P53" s="5" t="s">
        <v>145</v>
      </c>
      <c r="Q53" s="11" t="str">
        <f t="shared" si="3"/>
        <v/>
      </c>
      <c r="R53" s="11" t="str">
        <f t="shared" si="4"/>
        <v xml:space="preserve">1: Error: Reducible RootOf. 2: Error: Reducible RootOf. 4: Error: Reducible RootOf. 5: Error: Reducible RootOf. </v>
      </c>
      <c r="S53" s="12" t="s">
        <v>47</v>
      </c>
      <c r="T53" s="5"/>
    </row>
    <row r="54" spans="1:20" hidden="1">
      <c r="A54">
        <v>106</v>
      </c>
      <c r="B54" s="25" t="str">
        <f>VLOOKUP($A54,'1'!$A:$F,6,0)</f>
        <v>ERROR: invalid subscript selector</v>
      </c>
      <c r="C54" s="25">
        <f>VLOOKUP($A54,'2'!$A:$F,6,0)</f>
        <v>64429</v>
      </c>
      <c r="D54" s="25">
        <f>VLOOKUP($A54,'3'!$A:$F,6,0)</f>
        <v>5227</v>
      </c>
      <c r="E54" s="25">
        <f>VLOOKUP($A54,'4'!$A:$F,6,0)</f>
        <v>175155</v>
      </c>
      <c r="F54" s="25">
        <f>VLOOKUP($A54,'5'!$A:$F,6,0)</f>
        <v>64429</v>
      </c>
      <c r="G54" s="26">
        <f>VLOOKUP($A54,'6'!$A:$F,6,0)</f>
        <v>5227</v>
      </c>
      <c r="H54" s="25" t="str">
        <f>VLOOKUP($A54,'1'!$A:$K,11,0)</f>
        <v>ERROR: reducible RootOf detected. Substitutions are %1</v>
      </c>
      <c r="I54" s="25" t="str">
        <f>VLOOKUP($A54,'2'!$A:$K,11,0)</f>
        <v>ERROR: reducible RootOf detected. Substitutions are %1</v>
      </c>
      <c r="J54" s="25">
        <f>VLOOKUP($A54,'3'!$A:$K,11,0)</f>
        <v>5231</v>
      </c>
      <c r="K54" s="25" t="str">
        <f>VLOOKUP($A54,'4'!$A:$K,11,0)</f>
        <v>ERROR: reducible RootOf detected. Substitutions are %1</v>
      </c>
      <c r="L54" s="25" t="str">
        <f>VLOOKUP($A54,'5'!$A:$K,11,0)</f>
        <v>ERROR: reducible RootOf detected. Substitutions are %1</v>
      </c>
      <c r="M54" s="25">
        <f>VLOOKUP($A54,'6'!$A:$K,11,0)</f>
        <v>5231</v>
      </c>
      <c r="N54" s="5" t="str">
        <f t="shared" si="0"/>
        <v>RC</v>
      </c>
      <c r="O54" s="5">
        <f t="shared" si="1"/>
        <v>3</v>
      </c>
      <c r="P54" s="5" t="s">
        <v>145</v>
      </c>
      <c r="Q54" s="11" t="e">
        <f t="shared" si="3"/>
        <v>#N/A</v>
      </c>
      <c r="R54" s="11" t="str">
        <f t="shared" si="4"/>
        <v xml:space="preserve">1: Error: Reducible RootOf. 2: Error: Reducible RootOf. 4: Error: Reducible RootOf. 5: Error: Reducible RootOf. </v>
      </c>
      <c r="S54" s="12" t="s">
        <v>47</v>
      </c>
      <c r="T54" s="5"/>
    </row>
    <row r="55" spans="1:20" hidden="1">
      <c r="A55">
        <v>108</v>
      </c>
      <c r="B55" s="25" t="str">
        <f>VLOOKUP($A55,'1'!$A:$F,6,0)</f>
        <v>TIME OUT</v>
      </c>
      <c r="C55" s="25">
        <f>VLOOKUP($A55,'2'!$A:$F,6,0)</f>
        <v>134735</v>
      </c>
      <c r="D55" s="25">
        <f>VLOOKUP($A55,'3'!$A:$F,6,0)</f>
        <v>7115</v>
      </c>
      <c r="E55" s="25" t="str">
        <f>VLOOKUP($A55,'4'!$A:$F,6,0)</f>
        <v>TIME OUT</v>
      </c>
      <c r="F55" s="25">
        <f>VLOOKUP($A55,'5'!$A:$F,6,0)</f>
        <v>134735</v>
      </c>
      <c r="G55" s="26">
        <f>VLOOKUP($A55,'6'!$A:$F,6,0)</f>
        <v>7115</v>
      </c>
      <c r="H55" s="25" t="str">
        <f>VLOOKUP($A55,'1'!$A:$K,11,0)</f>
        <v>ERROR: reducible RootOf detected. Substitutions are %1</v>
      </c>
      <c r="I55" s="25" t="str">
        <f>VLOOKUP($A55,'2'!$A:$K,11,0)</f>
        <v>ERROR: reducible RootOf detected. Substitutions are %1</v>
      </c>
      <c r="J55" s="25">
        <f>VLOOKUP($A55,'3'!$A:$K,11,0)</f>
        <v>7119</v>
      </c>
      <c r="K55" s="25" t="str">
        <f>VLOOKUP($A55,'4'!$A:$K,11,0)</f>
        <v>ERROR: reducible RootOf detected. Substitutions are %1</v>
      </c>
      <c r="L55" s="25" t="str">
        <f>VLOOKUP($A55,'5'!$A:$K,11,0)</f>
        <v>ERROR: reducible RootOf detected. Substitutions are %1</v>
      </c>
      <c r="M55" s="25">
        <f>VLOOKUP($A55,'6'!$A:$K,11,0)</f>
        <v>7119</v>
      </c>
      <c r="N55" s="5" t="str">
        <f t="shared" si="0"/>
        <v>RC</v>
      </c>
      <c r="O55" s="5">
        <f t="shared" si="1"/>
        <v>3</v>
      </c>
      <c r="P55" s="5" t="s">
        <v>145</v>
      </c>
      <c r="Q55" s="11" t="str">
        <f t="shared" si="3"/>
        <v/>
      </c>
      <c r="R55" s="11" t="str">
        <f t="shared" si="4"/>
        <v xml:space="preserve">1: Error: Reducible RootOf. 2: Error: Reducible RootOf. 4: Error: Reducible RootOf. 5: Error: Reducible RootOf. </v>
      </c>
      <c r="S55" s="12" t="s">
        <v>47</v>
      </c>
      <c r="T55" s="5"/>
    </row>
    <row r="56" spans="1:20" hidden="1">
      <c r="A56">
        <v>109</v>
      </c>
      <c r="B56" s="25" t="str">
        <f>VLOOKUP($A56,'1'!$A:$F,6,0)</f>
        <v>TIME OUT</v>
      </c>
      <c r="C56" s="25">
        <f>VLOOKUP($A56,'2'!$A:$F,6,0)</f>
        <v>134735</v>
      </c>
      <c r="D56" s="25">
        <f>VLOOKUP($A56,'3'!$A:$F,6,0)</f>
        <v>7115</v>
      </c>
      <c r="E56" s="25" t="str">
        <f>VLOOKUP($A56,'4'!$A:$F,6,0)</f>
        <v>TIME OUT</v>
      </c>
      <c r="F56" s="25">
        <f>VLOOKUP($A56,'5'!$A:$F,6,0)</f>
        <v>134735</v>
      </c>
      <c r="G56" s="26">
        <f>VLOOKUP($A56,'6'!$A:$F,6,0)</f>
        <v>7115</v>
      </c>
      <c r="H56" s="25" t="str">
        <f>VLOOKUP($A56,'1'!$A:$K,11,0)</f>
        <v>ERROR: reducible RootOf detected. Substitutions are %1</v>
      </c>
      <c r="I56" s="25" t="str">
        <f>VLOOKUP($A56,'2'!$A:$K,11,0)</f>
        <v>ERROR: reducible RootOf detected. Substitutions are %1</v>
      </c>
      <c r="J56" s="25">
        <f>VLOOKUP($A56,'3'!$A:$K,11,0)</f>
        <v>7119</v>
      </c>
      <c r="K56" s="25" t="str">
        <f>VLOOKUP($A56,'4'!$A:$K,11,0)</f>
        <v>ERROR: reducible RootOf detected. Substitutions are %1</v>
      </c>
      <c r="L56" s="25" t="str">
        <f>VLOOKUP($A56,'5'!$A:$K,11,0)</f>
        <v>ERROR: reducible RootOf detected. Substitutions are %1</v>
      </c>
      <c r="M56" s="25">
        <f>VLOOKUP($A56,'6'!$A:$K,11,0)</f>
        <v>7119</v>
      </c>
      <c r="N56" s="5" t="str">
        <f t="shared" si="0"/>
        <v>RC</v>
      </c>
      <c r="O56" s="5">
        <f t="shared" si="1"/>
        <v>3</v>
      </c>
      <c r="P56" s="5" t="s">
        <v>145</v>
      </c>
      <c r="Q56" s="11" t="str">
        <f t="shared" si="3"/>
        <v/>
      </c>
      <c r="R56" s="11" t="str">
        <f t="shared" si="4"/>
        <v xml:space="preserve">1: Error: Reducible RootOf. 2: Error: Reducible RootOf. 4: Error: Reducible RootOf. 5: Error: Reducible RootOf. </v>
      </c>
      <c r="S56" s="12" t="s">
        <v>47</v>
      </c>
      <c r="T56" s="5"/>
    </row>
    <row r="57" spans="1:20" hidden="1">
      <c r="A57">
        <v>112</v>
      </c>
      <c r="B57" s="25">
        <f>VLOOKUP($A57,'1'!$A:$F,6,0)</f>
        <v>175155</v>
      </c>
      <c r="C57" s="25">
        <f>VLOOKUP($A57,'2'!$A:$F,6,0)</f>
        <v>64429</v>
      </c>
      <c r="D57" s="25">
        <f>VLOOKUP($A57,'3'!$A:$F,6,0)</f>
        <v>5227</v>
      </c>
      <c r="E57" s="25">
        <f>VLOOKUP($A57,'4'!$A:$F,6,0)</f>
        <v>175155</v>
      </c>
      <c r="F57" s="25">
        <f>VLOOKUP($A57,'5'!$A:$F,6,0)</f>
        <v>64429</v>
      </c>
      <c r="G57" s="26">
        <f>VLOOKUP($A57,'6'!$A:$F,6,0)</f>
        <v>5227</v>
      </c>
      <c r="H57" s="25" t="str">
        <f>VLOOKUP($A57,'1'!$A:$K,11,0)</f>
        <v>ERROR: reducible RootOf detected. Substitutions are %1</v>
      </c>
      <c r="I57" s="25" t="str">
        <f>VLOOKUP($A57,'2'!$A:$K,11,0)</f>
        <v>ERROR: reducible RootOf detected. Substitutions are %1</v>
      </c>
      <c r="J57" s="25">
        <f>VLOOKUP($A57,'3'!$A:$K,11,0)</f>
        <v>5231</v>
      </c>
      <c r="K57" s="25" t="str">
        <f>VLOOKUP($A57,'4'!$A:$K,11,0)</f>
        <v>ERROR: reducible RootOf detected. Substitutions are %1</v>
      </c>
      <c r="L57" s="25" t="str">
        <f>VLOOKUP($A57,'5'!$A:$K,11,0)</f>
        <v>ERROR: reducible RootOf detected. Substitutions are %1</v>
      </c>
      <c r="M57" s="25">
        <f>VLOOKUP($A57,'6'!$A:$K,11,0)</f>
        <v>5231</v>
      </c>
      <c r="N57" s="5" t="str">
        <f t="shared" si="0"/>
        <v>RC</v>
      </c>
      <c r="O57" s="5">
        <f t="shared" si="1"/>
        <v>3</v>
      </c>
      <c r="P57" s="5" t="s">
        <v>145</v>
      </c>
      <c r="Q57" s="11" t="str">
        <f t="shared" si="3"/>
        <v/>
      </c>
      <c r="R57" s="11" t="str">
        <f t="shared" si="4"/>
        <v xml:space="preserve">1: Error: Reducible RootOf. 2: Error: Reducible RootOf. 4: Error: Reducible RootOf. 5: Error: Reducible RootOf. </v>
      </c>
      <c r="S57" s="12" t="s">
        <v>47</v>
      </c>
      <c r="T57" s="5"/>
    </row>
    <row r="58" spans="1:20" hidden="1">
      <c r="A58">
        <v>114</v>
      </c>
      <c r="B58" s="25" t="str">
        <f>VLOOKUP($A58,'1'!$A:$F,6,0)</f>
        <v>TIME OUT</v>
      </c>
      <c r="C58" s="25">
        <f>VLOOKUP($A58,'2'!$A:$F,6,0)</f>
        <v>134735</v>
      </c>
      <c r="D58" s="25">
        <f>VLOOKUP($A58,'3'!$A:$F,6,0)</f>
        <v>7115</v>
      </c>
      <c r="E58" s="25" t="str">
        <f>VLOOKUP($A58,'4'!$A:$F,6,0)</f>
        <v>TIME OUT</v>
      </c>
      <c r="F58" s="25">
        <f>VLOOKUP($A58,'5'!$A:$F,6,0)</f>
        <v>134735</v>
      </c>
      <c r="G58" s="26">
        <f>VLOOKUP($A58,'6'!$A:$F,6,0)</f>
        <v>7115</v>
      </c>
      <c r="H58" s="25" t="str">
        <f>VLOOKUP($A58,'1'!$A:$K,11,0)</f>
        <v>ERROR: reducible RootOf detected. Substitutions are %1</v>
      </c>
      <c r="I58" s="25" t="str">
        <f>VLOOKUP($A58,'2'!$A:$K,11,0)</f>
        <v>ERROR: reducible RootOf detected. Substitutions are %1</v>
      </c>
      <c r="J58" s="25">
        <f>VLOOKUP($A58,'3'!$A:$K,11,0)</f>
        <v>7119</v>
      </c>
      <c r="K58" s="25" t="str">
        <f>VLOOKUP($A58,'4'!$A:$K,11,0)</f>
        <v>ERROR: reducible RootOf detected. Substitutions are %1</v>
      </c>
      <c r="L58" s="25" t="str">
        <f>VLOOKUP($A58,'5'!$A:$K,11,0)</f>
        <v>ERROR: reducible RootOf detected. Substitutions are %1</v>
      </c>
      <c r="M58" s="25">
        <f>VLOOKUP($A58,'6'!$A:$K,11,0)</f>
        <v>7119</v>
      </c>
      <c r="N58" s="5" t="str">
        <f t="shared" si="0"/>
        <v>RC</v>
      </c>
      <c r="O58" s="5">
        <f t="shared" si="1"/>
        <v>3</v>
      </c>
      <c r="P58" s="5" t="s">
        <v>145</v>
      </c>
      <c r="Q58" s="11" t="str">
        <f t="shared" si="3"/>
        <v/>
      </c>
      <c r="R58" s="11" t="str">
        <f t="shared" si="4"/>
        <v xml:space="preserve">1: Error: Reducible RootOf. 2: Error: Reducible RootOf. 4: Error: Reducible RootOf. 5: Error: Reducible RootOf. </v>
      </c>
      <c r="S58" s="12" t="s">
        <v>47</v>
      </c>
      <c r="T58" s="5"/>
    </row>
    <row r="59" spans="1:20" hidden="1">
      <c r="A59">
        <v>115</v>
      </c>
      <c r="B59" s="25" t="str">
        <f>VLOOKUP($A59,'1'!$A:$F,6,0)</f>
        <v>TIME OUT</v>
      </c>
      <c r="C59" s="25">
        <f>VLOOKUP($A59,'2'!$A:$F,6,0)</f>
        <v>134735</v>
      </c>
      <c r="D59" s="25">
        <f>VLOOKUP($A59,'3'!$A:$F,6,0)</f>
        <v>7115</v>
      </c>
      <c r="E59" s="25" t="str">
        <f>VLOOKUP($A59,'4'!$A:$F,6,0)</f>
        <v>TIME OUT</v>
      </c>
      <c r="F59" s="25">
        <f>VLOOKUP($A59,'5'!$A:$F,6,0)</f>
        <v>134735</v>
      </c>
      <c r="G59" s="26">
        <f>VLOOKUP($A59,'6'!$A:$F,6,0)</f>
        <v>7115</v>
      </c>
      <c r="H59" s="25" t="str">
        <f>VLOOKUP($A59,'1'!$A:$K,11,0)</f>
        <v>ERROR: reducible RootOf detected. Substitutions are %1</v>
      </c>
      <c r="I59" s="25" t="str">
        <f>VLOOKUP($A59,'2'!$A:$K,11,0)</f>
        <v>ERROR: reducible RootOf detected. Substitutions are %1</v>
      </c>
      <c r="J59" s="25">
        <f>VLOOKUP($A59,'3'!$A:$K,11,0)</f>
        <v>7119</v>
      </c>
      <c r="K59" s="25" t="str">
        <f>VLOOKUP($A59,'4'!$A:$K,11,0)</f>
        <v>ERROR: reducible RootOf detected. Substitutions are %1</v>
      </c>
      <c r="L59" s="25" t="str">
        <f>VLOOKUP($A59,'5'!$A:$K,11,0)</f>
        <v>ERROR: reducible RootOf detected. Substitutions are %1</v>
      </c>
      <c r="M59" s="25">
        <f>VLOOKUP($A59,'6'!$A:$K,11,0)</f>
        <v>7119</v>
      </c>
      <c r="N59" s="5" t="str">
        <f t="shared" si="0"/>
        <v>RC</v>
      </c>
      <c r="O59" s="5">
        <f t="shared" si="1"/>
        <v>3</v>
      </c>
      <c r="P59" s="5" t="s">
        <v>145</v>
      </c>
      <c r="Q59" s="11" t="str">
        <f t="shared" si="3"/>
        <v/>
      </c>
      <c r="R59" s="11" t="str">
        <f t="shared" si="4"/>
        <v xml:space="preserve">1: Error: Reducible RootOf. 2: Error: Reducible RootOf. 4: Error: Reducible RootOf. 5: Error: Reducible RootOf. </v>
      </c>
      <c r="S59" s="12" t="s">
        <v>47</v>
      </c>
      <c r="T59" s="5"/>
    </row>
    <row r="60" spans="1:20" hidden="1">
      <c r="A60">
        <v>118</v>
      </c>
      <c r="B60" s="25" t="str">
        <f>VLOOKUP($A60,'1'!$A:$F,6,0)</f>
        <v>TIME OUT</v>
      </c>
      <c r="C60" s="25" t="str">
        <f>VLOOKUP($A60,'2'!$A:$F,6,0)</f>
        <v>TIME OUT</v>
      </c>
      <c r="D60" s="25">
        <f>VLOOKUP($A60,'3'!$A:$F,6,0)</f>
        <v>9009</v>
      </c>
      <c r="E60" s="25" t="str">
        <f>VLOOKUP($A60,'4'!$A:$F,6,0)</f>
        <v>TIME OUT</v>
      </c>
      <c r="F60" s="25" t="str">
        <f>VLOOKUP($A60,'5'!$A:$F,6,0)</f>
        <v>TIME OUT</v>
      </c>
      <c r="G60" s="26">
        <f>VLOOKUP($A60,'6'!$A:$F,6,0)</f>
        <v>9009</v>
      </c>
      <c r="H60" s="25" t="str">
        <f>VLOOKUP($A60,'1'!$A:$K,11,0)</f>
        <v>ERROR: reducible RootOf detected. Substitutions are %1</v>
      </c>
      <c r="I60" s="25" t="str">
        <f>VLOOKUP($A60,'2'!$A:$K,11,0)</f>
        <v>ERROR: reducible RootOf detected. Substitutions are %1</v>
      </c>
      <c r="J60" s="25">
        <f>VLOOKUP($A60,'3'!$A:$K,11,0)</f>
        <v>9013</v>
      </c>
      <c r="K60" s="25" t="str">
        <f>VLOOKUP($A60,'4'!$A:$K,11,0)</f>
        <v>ERROR: reducible RootOf detected. Substitutions are %1</v>
      </c>
      <c r="L60" s="25" t="str">
        <f>VLOOKUP($A60,'5'!$A:$K,11,0)</f>
        <v>ERROR: reducible RootOf detected. Substitutions are %1</v>
      </c>
      <c r="M60" s="25">
        <f>VLOOKUP($A60,'6'!$A:$K,11,0)</f>
        <v>9013</v>
      </c>
      <c r="N60" s="5" t="str">
        <f t="shared" si="0"/>
        <v>RC</v>
      </c>
      <c r="O60" s="5">
        <f t="shared" si="1"/>
        <v>3</v>
      </c>
      <c r="P60" s="5" t="s">
        <v>145</v>
      </c>
      <c r="Q60" s="11" t="str">
        <f t="shared" si="3"/>
        <v/>
      </c>
      <c r="R60" s="11" t="str">
        <f t="shared" si="4"/>
        <v xml:space="preserve">1: Error: Reducible RootOf. 2: Error: Reducible RootOf. 4: Error: Reducible RootOf. 5: Error: Reducible RootOf. </v>
      </c>
      <c r="S60" s="12" t="s">
        <v>47</v>
      </c>
      <c r="T60" s="5"/>
    </row>
    <row r="61" spans="1:20" hidden="1">
      <c r="A61">
        <v>119</v>
      </c>
      <c r="B61" s="25" t="str">
        <f>VLOOKUP($A61,'1'!$A:$F,6,0)</f>
        <v>TIME OUT</v>
      </c>
      <c r="C61" s="25">
        <f>VLOOKUP($A61,'2'!$A:$F,6,0)</f>
        <v>134735</v>
      </c>
      <c r="D61" s="25">
        <f>VLOOKUP($A61,'3'!$A:$F,6,0)</f>
        <v>7115</v>
      </c>
      <c r="E61" s="25" t="str">
        <f>VLOOKUP($A61,'4'!$A:$F,6,0)</f>
        <v>TIME OUT</v>
      </c>
      <c r="F61" s="25">
        <f>VLOOKUP($A61,'5'!$A:$F,6,0)</f>
        <v>134735</v>
      </c>
      <c r="G61" s="26">
        <f>VLOOKUP($A61,'6'!$A:$F,6,0)</f>
        <v>7115</v>
      </c>
      <c r="H61" s="25" t="str">
        <f>VLOOKUP($A61,'1'!$A:$K,11,0)</f>
        <v>ERROR: reducible RootOf detected. Substitutions are %1</v>
      </c>
      <c r="I61" s="25" t="str">
        <f>VLOOKUP($A61,'2'!$A:$K,11,0)</f>
        <v>ERROR: reducible RootOf detected. Substitutions are %1</v>
      </c>
      <c r="J61" s="25">
        <f>VLOOKUP($A61,'3'!$A:$K,11,0)</f>
        <v>7119</v>
      </c>
      <c r="K61" s="25" t="str">
        <f>VLOOKUP($A61,'4'!$A:$K,11,0)</f>
        <v>ERROR: reducible RootOf detected. Substitutions are %1</v>
      </c>
      <c r="L61" s="25" t="str">
        <f>VLOOKUP($A61,'5'!$A:$K,11,0)</f>
        <v>ERROR: reducible RootOf detected. Substitutions are %1</v>
      </c>
      <c r="M61" s="25">
        <f>VLOOKUP($A61,'6'!$A:$K,11,0)</f>
        <v>7119</v>
      </c>
      <c r="N61" s="5" t="str">
        <f t="shared" si="0"/>
        <v>RC</v>
      </c>
      <c r="O61" s="5">
        <f t="shared" si="1"/>
        <v>3</v>
      </c>
      <c r="P61" s="5" t="s">
        <v>145</v>
      </c>
      <c r="Q61" s="11" t="str">
        <f t="shared" si="3"/>
        <v/>
      </c>
      <c r="R61" s="11" t="str">
        <f t="shared" si="4"/>
        <v xml:space="preserve">1: Error: Reducible RootOf. 2: Error: Reducible RootOf. 4: Error: Reducible RootOf. 5: Error: Reducible RootOf. </v>
      </c>
      <c r="S61" s="12" t="s">
        <v>47</v>
      </c>
      <c r="T61" s="5"/>
    </row>
    <row r="62" spans="1:20" hidden="1">
      <c r="A62">
        <v>121</v>
      </c>
      <c r="B62" s="25" t="str">
        <f>VLOOKUP($A62,'1'!$A:$F,6,0)</f>
        <v>TIME OUT</v>
      </c>
      <c r="C62" s="25" t="str">
        <f>VLOOKUP($A62,'2'!$A:$F,6,0)</f>
        <v>TIME OUT</v>
      </c>
      <c r="D62" s="25">
        <f>VLOOKUP($A62,'3'!$A:$F,6,0)</f>
        <v>9009</v>
      </c>
      <c r="E62" s="25" t="str">
        <f>VLOOKUP($A62,'4'!$A:$F,6,0)</f>
        <v>TIME OUT</v>
      </c>
      <c r="F62" s="25" t="str">
        <f>VLOOKUP($A62,'5'!$A:$F,6,0)</f>
        <v>TIME OUT</v>
      </c>
      <c r="G62" s="26">
        <f>VLOOKUP($A62,'6'!$A:$F,6,0)</f>
        <v>9009</v>
      </c>
      <c r="H62" s="25" t="str">
        <f>VLOOKUP($A62,'1'!$A:$K,11,0)</f>
        <v>ERROR: reducible RootOf detected. Substitutions are %1</v>
      </c>
      <c r="I62" s="25" t="str">
        <f>VLOOKUP($A62,'2'!$A:$K,11,0)</f>
        <v>ERROR: reducible RootOf detected. Substitutions are %1</v>
      </c>
      <c r="J62" s="25">
        <f>VLOOKUP($A62,'3'!$A:$K,11,0)</f>
        <v>9013</v>
      </c>
      <c r="K62" s="25" t="str">
        <f>VLOOKUP($A62,'4'!$A:$K,11,0)</f>
        <v>ERROR: reducible RootOf detected. Substitutions are %1</v>
      </c>
      <c r="L62" s="25" t="str">
        <f>VLOOKUP($A62,'5'!$A:$K,11,0)</f>
        <v>ERROR: reducible RootOf detected. Substitutions are %1</v>
      </c>
      <c r="M62" s="25">
        <f>VLOOKUP($A62,'6'!$A:$K,11,0)</f>
        <v>9013</v>
      </c>
      <c r="N62" s="5" t="str">
        <f t="shared" si="0"/>
        <v>RC</v>
      </c>
      <c r="O62" s="5">
        <f t="shared" si="1"/>
        <v>3</v>
      </c>
      <c r="P62" s="5" t="s">
        <v>145</v>
      </c>
      <c r="Q62" s="11" t="str">
        <f t="shared" si="3"/>
        <v/>
      </c>
      <c r="R62" s="11" t="str">
        <f t="shared" si="4"/>
        <v xml:space="preserve">1: Error: Reducible RootOf. 2: Error: Reducible RootOf. 4: Error: Reducible RootOf. 5: Error: Reducible RootOf. </v>
      </c>
      <c r="S62" s="12" t="s">
        <v>47</v>
      </c>
      <c r="T62" s="5"/>
    </row>
    <row r="63" spans="1:20" hidden="1">
      <c r="A63">
        <v>123</v>
      </c>
      <c r="B63" s="25" t="str">
        <f>VLOOKUP($A63,'1'!$A:$F,6,0)</f>
        <v>TIME OUT</v>
      </c>
      <c r="C63" s="25" t="str">
        <f>VLOOKUP($A63,'2'!$A:$F,6,0)</f>
        <v>TIME OUT</v>
      </c>
      <c r="D63" s="25">
        <f>VLOOKUP($A63,'3'!$A:$F,6,0)</f>
        <v>9009</v>
      </c>
      <c r="E63" s="25" t="str">
        <f>VLOOKUP($A63,'4'!$A:$F,6,0)</f>
        <v>TIME OUT</v>
      </c>
      <c r="F63" s="25" t="str">
        <f>VLOOKUP($A63,'5'!$A:$F,6,0)</f>
        <v>TIME OUT</v>
      </c>
      <c r="G63" s="26">
        <f>VLOOKUP($A63,'6'!$A:$F,6,0)</f>
        <v>9009</v>
      </c>
      <c r="H63" s="25" t="str">
        <f>VLOOKUP($A63,'1'!$A:$K,11,0)</f>
        <v>ERROR: reducible RootOf detected. Substitutions are %1</v>
      </c>
      <c r="I63" s="25" t="str">
        <f>VLOOKUP($A63,'2'!$A:$K,11,0)</f>
        <v>ERROR: reducible RootOf detected. Substitutions are %1</v>
      </c>
      <c r="J63" s="25">
        <f>VLOOKUP($A63,'3'!$A:$K,11,0)</f>
        <v>9013</v>
      </c>
      <c r="K63" s="25" t="str">
        <f>VLOOKUP($A63,'4'!$A:$K,11,0)</f>
        <v>ERROR: reducible RootOf detected. Substitutions are %1</v>
      </c>
      <c r="L63" s="25" t="str">
        <f>VLOOKUP($A63,'5'!$A:$K,11,0)</f>
        <v>ERROR: reducible RootOf detected. Substitutions are %1</v>
      </c>
      <c r="M63" s="25">
        <f>VLOOKUP($A63,'6'!$A:$K,11,0)</f>
        <v>9013</v>
      </c>
      <c r="N63" s="5" t="str">
        <f t="shared" si="0"/>
        <v>RC</v>
      </c>
      <c r="O63" s="5">
        <f t="shared" si="1"/>
        <v>3</v>
      </c>
      <c r="P63" s="5" t="s">
        <v>145</v>
      </c>
      <c r="Q63" s="11" t="str">
        <f t="shared" si="3"/>
        <v/>
      </c>
      <c r="R63" s="11" t="str">
        <f t="shared" si="4"/>
        <v xml:space="preserve">1: Error: Reducible RootOf. 2: Error: Reducible RootOf. 4: Error: Reducible RootOf. 5: Error: Reducible RootOf. </v>
      </c>
      <c r="S63" s="12" t="s">
        <v>47</v>
      </c>
      <c r="T63" s="5"/>
    </row>
    <row r="64" spans="1:20" hidden="1">
      <c r="A64">
        <v>125</v>
      </c>
      <c r="B64" s="25" t="str">
        <f>VLOOKUP($A64,'1'!$A:$F,6,0)</f>
        <v>TIME OUT</v>
      </c>
      <c r="C64" s="25" t="str">
        <f>VLOOKUP($A64,'2'!$A:$F,6,0)</f>
        <v>TIME OUT</v>
      </c>
      <c r="D64" s="25">
        <f>VLOOKUP($A64,'3'!$A:$F,6,0)</f>
        <v>9009</v>
      </c>
      <c r="E64" s="25" t="str">
        <f>VLOOKUP($A64,'4'!$A:$F,6,0)</f>
        <v>TIME OUT</v>
      </c>
      <c r="F64" s="25" t="str">
        <f>VLOOKUP($A64,'5'!$A:$F,6,0)</f>
        <v>TIME OUT</v>
      </c>
      <c r="G64" s="26">
        <f>VLOOKUP($A64,'6'!$A:$F,6,0)</f>
        <v>9009</v>
      </c>
      <c r="H64" s="25" t="str">
        <f>VLOOKUP($A64,'1'!$A:$K,11,0)</f>
        <v>ERROR: reducible RootOf detected. Substitutions are %1</v>
      </c>
      <c r="I64" s="25" t="str">
        <f>VLOOKUP($A64,'2'!$A:$K,11,0)</f>
        <v>ERROR: reducible RootOf detected. Substitutions are %1</v>
      </c>
      <c r="J64" s="25">
        <f>VLOOKUP($A64,'3'!$A:$K,11,0)</f>
        <v>9013</v>
      </c>
      <c r="K64" s="25" t="str">
        <f>VLOOKUP($A64,'4'!$A:$K,11,0)</f>
        <v>ERROR: reducible RootOf detected. Substitutions are %1</v>
      </c>
      <c r="L64" s="25" t="str">
        <f>VLOOKUP($A64,'5'!$A:$K,11,0)</f>
        <v>ERROR: reducible RootOf detected. Substitutions are %1</v>
      </c>
      <c r="M64" s="25">
        <f>VLOOKUP($A64,'6'!$A:$K,11,0)</f>
        <v>9013</v>
      </c>
      <c r="N64" s="5" t="str">
        <f t="shared" si="0"/>
        <v>RC</v>
      </c>
      <c r="O64" s="5">
        <f t="shared" si="1"/>
        <v>3</v>
      </c>
      <c r="P64" s="5" t="s">
        <v>145</v>
      </c>
      <c r="Q64" s="11" t="str">
        <f t="shared" si="3"/>
        <v/>
      </c>
      <c r="R64" s="11" t="str">
        <f t="shared" si="4"/>
        <v xml:space="preserve">1: Error: Reducible RootOf. 2: Error: Reducible RootOf. 4: Error: Reducible RootOf. 5: Error: Reducible RootOf. </v>
      </c>
      <c r="S64" s="12" t="s">
        <v>47</v>
      </c>
      <c r="T64" s="5"/>
    </row>
    <row r="65" spans="1:20" hidden="1">
      <c r="A65">
        <v>126</v>
      </c>
      <c r="B65" s="25" t="str">
        <f>VLOOKUP($A65,'1'!$A:$F,6,0)</f>
        <v>TIME OUT</v>
      </c>
      <c r="C65" s="25" t="str">
        <f>VLOOKUP($A65,'2'!$A:$F,6,0)</f>
        <v>TIME OUT</v>
      </c>
      <c r="D65" s="25">
        <f>VLOOKUP($A65,'3'!$A:$F,6,0)</f>
        <v>9009</v>
      </c>
      <c r="E65" s="25" t="str">
        <f>VLOOKUP($A65,'4'!$A:$F,6,0)</f>
        <v>TIME OUT</v>
      </c>
      <c r="F65" s="25" t="str">
        <f>VLOOKUP($A65,'5'!$A:$F,6,0)</f>
        <v>TIME OUT</v>
      </c>
      <c r="G65" s="26">
        <f>VLOOKUP($A65,'6'!$A:$F,6,0)</f>
        <v>9009</v>
      </c>
      <c r="H65" s="25" t="str">
        <f>VLOOKUP($A65,'1'!$A:$K,11,0)</f>
        <v>ERROR: reducible RootOf detected. Substitutions are %1</v>
      </c>
      <c r="I65" s="25" t="str">
        <f>VLOOKUP($A65,'2'!$A:$K,11,0)</f>
        <v>ERROR: reducible RootOf detected. Substitutions are %1</v>
      </c>
      <c r="J65" s="25">
        <f>VLOOKUP($A65,'3'!$A:$K,11,0)</f>
        <v>9013</v>
      </c>
      <c r="K65" s="25" t="str">
        <f>VLOOKUP($A65,'4'!$A:$K,11,0)</f>
        <v>ERROR: reducible RootOf detected. Substitutions are %1</v>
      </c>
      <c r="L65" s="25" t="str">
        <f>VLOOKUP($A65,'5'!$A:$K,11,0)</f>
        <v>ERROR: reducible RootOf detected. Substitutions are %1</v>
      </c>
      <c r="M65" s="25">
        <f>VLOOKUP($A65,'6'!$A:$K,11,0)</f>
        <v>9013</v>
      </c>
      <c r="N65" s="5" t="str">
        <f t="shared" si="0"/>
        <v>RC</v>
      </c>
      <c r="O65" s="5">
        <f t="shared" si="1"/>
        <v>3</v>
      </c>
      <c r="P65" s="5" t="s">
        <v>145</v>
      </c>
      <c r="Q65" s="11" t="str">
        <f t="shared" si="3"/>
        <v/>
      </c>
      <c r="R65" s="11" t="str">
        <f t="shared" si="4"/>
        <v xml:space="preserve">1: Error: Reducible RootOf. 2: Error: Reducible RootOf. 4: Error: Reducible RootOf. 5: Error: Reducible RootOf. </v>
      </c>
      <c r="S65" s="12" t="s">
        <v>47</v>
      </c>
      <c r="T65" s="5"/>
    </row>
    <row r="66" spans="1:20" hidden="1">
      <c r="A66">
        <v>128</v>
      </c>
      <c r="B66" s="25" t="str">
        <f>VLOOKUP($A66,'1'!$A:$F,6,0)</f>
        <v>TIME OUT</v>
      </c>
      <c r="C66" s="25">
        <f>VLOOKUP($A66,'2'!$A:$F,6,0)</f>
        <v>93723</v>
      </c>
      <c r="D66" s="25">
        <f>VLOOKUP($A66,'3'!$A:$F,6,0)</f>
        <v>15795</v>
      </c>
      <c r="E66" s="25" t="str">
        <f>VLOOKUP($A66,'4'!$A:$F,6,0)</f>
        <v>TIME OUT</v>
      </c>
      <c r="F66" s="25">
        <f>VLOOKUP($A66,'5'!$A:$F,6,0)</f>
        <v>93723</v>
      </c>
      <c r="G66" s="26">
        <f>VLOOKUP($A66,'6'!$A:$F,6,0)</f>
        <v>15795</v>
      </c>
      <c r="H66" s="25" t="str">
        <f>VLOOKUP($A66,'1'!$A:$K,11,0)</f>
        <v>ERROR: attempt to refine root to target precision %1 failed with last working precision %2</v>
      </c>
      <c r="I66" s="25">
        <f>VLOOKUP($A66,'2'!$A:$K,11,0)</f>
        <v>93737</v>
      </c>
      <c r="J66" s="25">
        <f>VLOOKUP($A66,'3'!$A:$K,11,0)</f>
        <v>15799</v>
      </c>
      <c r="K66" s="25" t="str">
        <f>VLOOKUP($A66,'4'!$A:$K,11,0)</f>
        <v>ERROR: attempt to refine root to target precision %1 failed with last working precision %2</v>
      </c>
      <c r="L66" s="25">
        <f>VLOOKUP($A66,'5'!$A:$K,11,0)</f>
        <v>93737</v>
      </c>
      <c r="M66" s="25">
        <f>VLOOKUP($A66,'6'!$A:$K,11,0)</f>
        <v>15799</v>
      </c>
      <c r="N66" s="5" t="str">
        <f t="shared" si="0"/>
        <v>RC</v>
      </c>
      <c r="O66" s="5">
        <f t="shared" si="1"/>
        <v>3</v>
      </c>
      <c r="P66" s="5" t="s">
        <v>145</v>
      </c>
      <c r="Q66" s="11" t="str">
        <f t="shared" si="3"/>
        <v/>
      </c>
      <c r="R66" s="11" t="str">
        <f t="shared" si="4"/>
        <v xml:space="preserve">1: Error: Root refine. 4: Error: Root refine. </v>
      </c>
      <c r="S66" s="12" t="s">
        <v>47</v>
      </c>
      <c r="T66" s="5"/>
    </row>
    <row r="67" spans="1:20" hidden="1">
      <c r="A67">
        <v>129</v>
      </c>
      <c r="B67" s="25" t="str">
        <f>VLOOKUP($A67,'1'!$A:$F,6,0)</f>
        <v>TIME OUT</v>
      </c>
      <c r="C67" s="25">
        <f>VLOOKUP($A67,'2'!$A:$F,6,0)</f>
        <v>35729</v>
      </c>
      <c r="D67" s="25">
        <f>VLOOKUP($A67,'3'!$A:$F,6,0)</f>
        <v>8051</v>
      </c>
      <c r="E67" s="25" t="str">
        <f>VLOOKUP($A67,'4'!$A:$F,6,0)</f>
        <v>TIME OUT</v>
      </c>
      <c r="F67" s="25">
        <f>VLOOKUP($A67,'5'!$A:$F,6,0)</f>
        <v>35729</v>
      </c>
      <c r="G67" s="26">
        <f>VLOOKUP($A67,'6'!$A:$F,6,0)</f>
        <v>8051</v>
      </c>
      <c r="H67" s="25" t="str">
        <f>VLOOKUP($A67,'1'!$A:$K,11,0)</f>
        <v>ERROR: attempt to refine root to target precision %1 failed with last working precision %2</v>
      </c>
      <c r="I67" s="25">
        <f>VLOOKUP($A67,'2'!$A:$K,11,0)</f>
        <v>35743</v>
      </c>
      <c r="J67" s="25">
        <f>VLOOKUP($A67,'3'!$A:$K,11,0)</f>
        <v>8055</v>
      </c>
      <c r="K67" s="25" t="str">
        <f>VLOOKUP($A67,'4'!$A:$K,11,0)</f>
        <v>ERROR: attempt to refine root to target precision %1 failed with last working precision %2</v>
      </c>
      <c r="L67" s="25">
        <f>VLOOKUP($A67,'5'!$A:$K,11,0)</f>
        <v>35743</v>
      </c>
      <c r="M67" s="25">
        <f>VLOOKUP($A67,'6'!$A:$K,11,0)</f>
        <v>8055</v>
      </c>
      <c r="N67" s="5" t="str">
        <f t="shared" si="0"/>
        <v>RC</v>
      </c>
      <c r="O67" s="5">
        <f t="shared" si="1"/>
        <v>3</v>
      </c>
      <c r="P67" s="5" t="s">
        <v>145</v>
      </c>
      <c r="Q67" s="11" t="str">
        <f t="shared" si="3"/>
        <v/>
      </c>
      <c r="R67" s="11" t="str">
        <f t="shared" si="4"/>
        <v xml:space="preserve">1: Error: Root refine. 4: Error: Root refine. </v>
      </c>
      <c r="S67" s="12" t="s">
        <v>47</v>
      </c>
      <c r="T67" s="5"/>
    </row>
    <row r="68" spans="1:20" hidden="1">
      <c r="A68">
        <v>131</v>
      </c>
      <c r="B68" s="25" t="str">
        <f>VLOOKUP($A68,'1'!$A:$F,6,0)</f>
        <v>TIME OUT</v>
      </c>
      <c r="C68" s="25">
        <f>VLOOKUP($A68,'2'!$A:$F,6,0)</f>
        <v>93723</v>
      </c>
      <c r="D68" s="25">
        <f>VLOOKUP($A68,'3'!$A:$F,6,0)</f>
        <v>15795</v>
      </c>
      <c r="E68" s="25" t="str">
        <f>VLOOKUP($A68,'4'!$A:$F,6,0)</f>
        <v>TIME OUT</v>
      </c>
      <c r="F68" s="25">
        <f>VLOOKUP($A68,'5'!$A:$F,6,0)</f>
        <v>93723</v>
      </c>
      <c r="G68" s="26">
        <f>VLOOKUP($A68,'6'!$A:$F,6,0)</f>
        <v>15795</v>
      </c>
      <c r="H68" s="25" t="str">
        <f>VLOOKUP($A68,'1'!$A:$K,11,0)</f>
        <v>ERROR: attempt to refine root to target precision %1 failed with last working precision %2</v>
      </c>
      <c r="I68" s="25">
        <f>VLOOKUP($A68,'2'!$A:$K,11,0)</f>
        <v>93737</v>
      </c>
      <c r="J68" s="25">
        <f>VLOOKUP($A68,'3'!$A:$K,11,0)</f>
        <v>15799</v>
      </c>
      <c r="K68" s="25" t="str">
        <f>VLOOKUP($A68,'4'!$A:$K,11,0)</f>
        <v>ERROR: attempt to refine root to target precision %1 failed with last working precision %2</v>
      </c>
      <c r="L68" s="25">
        <f>VLOOKUP($A68,'5'!$A:$K,11,0)</f>
        <v>93737</v>
      </c>
      <c r="M68" s="25">
        <f>VLOOKUP($A68,'6'!$A:$K,11,0)</f>
        <v>15799</v>
      </c>
      <c r="N68" s="5" t="str">
        <f>IF(MATCH(MIN($B68:$M68),$B68:$M68,0)&gt;6,"QE","RC")</f>
        <v>RC</v>
      </c>
      <c r="O68" s="5">
        <f>MATCH(MIN($B68:$M68),$B68:$M68,0)</f>
        <v>3</v>
      </c>
      <c r="P68" s="5" t="s">
        <v>145</v>
      </c>
      <c r="Q68" s="11" t="str">
        <f>IF(LEFT(B68,5)="ERROR","1: "&amp;VLOOKUP(B68,$T$31:$U$34,2,0)&amp;". ","")&amp;IF(LEFT(C68,5)="ERROR","2: "&amp;VLOOKUP(C68,$T$31:$U$34,2,0)&amp;". ","")&amp;IF(LEFT(D68,5)="ERROR","3: "&amp;VLOOKUP(D68,$T$31:$U$34,2,0)&amp;". ","")&amp;IF(LEFT(E68,5)="ERROR","4: "&amp;VLOOKUP(E68,$T$31:$U$34,2,0)&amp;". ","")&amp;IF(LEFT(F68,5)="ERROR","5: "&amp;VLOOKUP(F68,$T$31:$U$34,2,0)&amp;". ","")&amp;IF(LEFT(G68,5)="ERROR","6: "&amp;G68,"")</f>
        <v/>
      </c>
      <c r="R68" s="11" t="str">
        <f>IF(LEFT(H68,5)="ERROR","1: "&amp;VLOOKUP(H68,$T$31:$U$34,2,0)&amp;". ","")&amp;IF(LEFT(I68,5)="ERROR","2: "&amp;VLOOKUP(I68,$T$31:$U$34,2,0)&amp;". ","")&amp;IF(LEFT(J68,5)="ERROR","3: "&amp;VLOOKUP(J68,$T$31:$U$34,2,0)&amp;". ","")&amp;IF(LEFT(K68,5)="ERROR","4: "&amp;VLOOKUP(K68,$T$31:$U$34,2,0)&amp;". ","")&amp;IF(LEFT(L68,5)="ERROR","5: "&amp;VLOOKUP(L68,$T$31:$U$34,2,0)&amp;". ","")&amp;IF(LEFT(M68,5)="ERROR","6: "&amp;M68,"")</f>
        <v xml:space="preserve">1: Error: Root refine. 4: Error: Root refine. </v>
      </c>
      <c r="S68" s="12" t="s">
        <v>47</v>
      </c>
      <c r="T68" s="5"/>
    </row>
    <row r="69" spans="1:20" hidden="1">
      <c r="A69">
        <v>132</v>
      </c>
      <c r="B69" s="25" t="str">
        <f>VLOOKUP($A69,'1'!$A:$F,6,0)</f>
        <v>TIME OUT</v>
      </c>
      <c r="C69" s="25">
        <f>VLOOKUP($A69,'2'!$A:$F,6,0)</f>
        <v>35729</v>
      </c>
      <c r="D69" s="25">
        <f>VLOOKUP($A69,'3'!$A:$F,6,0)</f>
        <v>8051</v>
      </c>
      <c r="E69" s="25" t="str">
        <f>VLOOKUP($A69,'4'!$A:$F,6,0)</f>
        <v>TIME OUT</v>
      </c>
      <c r="F69" s="25">
        <f>VLOOKUP($A69,'5'!$A:$F,6,0)</f>
        <v>35729</v>
      </c>
      <c r="G69" s="26">
        <f>VLOOKUP($A69,'6'!$A:$F,6,0)</f>
        <v>8051</v>
      </c>
      <c r="H69" s="25" t="str">
        <f>VLOOKUP($A69,'1'!$A:$K,11,0)</f>
        <v>ERROR: attempt to refine root to target precision %1 failed with last working precision %2</v>
      </c>
      <c r="I69" s="25">
        <f>VLOOKUP($A69,'2'!$A:$K,11,0)</f>
        <v>35743</v>
      </c>
      <c r="J69" s="25">
        <f>VLOOKUP($A69,'3'!$A:$K,11,0)</f>
        <v>8055</v>
      </c>
      <c r="K69" s="25" t="str">
        <f>VLOOKUP($A69,'4'!$A:$K,11,0)</f>
        <v>ERROR: attempt to refine root to target precision %1 failed with last working precision %2</v>
      </c>
      <c r="L69" s="25">
        <f>VLOOKUP($A69,'5'!$A:$K,11,0)</f>
        <v>35743</v>
      </c>
      <c r="M69" s="25">
        <f>VLOOKUP($A69,'6'!$A:$K,11,0)</f>
        <v>8055</v>
      </c>
      <c r="N69" s="5" t="str">
        <f>IF(MATCH(MIN($B69:$M69),$B69:$M69,0)&gt;6,"QE","RC")</f>
        <v>RC</v>
      </c>
      <c r="O69" s="5">
        <f>MATCH(MIN($B69:$M69),$B69:$M69,0)</f>
        <v>3</v>
      </c>
      <c r="P69" s="5" t="s">
        <v>145</v>
      </c>
      <c r="Q69" s="11" t="str">
        <f>IF(LEFT(B69,5)="ERROR","1: "&amp;VLOOKUP(B69,$T$31:$U$34,2,0)&amp;". ","")&amp;IF(LEFT(C69,5)="ERROR","2: "&amp;VLOOKUP(C69,$T$31:$U$34,2,0)&amp;". ","")&amp;IF(LEFT(D69,5)="ERROR","3: "&amp;VLOOKUP(D69,$T$31:$U$34,2,0)&amp;". ","")&amp;IF(LEFT(E69,5)="ERROR","4: "&amp;VLOOKUP(E69,$T$31:$U$34,2,0)&amp;". ","")&amp;IF(LEFT(F69,5)="ERROR","5: "&amp;VLOOKUP(F69,$T$31:$U$34,2,0)&amp;". ","")&amp;IF(LEFT(G69,5)="ERROR","6: "&amp;G69,"")</f>
        <v/>
      </c>
      <c r="R69" s="11" t="str">
        <f>IF(LEFT(H69,5)="ERROR","1: "&amp;VLOOKUP(H69,$T$31:$U$34,2,0)&amp;". ","")&amp;IF(LEFT(I69,5)="ERROR","2: "&amp;VLOOKUP(I69,$T$31:$U$34,2,0)&amp;". ","")&amp;IF(LEFT(J69,5)="ERROR","3: "&amp;VLOOKUP(J69,$T$31:$U$34,2,0)&amp;". ","")&amp;IF(LEFT(K69,5)="ERROR","4: "&amp;VLOOKUP(K69,$T$31:$U$34,2,0)&amp;". ","")&amp;IF(LEFT(L69,5)="ERROR","5: "&amp;VLOOKUP(L69,$T$31:$U$34,2,0)&amp;". ","")&amp;IF(LEFT(M69,5)="ERROR","6: "&amp;M69,"")</f>
        <v xml:space="preserve">1: Error: Root refine. 4: Error: Root refine. </v>
      </c>
      <c r="S69" s="12" t="s">
        <v>47</v>
      </c>
      <c r="T69" s="5"/>
    </row>
    <row r="70" spans="1:20">
      <c r="T70" s="5"/>
    </row>
  </sheetData>
  <autoFilter ref="A1:AF69" xr:uid="{46F900E8-1872-4480-9B88-8B36733592F2}"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5">
      <filters>
        <filter val="ALL"/>
      </filters>
    </filterColumn>
  </autoFilter>
  <mergeCells count="15">
    <mergeCell ref="U18:Z18"/>
    <mergeCell ref="AA18:AF18"/>
    <mergeCell ref="U10:AF10"/>
    <mergeCell ref="U11:Z11"/>
    <mergeCell ref="AA11:AF11"/>
    <mergeCell ref="U16:Z16"/>
    <mergeCell ref="AA16:AF16"/>
    <mergeCell ref="U17:Z17"/>
    <mergeCell ref="AA17:AF17"/>
    <mergeCell ref="B1:G1"/>
    <mergeCell ref="H1:M1"/>
    <mergeCell ref="U3:V3"/>
    <mergeCell ref="U6:AF6"/>
    <mergeCell ref="U7:Z7"/>
    <mergeCell ref="AA7:AF7"/>
  </mergeCells>
  <conditionalFormatting sqref="B3:G69">
    <cfRule type="cellIs" dxfId="12" priority="19" operator="equal">
      <formula>MIN($B3:$G3)</formula>
    </cfRule>
    <cfRule type="cellIs" dxfId="11" priority="20" operator="equal">
      <formula>MAX($B3:$G3)</formula>
    </cfRule>
  </conditionalFormatting>
  <conditionalFormatting sqref="B3:M69">
    <cfRule type="containsText" dxfId="10" priority="4" operator="containsText" text="ERROR">
      <formula>NOT(ISERROR(SEARCH("ERROR",B3)))</formula>
    </cfRule>
    <cfRule type="containsText" dxfId="9" priority="23" operator="containsText" text="TIME OUT">
      <formula>NOT(ISERROR(SEARCH("TIME OUT",B3)))</formula>
    </cfRule>
  </conditionalFormatting>
  <conditionalFormatting sqref="H3:M69">
    <cfRule type="cellIs" dxfId="8" priority="21" operator="equal">
      <formula>MIN($H3:$M3)</formula>
    </cfRule>
    <cfRule type="cellIs" dxfId="7" priority="22" operator="equal">
      <formula>MAX($H3:$M3)</formula>
    </cfRule>
  </conditionalFormatting>
  <conditionalFormatting sqref="U12:AF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AF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:AF16">
    <cfRule type="colorScale" priority="3">
      <colorScale>
        <cfvo type="num" val="0"/>
        <cfvo type="percentile" val="50"/>
        <cfvo type="num" val="1"/>
        <color rgb="FFFF0000"/>
        <color rgb="FFFFEB84"/>
        <color rgb="FF00B050"/>
      </colorScale>
    </cfRule>
  </conditionalFormatting>
  <conditionalFormatting sqref="U17:AF17">
    <cfRule type="colorScale" priority="2">
      <colorScale>
        <cfvo type="num" val="0"/>
        <cfvo type="percentile" val="50"/>
        <cfvo type="num" val="1"/>
        <color rgb="FF92D050"/>
        <color rgb="FFFFEB84"/>
        <color rgb="FFFF0000"/>
      </colorScale>
    </cfRule>
  </conditionalFormatting>
  <conditionalFormatting sqref="U18:AF18">
    <cfRule type="colorScale" priority="1">
      <colorScale>
        <cfvo type="num" val="0"/>
        <cfvo type="percentile" val="50"/>
        <cfvo type="num" val="1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C337-6196-44C7-97EC-C009C1CC5A42}">
  <dimension ref="A1:AG70"/>
  <sheetViews>
    <sheetView zoomScale="80" zoomScaleNormal="80" workbookViewId="0">
      <pane ySplit="2" topLeftCell="A45" activePane="bottomLeft" state="frozen"/>
      <selection pane="bottomLeft" activeCell="P9" sqref="P9"/>
    </sheetView>
  </sheetViews>
  <sheetFormatPr defaultRowHeight="15"/>
  <cols>
    <col min="1" max="1" width="10.140625" bestFit="1" customWidth="1"/>
    <col min="2" max="13" width="11.85546875" customWidth="1"/>
    <col min="14" max="14" width="5.42578125" customWidth="1"/>
    <col min="15" max="15" width="4" customWidth="1"/>
    <col min="16" max="16" width="42.28515625" customWidth="1"/>
    <col min="17" max="17" width="35.140625" customWidth="1"/>
    <col min="18" max="18" width="134.85546875" bestFit="1" customWidth="1"/>
    <col min="19" max="19" width="2.7109375" customWidth="1"/>
    <col min="20" max="20" width="40.28515625" customWidth="1"/>
  </cols>
  <sheetData>
    <row r="1" spans="1:33">
      <c r="A1" s="1" t="s">
        <v>0</v>
      </c>
      <c r="B1" s="31" t="s">
        <v>134</v>
      </c>
      <c r="C1" s="31"/>
      <c r="D1" s="31"/>
      <c r="E1" s="31"/>
      <c r="F1" s="31"/>
      <c r="G1" s="32"/>
      <c r="H1" s="31" t="s">
        <v>135</v>
      </c>
      <c r="I1" s="31"/>
      <c r="J1" s="31"/>
      <c r="K1" s="31"/>
      <c r="L1" s="31"/>
      <c r="M1" s="31"/>
    </row>
    <row r="2" spans="1:33">
      <c r="A2" s="1" t="s">
        <v>0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79</v>
      </c>
      <c r="Q2" s="8" t="s">
        <v>45</v>
      </c>
      <c r="R2" s="8" t="s">
        <v>46</v>
      </c>
      <c r="S2" s="8"/>
    </row>
    <row r="3" spans="1:33">
      <c r="A3">
        <v>17</v>
      </c>
      <c r="B3" s="27">
        <f>VLOOKUP($A3,'1'!$A:$D,3,0)</f>
        <v>25141480</v>
      </c>
      <c r="C3" s="27">
        <f>VLOOKUP($A3,'2'!$A:$E,3,0)</f>
        <v>25546212</v>
      </c>
      <c r="D3" s="27">
        <f>VLOOKUP($A3,'3'!$A:$E,3,0)</f>
        <v>25532180</v>
      </c>
      <c r="E3" s="27">
        <f>VLOOKUP($A3,'4'!$A:$E,3,0)</f>
        <v>13174858</v>
      </c>
      <c r="F3" s="27">
        <f>VLOOKUP($A3,'5'!$A:$E,3,0)</f>
        <v>19852602</v>
      </c>
      <c r="G3" s="28">
        <f>VLOOKUP($A3,'6'!$A:$E,3,0)</f>
        <v>19837390</v>
      </c>
      <c r="H3" s="27">
        <f>VLOOKUP($A3,'1'!$A:$J,8,0)</f>
        <v>17426908</v>
      </c>
      <c r="I3" s="27">
        <f>VLOOKUP($A3,'2'!$A:$J,8,0)</f>
        <v>11861819</v>
      </c>
      <c r="J3" s="27">
        <f>VLOOKUP($A3,'3'!$A:$J,8,0)</f>
        <v>11889032</v>
      </c>
      <c r="K3" s="27">
        <f>VLOOKUP($A3,'4'!$A:$J,8,0)</f>
        <v>18055921</v>
      </c>
      <c r="L3" s="27">
        <f>VLOOKUP($A3,'5'!$A:$J,8,0)</f>
        <v>13110164</v>
      </c>
      <c r="M3" s="27">
        <f>VLOOKUP($A3,'6'!$A:$J,8,0)</f>
        <v>13108624</v>
      </c>
      <c r="N3" s="5" t="str">
        <f>IF(MATCH(MIN($B3:$M3),$B3:$M3,0)&gt;6,"QE","RC")</f>
        <v>QE</v>
      </c>
      <c r="O3" s="5">
        <f>MATCH(MIN($B3:$M3),$B3:$M3,0)</f>
        <v>8</v>
      </c>
      <c r="P3" s="5" t="str">
        <f>INDEX($B$2:$M$2,MATCH(MIN(B3:M3),B3:M3,0))&amp;", "&amp;COUNTIF(B3:M3,MIN(B3:M3))</f>
        <v>QE2, 1</v>
      </c>
      <c r="Q3" s="11" t="str">
        <f>IF(LEFT(B3,5)="ERROR","1: "&amp;VLOOKUP(B3,$T$31:$U$34,2,0)&amp;". ","")&amp;IF(LEFT(C3,5)="ERROR","2: "&amp;VLOOKUP(C3,$T$31:$U$34,2,0)&amp;". ","")&amp;IF(LEFT(D3,5)="ERROR","3: "&amp;VLOOKUP(D3,$T$31:$U$34,2,0)&amp;". ","")&amp;IF(LEFT(E3,5)="ERROR","4: "&amp;VLOOKUP(E3,$T$31:$U$34,2,0)&amp;". ","")&amp;IF(LEFT(F3,5)="ERROR","5: "&amp;VLOOKUP(F3,$T$31:$U$34,2,0)&amp;". ","")&amp;IF(LEFT(G3,5)="ERROR","6: "&amp;G3,"")</f>
        <v/>
      </c>
      <c r="R3" s="11" t="str">
        <f>IF(LEFT(H3,5)="ERROR","1: "&amp;VLOOKUP(H3,$T$31:$U$34,2,0)&amp;". ","")&amp;IF(LEFT(I3,5)="ERROR","2: "&amp;VLOOKUP(I3,$T$31:$U$34,2,0)&amp;". ","")&amp;IF(LEFT(J3,5)="ERROR","3: "&amp;VLOOKUP(J3,$T$31:$U$34,2,0)&amp;". ","")&amp;IF(LEFT(K3,5)="ERROR","4: "&amp;VLOOKUP(K3,$T$31:$U$34,2,0)&amp;". ","")&amp;IF(LEFT(L3,5)="ERROR","5: "&amp;VLOOKUP(L3,$T$31:$U$34,2,0)&amp;". ","")&amp;IF(LEFT(M3,5)="ERROR","6: "&amp;M3,"")</f>
        <v/>
      </c>
      <c r="S3" s="12" t="s">
        <v>47</v>
      </c>
      <c r="T3" s="5"/>
      <c r="U3" s="31" t="s">
        <v>131</v>
      </c>
      <c r="V3" s="31"/>
    </row>
    <row r="4" spans="1:33">
      <c r="A4">
        <v>19</v>
      </c>
      <c r="B4" s="27">
        <f>VLOOKUP($A4,'1'!$A:$D,3,0)</f>
        <v>25141407</v>
      </c>
      <c r="C4" s="27">
        <f>VLOOKUP($A4,'2'!$A:$E,3,0)</f>
        <v>25546936</v>
      </c>
      <c r="D4" s="27">
        <f>VLOOKUP($A4,'3'!$A:$E,3,0)</f>
        <v>25530265</v>
      </c>
      <c r="E4" s="27">
        <f>VLOOKUP($A4,'4'!$A:$E,3,0)</f>
        <v>12157645</v>
      </c>
      <c r="F4" s="27">
        <f>VLOOKUP($A4,'5'!$A:$E,3,0)</f>
        <v>18538026</v>
      </c>
      <c r="G4" s="28">
        <f>VLOOKUP($A4,'6'!$A:$E,3,0)</f>
        <v>18520615</v>
      </c>
      <c r="H4" s="27">
        <f>VLOOKUP($A4,'1'!$A:$J,8,0)</f>
        <v>17427183</v>
      </c>
      <c r="I4" s="27">
        <f>VLOOKUP($A4,'2'!$A:$J,8,0)</f>
        <v>11872994</v>
      </c>
      <c r="J4" s="27">
        <f>VLOOKUP($A4,'3'!$A:$J,8,0)</f>
        <v>11887664</v>
      </c>
      <c r="K4" s="27">
        <f>VLOOKUP($A4,'4'!$A:$J,8,0)</f>
        <v>18046343</v>
      </c>
      <c r="L4" s="27">
        <f>VLOOKUP($A4,'5'!$A:$J,8,0)</f>
        <v>13108239</v>
      </c>
      <c r="M4" s="27">
        <f>VLOOKUP($A4,'6'!$A:$J,8,0)</f>
        <v>13103042</v>
      </c>
      <c r="N4" s="5" t="str">
        <f t="shared" ref="N4:N67" si="0">IF(MATCH(MIN($B4:$M4),$B4:$M4,0)&gt;6,"QE","RC")</f>
        <v>QE</v>
      </c>
      <c r="O4" s="5">
        <f t="shared" ref="O4:O67" si="1">MATCH(MIN($B4:$M4),$B4:$M4,0)</f>
        <v>8</v>
      </c>
      <c r="P4" s="5" t="str">
        <f t="shared" ref="P4:P67" si="2">INDEX($B$2:$M$2,MATCH(MIN(B4:M4),B4:M4,0))&amp;", "&amp;COUNTIF(B4:M4,MIN(B4:M4))</f>
        <v>QE2, 1</v>
      </c>
      <c r="Q4" s="11" t="str">
        <f t="shared" ref="Q4:Q67" si="3">IF(LEFT(B4,5)="ERROR","1: "&amp;VLOOKUP(B4,$T$31:$U$34,2,0)&amp;". ","")&amp;IF(LEFT(C4,5)="ERROR","2: "&amp;VLOOKUP(C4,$T$31:$U$34,2,0)&amp;". ","")&amp;IF(LEFT(D4,5)="ERROR","3: "&amp;VLOOKUP(D4,$T$31:$U$34,2,0)&amp;". ","")&amp;IF(LEFT(E4,5)="ERROR","4: "&amp;VLOOKUP(E4,$T$31:$U$34,2,0)&amp;". ","")&amp;IF(LEFT(F4,5)="ERROR","5: "&amp;VLOOKUP(F4,$T$31:$U$34,2,0)&amp;". ","")&amp;IF(LEFT(G4,5)="ERROR","6: "&amp;G4,"")</f>
        <v/>
      </c>
      <c r="R4" s="11" t="str">
        <f t="shared" ref="R4:R67" si="4">IF(LEFT(H4,5)="ERROR","1: "&amp;VLOOKUP(H4,$T$31:$U$34,2,0)&amp;". ","")&amp;IF(LEFT(I4,5)="ERROR","2: "&amp;VLOOKUP(I4,$T$31:$U$34,2,0)&amp;". ","")&amp;IF(LEFT(J4,5)="ERROR","3: "&amp;VLOOKUP(J4,$T$31:$U$34,2,0)&amp;". ","")&amp;IF(LEFT(K4,5)="ERROR","4: "&amp;VLOOKUP(K4,$T$31:$U$34,2,0)&amp;". ","")&amp;IF(LEFT(L4,5)="ERROR","5: "&amp;VLOOKUP(L4,$T$31:$U$34,2,0)&amp;". ","")&amp;IF(LEFT(M4,5)="ERROR","6: "&amp;M4,"")</f>
        <v/>
      </c>
      <c r="S4" s="12" t="s">
        <v>47</v>
      </c>
      <c r="T4" s="5"/>
      <c r="U4" s="5" t="s">
        <v>30</v>
      </c>
      <c r="V4" s="5" t="s">
        <v>31</v>
      </c>
      <c r="X4" t="s">
        <v>49</v>
      </c>
      <c r="Y4" t="s">
        <v>50</v>
      </c>
    </row>
    <row r="5" spans="1:33">
      <c r="A5">
        <v>20</v>
      </c>
      <c r="B5" s="27">
        <f>VLOOKUP($A5,'1'!$A:$D,3,0)</f>
        <v>47006724</v>
      </c>
      <c r="C5" s="27">
        <f>VLOOKUP($A5,'2'!$A:$E,3,0)</f>
        <v>47979637</v>
      </c>
      <c r="D5" s="27">
        <f>VLOOKUP($A5,'3'!$A:$E,3,0)</f>
        <v>47962111</v>
      </c>
      <c r="E5" s="27">
        <f>VLOOKUP($A5,'4'!$A:$E,3,0)</f>
        <v>25942695</v>
      </c>
      <c r="F5" s="27">
        <f>VLOOKUP($A5,'5'!$A:$E,3,0)</f>
        <v>38389053</v>
      </c>
      <c r="G5" s="28">
        <f>VLOOKUP($A5,'6'!$A:$E,3,0)</f>
        <v>38373508</v>
      </c>
      <c r="H5" s="27">
        <f>VLOOKUP($A5,'1'!$A:$J,8,0)</f>
        <v>30564586</v>
      </c>
      <c r="I5" s="27">
        <f>VLOOKUP($A5,'2'!$A:$J,8,0)</f>
        <v>21850910</v>
      </c>
      <c r="J5" s="27">
        <f>VLOOKUP($A5,'3'!$A:$J,8,0)</f>
        <v>21874802</v>
      </c>
      <c r="K5" s="27">
        <f>VLOOKUP($A5,'4'!$A:$J,8,0)</f>
        <v>30887913</v>
      </c>
      <c r="L5" s="27">
        <f>VLOOKUP($A5,'5'!$A:$J,8,0)</f>
        <v>24115828</v>
      </c>
      <c r="M5" s="27">
        <f>VLOOKUP($A5,'6'!$A:$J,8,0)</f>
        <v>24110344</v>
      </c>
      <c r="N5" s="5" t="str">
        <f t="shared" si="0"/>
        <v>QE</v>
      </c>
      <c r="O5" s="5">
        <f t="shared" si="1"/>
        <v>8</v>
      </c>
      <c r="P5" s="5" t="str">
        <f t="shared" si="2"/>
        <v>QE2, 1</v>
      </c>
      <c r="Q5" s="11" t="str">
        <f t="shared" si="3"/>
        <v/>
      </c>
      <c r="R5" s="11" t="str">
        <f t="shared" si="4"/>
        <v/>
      </c>
      <c r="S5" s="12" t="s">
        <v>47</v>
      </c>
      <c r="T5" s="5"/>
      <c r="U5">
        <f>COUNTIF($N:$N,U4)</f>
        <v>35</v>
      </c>
      <c r="V5">
        <f>COUNTIF($N:$N,V4)</f>
        <v>32</v>
      </c>
    </row>
    <row r="6" spans="1:33">
      <c r="A6">
        <v>22</v>
      </c>
      <c r="B6" s="27">
        <f>VLOOKUP($A6,'1'!$A:$D,3,0)</f>
        <v>46986784</v>
      </c>
      <c r="C6" s="27">
        <f>VLOOKUP($A6,'2'!$A:$E,3,0)</f>
        <v>47980916</v>
      </c>
      <c r="D6" s="27">
        <f>VLOOKUP($A6,'3'!$A:$E,3,0)</f>
        <v>47107885</v>
      </c>
      <c r="E6" s="27">
        <f>VLOOKUP($A6,'4'!$A:$E,3,0)</f>
        <v>24526137</v>
      </c>
      <c r="F6" s="27">
        <f>VLOOKUP($A6,'5'!$A:$E,3,0)</f>
        <v>35899067</v>
      </c>
      <c r="G6" s="28">
        <f>VLOOKUP($A6,'6'!$A:$E,3,0)</f>
        <v>35882679</v>
      </c>
      <c r="H6" s="27">
        <f>VLOOKUP($A6,'1'!$A:$J,8,0)</f>
        <v>30558938</v>
      </c>
      <c r="I6" s="27">
        <f>VLOOKUP($A6,'2'!$A:$J,8,0)</f>
        <v>21833220</v>
      </c>
      <c r="J6" s="27">
        <f>VLOOKUP($A6,'3'!$A:$J,8,0)</f>
        <v>21885479</v>
      </c>
      <c r="K6" s="27">
        <f>VLOOKUP($A6,'4'!$A:$J,8,0)</f>
        <v>30824461</v>
      </c>
      <c r="L6" s="27">
        <f>VLOOKUP($A6,'5'!$A:$J,8,0)</f>
        <v>24938923</v>
      </c>
      <c r="M6" s="27">
        <f>VLOOKUP($A6,'6'!$A:$J,8,0)</f>
        <v>24920195</v>
      </c>
      <c r="N6" s="5" t="str">
        <f t="shared" si="0"/>
        <v>QE</v>
      </c>
      <c r="O6" s="5">
        <f t="shared" si="1"/>
        <v>8</v>
      </c>
      <c r="P6" s="5" t="str">
        <f t="shared" si="2"/>
        <v>QE2, 1</v>
      </c>
      <c r="Q6" s="11" t="str">
        <f t="shared" si="3"/>
        <v/>
      </c>
      <c r="R6" s="11" t="str">
        <f t="shared" si="4"/>
        <v/>
      </c>
      <c r="S6" s="12" t="s">
        <v>47</v>
      </c>
      <c r="T6" s="5"/>
      <c r="U6" s="31" t="s">
        <v>131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3">
      <c r="A7">
        <v>23</v>
      </c>
      <c r="B7" s="27">
        <f>VLOOKUP($A7,'1'!$A:$D,3,0)</f>
        <v>47018416</v>
      </c>
      <c r="C7" s="27">
        <f>VLOOKUP($A7,'2'!$A:$E,3,0)</f>
        <v>47148972</v>
      </c>
      <c r="D7" s="27">
        <f>VLOOKUP($A7,'3'!$A:$E,3,0)</f>
        <v>47136368</v>
      </c>
      <c r="E7" s="27">
        <f>VLOOKUP($A7,'4'!$A:$E,3,0)</f>
        <v>24105333</v>
      </c>
      <c r="F7" s="27">
        <f>VLOOKUP($A7,'5'!$A:$E,3,0)</f>
        <v>37598519</v>
      </c>
      <c r="G7" s="28">
        <f>VLOOKUP($A7,'6'!$A:$E,3,0)</f>
        <v>38397052</v>
      </c>
      <c r="H7" s="27">
        <f>VLOOKUP($A7,'1'!$A:$J,8,0)</f>
        <v>30562685</v>
      </c>
      <c r="I7" s="27">
        <f>VLOOKUP($A7,'2'!$A:$J,8,0)</f>
        <v>21871972</v>
      </c>
      <c r="J7" s="27">
        <f>VLOOKUP($A7,'3'!$A:$J,8,0)</f>
        <v>21906325</v>
      </c>
      <c r="K7" s="27">
        <f>VLOOKUP($A7,'4'!$A:$J,8,0)</f>
        <v>30865179</v>
      </c>
      <c r="L7" s="27">
        <f>VLOOKUP($A7,'5'!$A:$J,8,0)</f>
        <v>24156391</v>
      </c>
      <c r="M7" s="27">
        <f>VLOOKUP($A7,'6'!$A:$J,8,0)</f>
        <v>24146612</v>
      </c>
      <c r="N7" s="5" t="str">
        <f t="shared" si="0"/>
        <v>QE</v>
      </c>
      <c r="O7" s="5">
        <f t="shared" si="1"/>
        <v>8</v>
      </c>
      <c r="P7" s="5" t="str">
        <f t="shared" si="2"/>
        <v>QE2, 1</v>
      </c>
      <c r="Q7" s="11" t="str">
        <f t="shared" si="3"/>
        <v/>
      </c>
      <c r="R7" s="11" t="str">
        <f t="shared" si="4"/>
        <v/>
      </c>
      <c r="S7" s="12" t="s">
        <v>47</v>
      </c>
      <c r="T7" s="5"/>
      <c r="U7" s="33" t="s">
        <v>30</v>
      </c>
      <c r="V7" s="33"/>
      <c r="W7" s="33"/>
      <c r="X7" s="33"/>
      <c r="Y7" s="33"/>
      <c r="Z7" s="33"/>
      <c r="AA7" s="33" t="s">
        <v>31</v>
      </c>
      <c r="AB7" s="33"/>
      <c r="AC7" s="33"/>
      <c r="AD7" s="33"/>
      <c r="AE7" s="33"/>
      <c r="AF7" s="33"/>
    </row>
    <row r="8" spans="1:33">
      <c r="A8">
        <v>25</v>
      </c>
      <c r="B8" s="27">
        <f>VLOOKUP($A8,'1'!$A:$D,3,0)</f>
        <v>1747240238</v>
      </c>
      <c r="C8" s="27">
        <f>VLOOKUP($A8,'2'!$A:$E,3,0)</f>
        <v>1646074392</v>
      </c>
      <c r="D8" s="27">
        <f>VLOOKUP($A8,'3'!$A:$E,3,0)</f>
        <v>492365251</v>
      </c>
      <c r="E8" s="27">
        <f>VLOOKUP($A8,'4'!$A:$E,3,0)</f>
        <v>56259920</v>
      </c>
      <c r="F8" s="27">
        <f>VLOOKUP($A8,'5'!$A:$E,3,0)</f>
        <v>45563398</v>
      </c>
      <c r="G8" s="28">
        <f>VLOOKUP($A8,'6'!$A:$E,3,0)</f>
        <v>84530979</v>
      </c>
      <c r="H8" s="27" t="str">
        <f>VLOOKUP($A8,'1'!$A:$J,8,0)</f>
        <v>TIME OUT</v>
      </c>
      <c r="I8" s="27" t="str">
        <f>VLOOKUP($A8,'2'!$A:$J,8,0)</f>
        <v>ERROR: reducible RootOf detected. Substitutions are %1</v>
      </c>
      <c r="J8" s="27">
        <f>VLOOKUP($A8,'3'!$A:$J,8,0)</f>
        <v>386839115</v>
      </c>
      <c r="K8" s="27" t="str">
        <f>VLOOKUP($A8,'4'!$A:$J,8,0)</f>
        <v>TIME OUT</v>
      </c>
      <c r="L8" s="27">
        <f>VLOOKUP($A8,'5'!$A:$J,8,0)</f>
        <v>93114508</v>
      </c>
      <c r="M8" s="27">
        <f>VLOOKUP($A8,'6'!$A:$J,8,0)</f>
        <v>119038560</v>
      </c>
      <c r="N8" s="5" t="str">
        <f t="shared" si="0"/>
        <v>RC</v>
      </c>
      <c r="O8" s="5">
        <f t="shared" si="1"/>
        <v>5</v>
      </c>
      <c r="P8" s="5" t="str">
        <f t="shared" si="2"/>
        <v>RC5, 1</v>
      </c>
      <c r="Q8" s="11" t="str">
        <f t="shared" si="3"/>
        <v/>
      </c>
      <c r="R8" s="11" t="str">
        <f t="shared" si="4"/>
        <v xml:space="preserve">2: Error: Reducible RootOf. </v>
      </c>
      <c r="S8" s="12" t="s">
        <v>47</v>
      </c>
      <c r="T8" s="5"/>
      <c r="U8" s="8">
        <v>1</v>
      </c>
      <c r="V8" s="8">
        <v>2</v>
      </c>
      <c r="W8" s="8">
        <v>3</v>
      </c>
      <c r="X8" s="8">
        <v>4</v>
      </c>
      <c r="Y8" s="8">
        <v>5</v>
      </c>
      <c r="Z8" s="8">
        <v>6</v>
      </c>
      <c r="AA8" s="8">
        <v>1</v>
      </c>
      <c r="AB8" s="8">
        <v>2</v>
      </c>
      <c r="AC8" s="8">
        <v>3</v>
      </c>
      <c r="AD8" s="8">
        <v>4</v>
      </c>
      <c r="AE8" s="8">
        <v>5</v>
      </c>
      <c r="AF8" s="8">
        <v>6</v>
      </c>
    </row>
    <row r="9" spans="1:33">
      <c r="A9">
        <v>26</v>
      </c>
      <c r="B9" s="27">
        <f>VLOOKUP($A9,'1'!$A:$D,3,0)</f>
        <v>2329616</v>
      </c>
      <c r="C9" s="27">
        <f>VLOOKUP($A9,'2'!$A:$E,3,0)</f>
        <v>2343909</v>
      </c>
      <c r="D9" s="27">
        <f>VLOOKUP($A9,'3'!$A:$E,3,0)</f>
        <v>2329112</v>
      </c>
      <c r="E9" s="27">
        <f>VLOOKUP($A9,'4'!$A:$E,3,0)</f>
        <v>2037351</v>
      </c>
      <c r="F9" s="27">
        <f>VLOOKUP($A9,'5'!$A:$E,3,0)</f>
        <v>2256817</v>
      </c>
      <c r="G9" s="28">
        <f>VLOOKUP($A9,'6'!$A:$E,3,0)</f>
        <v>2246236</v>
      </c>
      <c r="H9" s="27">
        <f>VLOOKUP($A9,'1'!$A:$J,8,0)</f>
        <v>4424962</v>
      </c>
      <c r="I9" s="27">
        <f>VLOOKUP($A9,'2'!$A:$J,8,0)</f>
        <v>4435853</v>
      </c>
      <c r="J9" s="27">
        <f>VLOOKUP($A9,'3'!$A:$J,8,0)</f>
        <v>4433572</v>
      </c>
      <c r="K9" s="27">
        <f>VLOOKUP($A9,'4'!$A:$J,8,0)</f>
        <v>5139099</v>
      </c>
      <c r="L9" s="27">
        <f>VLOOKUP($A9,'5'!$A:$J,8,0)</f>
        <v>5145537</v>
      </c>
      <c r="M9" s="27">
        <f>VLOOKUP($A9,'6'!$A:$J,8,0)</f>
        <v>5138862</v>
      </c>
      <c r="N9" s="5" t="str">
        <f t="shared" si="0"/>
        <v>RC</v>
      </c>
      <c r="O9" s="5">
        <f t="shared" si="1"/>
        <v>4</v>
      </c>
      <c r="P9" s="5" t="str">
        <f t="shared" si="2"/>
        <v>RC4, 1</v>
      </c>
      <c r="Q9" s="11" t="str">
        <f t="shared" si="3"/>
        <v/>
      </c>
      <c r="R9" s="11" t="str">
        <f t="shared" si="4"/>
        <v/>
      </c>
      <c r="S9" s="12" t="s">
        <v>47</v>
      </c>
      <c r="T9" s="5"/>
      <c r="U9" s="5">
        <f t="shared" ref="U9:Z9" si="5">COUNTIF($O:$O,U8)</f>
        <v>0</v>
      </c>
      <c r="V9" s="5">
        <f t="shared" si="5"/>
        <v>0</v>
      </c>
      <c r="W9" s="5">
        <f t="shared" si="5"/>
        <v>2</v>
      </c>
      <c r="X9" s="5">
        <f t="shared" si="5"/>
        <v>1</v>
      </c>
      <c r="Y9" s="5">
        <f t="shared" si="5"/>
        <v>29</v>
      </c>
      <c r="Z9" s="5">
        <f t="shared" si="5"/>
        <v>3</v>
      </c>
      <c r="AA9" s="5">
        <f t="shared" ref="AA9:AF9" si="6">COUNTIF($O:$O,AA8+6)</f>
        <v>0</v>
      </c>
      <c r="AB9" s="5">
        <f t="shared" si="6"/>
        <v>10</v>
      </c>
      <c r="AC9" s="5">
        <f t="shared" si="6"/>
        <v>11</v>
      </c>
      <c r="AD9" s="5">
        <f t="shared" si="6"/>
        <v>0</v>
      </c>
      <c r="AE9" s="5">
        <f t="shared" si="6"/>
        <v>0</v>
      </c>
      <c r="AF9" s="5">
        <f t="shared" si="6"/>
        <v>11</v>
      </c>
    </row>
    <row r="10" spans="1:33">
      <c r="A10">
        <v>27</v>
      </c>
      <c r="B10" s="27">
        <f>VLOOKUP($A10,'1'!$A:$D,3,0)</f>
        <v>1747272133</v>
      </c>
      <c r="C10" s="27">
        <f>VLOOKUP($A10,'2'!$A:$E,3,0)</f>
        <v>1646963798</v>
      </c>
      <c r="D10" s="27">
        <f>VLOOKUP($A10,'3'!$A:$E,3,0)</f>
        <v>490675956</v>
      </c>
      <c r="E10" s="27">
        <f>VLOOKUP($A10,'4'!$A:$E,3,0)</f>
        <v>53326548</v>
      </c>
      <c r="F10" s="27">
        <f>VLOOKUP($A10,'5'!$A:$E,3,0)</f>
        <v>39871125</v>
      </c>
      <c r="G10" s="28">
        <f>VLOOKUP($A10,'6'!$A:$E,3,0)</f>
        <v>81579644</v>
      </c>
      <c r="H10" s="27" t="str">
        <f>VLOOKUP($A10,'1'!$A:$J,8,0)</f>
        <v>TIME OUT</v>
      </c>
      <c r="I10" s="27" t="str">
        <f>VLOOKUP($A10,'2'!$A:$J,8,0)</f>
        <v>ERROR: reducible RootOf detected. Substitutions are %1</v>
      </c>
      <c r="J10" s="27">
        <f>VLOOKUP($A10,'3'!$A:$J,8,0)</f>
        <v>393316707</v>
      </c>
      <c r="K10" s="27" t="str">
        <f>VLOOKUP($A10,'4'!$A:$J,8,0)</f>
        <v>TIME OUT</v>
      </c>
      <c r="L10" s="27">
        <f>VLOOKUP($A10,'5'!$A:$J,8,0)</f>
        <v>93510910</v>
      </c>
      <c r="M10" s="27">
        <f>VLOOKUP($A10,'6'!$A:$J,8,0)</f>
        <v>115835000</v>
      </c>
      <c r="N10" s="5" t="str">
        <f t="shared" si="0"/>
        <v>RC</v>
      </c>
      <c r="O10" s="5">
        <f t="shared" si="1"/>
        <v>5</v>
      </c>
      <c r="P10" s="5" t="str">
        <f t="shared" si="2"/>
        <v>RC5, 1</v>
      </c>
      <c r="Q10" s="11" t="str">
        <f t="shared" si="3"/>
        <v/>
      </c>
      <c r="R10" s="11" t="str">
        <f t="shared" si="4"/>
        <v xml:space="preserve">2: Error: Reducible RootOf. </v>
      </c>
      <c r="S10" s="12" t="s">
        <v>47</v>
      </c>
      <c r="T10" s="5"/>
      <c r="U10" s="31" t="s">
        <v>51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3">
      <c r="A11">
        <v>28</v>
      </c>
      <c r="B11" s="27">
        <f>VLOOKUP($A11,'1'!$A:$D,3,0)</f>
        <v>1729110988</v>
      </c>
      <c r="C11" s="27">
        <f>VLOOKUP($A11,'2'!$A:$E,3,0)</f>
        <v>1646252358</v>
      </c>
      <c r="D11" s="27">
        <f>VLOOKUP($A11,'3'!$A:$E,3,0)</f>
        <v>393064172</v>
      </c>
      <c r="E11" s="27">
        <f>VLOOKUP($A11,'4'!$A:$E,3,0)</f>
        <v>59111101</v>
      </c>
      <c r="F11" s="27">
        <f>VLOOKUP($A11,'5'!$A:$E,3,0)</f>
        <v>47713366</v>
      </c>
      <c r="G11" s="28">
        <f>VLOOKUP($A11,'6'!$A:$E,3,0)</f>
        <v>74018905</v>
      </c>
      <c r="H11" s="27" t="str">
        <f>VLOOKUP($A11,'1'!$A:$J,8,0)</f>
        <v>TIME OUT</v>
      </c>
      <c r="I11" s="27" t="str">
        <f>VLOOKUP($A11,'2'!$A:$J,8,0)</f>
        <v>ERROR: reducible RootOf detected. Substitutions are %1</v>
      </c>
      <c r="J11" s="27">
        <f>VLOOKUP($A11,'3'!$A:$J,8,0)</f>
        <v>299892051</v>
      </c>
      <c r="K11" s="27" t="str">
        <f>VLOOKUP($A11,'4'!$A:$J,8,0)</f>
        <v>TIME OUT</v>
      </c>
      <c r="L11" s="27">
        <f>VLOOKUP($A11,'5'!$A:$J,8,0)</f>
        <v>96235054</v>
      </c>
      <c r="M11" s="27">
        <f>VLOOKUP($A11,'6'!$A:$J,8,0)</f>
        <v>93274218</v>
      </c>
      <c r="N11" s="5" t="str">
        <f t="shared" si="0"/>
        <v>RC</v>
      </c>
      <c r="O11" s="5">
        <f t="shared" si="1"/>
        <v>5</v>
      </c>
      <c r="P11" s="5" t="str">
        <f t="shared" si="2"/>
        <v>RC5, 1</v>
      </c>
      <c r="Q11" s="11" t="str">
        <f t="shared" si="3"/>
        <v/>
      </c>
      <c r="R11" s="11" t="str">
        <f t="shared" si="4"/>
        <v xml:space="preserve">2: Error: Reducible RootOf. </v>
      </c>
      <c r="S11" s="12" t="s">
        <v>47</v>
      </c>
      <c r="T11" s="5"/>
      <c r="U11" s="33" t="s">
        <v>30</v>
      </c>
      <c r="V11" s="33"/>
      <c r="W11" s="33"/>
      <c r="X11" s="33"/>
      <c r="Y11" s="33"/>
      <c r="Z11" s="33"/>
      <c r="AA11" s="33" t="s">
        <v>31</v>
      </c>
      <c r="AB11" s="33"/>
      <c r="AC11" s="33"/>
      <c r="AD11" s="33"/>
      <c r="AE11" s="33"/>
      <c r="AF11" s="33"/>
    </row>
    <row r="12" spans="1:33">
      <c r="A12">
        <v>29</v>
      </c>
      <c r="B12" s="27">
        <f>VLOOKUP($A12,'1'!$A:$D,3,0)</f>
        <v>1746753072</v>
      </c>
      <c r="C12" s="27">
        <f>VLOOKUP($A12,'2'!$A:$E,3,0)</f>
        <v>1646554861</v>
      </c>
      <c r="D12" s="27">
        <f>VLOOKUP($A12,'3'!$A:$E,3,0)</f>
        <v>392964663</v>
      </c>
      <c r="E12" s="27">
        <f>VLOOKUP($A12,'4'!$A:$E,3,0)</f>
        <v>56711496</v>
      </c>
      <c r="F12" s="27">
        <f>VLOOKUP($A12,'5'!$A:$E,3,0)</f>
        <v>41406336</v>
      </c>
      <c r="G12" s="28">
        <f>VLOOKUP($A12,'6'!$A:$E,3,0)</f>
        <v>64456995</v>
      </c>
      <c r="H12" s="27" t="str">
        <f>VLOOKUP($A12,'1'!$A:$J,8,0)</f>
        <v>TIME OUT</v>
      </c>
      <c r="I12" s="27" t="str">
        <f>VLOOKUP($A12,'2'!$A:$J,8,0)</f>
        <v>ERROR: reducible RootOf detected. Substitutions are %1</v>
      </c>
      <c r="J12" s="27">
        <f>VLOOKUP($A12,'3'!$A:$J,8,0)</f>
        <v>297065152</v>
      </c>
      <c r="K12" s="27" t="str">
        <f>VLOOKUP($A12,'4'!$A:$J,8,0)</f>
        <v>TIME OUT</v>
      </c>
      <c r="L12" s="27">
        <f>VLOOKUP($A12,'5'!$A:$J,8,0)</f>
        <v>93187154</v>
      </c>
      <c r="M12" s="27">
        <f>VLOOKUP($A12,'6'!$A:$J,8,0)</f>
        <v>94228716</v>
      </c>
      <c r="N12" s="5" t="str">
        <f t="shared" si="0"/>
        <v>RC</v>
      </c>
      <c r="O12" s="5">
        <f t="shared" si="1"/>
        <v>5</v>
      </c>
      <c r="P12" s="5" t="str">
        <f t="shared" si="2"/>
        <v>RC5, 1</v>
      </c>
      <c r="Q12" s="11" t="str">
        <f t="shared" si="3"/>
        <v/>
      </c>
      <c r="R12" s="11" t="str">
        <f t="shared" si="4"/>
        <v xml:space="preserve">2: Error: Reducible RootOf. </v>
      </c>
      <c r="S12" s="12" t="s">
        <v>47</v>
      </c>
      <c r="T12" s="8" t="s">
        <v>52</v>
      </c>
      <c r="U12" s="13">
        <f>(COUNTA(B3:B69)-COUNTIF(B3:B69,$X$4)-COUNTIF(B3:B69,"TIME OUT")-COUNTIF(B3:B69,"*ERROR*")-COUNTIF(B3:B69,$Y$4))/COUNTA(B3:B69)</f>
        <v>0.67164179104477617</v>
      </c>
      <c r="V12" s="13">
        <f t="shared" ref="V12:AF12" si="7">(COUNTA(C3:C69)-COUNTIF(C3:C69,$X$4)-COUNTIF(C3:C69,"TIME OUT")-COUNTIF(C3:C69,"*ERROR*")-COUNTIF(C3:C69,$Y$4))/COUNTA(C3:C69)</f>
        <v>0.92537313432835822</v>
      </c>
      <c r="W12" s="13">
        <f t="shared" si="7"/>
        <v>1</v>
      </c>
      <c r="X12" s="13">
        <f t="shared" si="7"/>
        <v>0.68656716417910446</v>
      </c>
      <c r="Y12" s="13">
        <f t="shared" si="7"/>
        <v>0.92537313432835822</v>
      </c>
      <c r="Z12" s="13">
        <f t="shared" si="7"/>
        <v>1</v>
      </c>
      <c r="AA12" s="13">
        <f t="shared" si="7"/>
        <v>0.20895522388059701</v>
      </c>
      <c r="AB12" s="13">
        <f t="shared" si="7"/>
        <v>0.29850746268656714</v>
      </c>
      <c r="AC12" s="13">
        <f t="shared" si="7"/>
        <v>0.97014925373134331</v>
      </c>
      <c r="AD12" s="13">
        <f t="shared" si="7"/>
        <v>0.20895522388059701</v>
      </c>
      <c r="AE12" s="13">
        <f t="shared" si="7"/>
        <v>0.70149253731343286</v>
      </c>
      <c r="AF12" s="13">
        <f t="shared" si="7"/>
        <v>1</v>
      </c>
      <c r="AG12" s="14"/>
    </row>
    <row r="13" spans="1:33">
      <c r="A13">
        <v>30</v>
      </c>
      <c r="B13" s="27">
        <f>VLOOKUP($A13,'1'!$A:$D,3,0)</f>
        <v>1745207882</v>
      </c>
      <c r="C13" s="27">
        <f>VLOOKUP($A13,'2'!$A:$E,3,0)</f>
        <v>1647472905</v>
      </c>
      <c r="D13" s="27">
        <f>VLOOKUP($A13,'3'!$A:$E,3,0)</f>
        <v>490831049</v>
      </c>
      <c r="E13" s="27">
        <f>VLOOKUP($A13,'4'!$A:$E,3,0)</f>
        <v>56788369</v>
      </c>
      <c r="F13" s="27">
        <f>VLOOKUP($A13,'5'!$A:$E,3,0)</f>
        <v>45888500</v>
      </c>
      <c r="G13" s="28">
        <f>VLOOKUP($A13,'6'!$A:$E,3,0)</f>
        <v>85156746</v>
      </c>
      <c r="H13" s="27" t="str">
        <f>VLOOKUP($A13,'1'!$A:$J,8,0)</f>
        <v>TIME OUT</v>
      </c>
      <c r="I13" s="27" t="str">
        <f>VLOOKUP($A13,'2'!$A:$J,8,0)</f>
        <v>ERROR: reducible RootOf detected. Substitutions are %1</v>
      </c>
      <c r="J13" s="27">
        <f>VLOOKUP($A13,'3'!$A:$J,8,0)</f>
        <v>388758989</v>
      </c>
      <c r="K13" s="27" t="str">
        <f>VLOOKUP($A13,'4'!$A:$J,8,0)</f>
        <v>TIME OUT</v>
      </c>
      <c r="L13" s="27">
        <f>VLOOKUP($A13,'5'!$A:$J,8,0)</f>
        <v>93364346</v>
      </c>
      <c r="M13" s="27">
        <f>VLOOKUP($A13,'6'!$A:$J,8,0)</f>
        <v>119453635</v>
      </c>
      <c r="N13" s="5" t="str">
        <f t="shared" si="0"/>
        <v>RC</v>
      </c>
      <c r="O13" s="5">
        <f t="shared" si="1"/>
        <v>5</v>
      </c>
      <c r="P13" s="5" t="str">
        <f t="shared" si="2"/>
        <v>RC5, 1</v>
      </c>
      <c r="Q13" s="11" t="str">
        <f t="shared" si="3"/>
        <v/>
      </c>
      <c r="R13" s="11" t="str">
        <f t="shared" si="4"/>
        <v xml:space="preserve">2: Error: Reducible RootOf. </v>
      </c>
      <c r="S13" s="12" t="s">
        <v>47</v>
      </c>
      <c r="T13" s="8" t="s">
        <v>53</v>
      </c>
      <c r="U13" s="13">
        <f t="shared" ref="U13:AF13" si="8">(COUNTIF(B3:B69,$X$4)+COUNTIF(B3:B69,"TIME OUT"))/COUNTA(B3:B69)</f>
        <v>0.31343283582089554</v>
      </c>
      <c r="V13" s="13">
        <f t="shared" si="8"/>
        <v>7.4626865671641784E-2</v>
      </c>
      <c r="W13" s="13">
        <f t="shared" si="8"/>
        <v>0</v>
      </c>
      <c r="X13" s="13">
        <f t="shared" si="8"/>
        <v>0.29850746268656714</v>
      </c>
      <c r="Y13" s="13">
        <f t="shared" si="8"/>
        <v>7.4626865671641784E-2</v>
      </c>
      <c r="Z13" s="13">
        <f t="shared" si="8"/>
        <v>0</v>
      </c>
      <c r="AA13" s="13">
        <f t="shared" si="8"/>
        <v>0.31343283582089554</v>
      </c>
      <c r="AB13" s="13">
        <f t="shared" si="8"/>
        <v>4.4776119402985072E-2</v>
      </c>
      <c r="AC13" s="13">
        <f t="shared" si="8"/>
        <v>2.9850746268656716E-2</v>
      </c>
      <c r="AD13" s="13">
        <f t="shared" si="8"/>
        <v>0.31343283582089554</v>
      </c>
      <c r="AE13" s="13">
        <f t="shared" si="8"/>
        <v>0</v>
      </c>
      <c r="AF13" s="13">
        <f t="shared" si="8"/>
        <v>0</v>
      </c>
      <c r="AG13" s="14"/>
    </row>
    <row r="14" spans="1:33">
      <c r="A14">
        <v>31</v>
      </c>
      <c r="B14" s="27">
        <f>VLOOKUP($A14,'1'!$A:$D,3,0)</f>
        <v>2329616</v>
      </c>
      <c r="C14" s="27">
        <f>VLOOKUP($A14,'2'!$A:$E,3,0)</f>
        <v>2343188</v>
      </c>
      <c r="D14" s="27">
        <f>VLOOKUP($A14,'3'!$A:$E,3,0)</f>
        <v>2330120</v>
      </c>
      <c r="E14" s="27">
        <f>VLOOKUP($A14,'4'!$A:$E,3,0)</f>
        <v>2246963</v>
      </c>
      <c r="F14" s="27">
        <f>VLOOKUP($A14,'5'!$A:$E,3,0)</f>
        <v>2256835</v>
      </c>
      <c r="G14" s="28">
        <f>VLOOKUP($A14,'6'!$A:$E,3,0)</f>
        <v>2037377</v>
      </c>
      <c r="H14" s="27">
        <f>VLOOKUP($A14,'1'!$A:$J,8,0)</f>
        <v>4424440</v>
      </c>
      <c r="I14" s="27">
        <f>VLOOKUP($A14,'2'!$A:$J,8,0)</f>
        <v>4440342</v>
      </c>
      <c r="J14" s="27">
        <f>VLOOKUP($A14,'3'!$A:$J,8,0)</f>
        <v>4434458</v>
      </c>
      <c r="K14" s="27">
        <f>VLOOKUP($A14,'4'!$A:$J,8,0)</f>
        <v>5137446</v>
      </c>
      <c r="L14" s="27">
        <f>VLOOKUP($A14,'5'!$A:$J,8,0)</f>
        <v>5145224</v>
      </c>
      <c r="M14" s="27">
        <f>VLOOKUP($A14,'6'!$A:$J,8,0)</f>
        <v>5137192</v>
      </c>
      <c r="N14" s="5" t="str">
        <f t="shared" si="0"/>
        <v>RC</v>
      </c>
      <c r="O14" s="5">
        <f t="shared" si="1"/>
        <v>6</v>
      </c>
      <c r="P14" s="5" t="str">
        <f t="shared" si="2"/>
        <v>RC6, 1</v>
      </c>
      <c r="Q14" s="11" t="str">
        <f t="shared" si="3"/>
        <v/>
      </c>
      <c r="R14" s="11" t="str">
        <f t="shared" si="4"/>
        <v/>
      </c>
      <c r="S14" s="12" t="s">
        <v>47</v>
      </c>
      <c r="T14" s="8" t="s">
        <v>54</v>
      </c>
      <c r="U14" s="13">
        <f t="shared" ref="U14:AF14" si="9">(COUNTIF(B3:B69,"*ERROR*"))/COUNTA(B3:B69)</f>
        <v>1.4925373134328358E-2</v>
      </c>
      <c r="V14" s="13">
        <f t="shared" si="9"/>
        <v>0</v>
      </c>
      <c r="W14" s="13">
        <f t="shared" si="9"/>
        <v>0</v>
      </c>
      <c r="X14" s="13">
        <f t="shared" si="9"/>
        <v>1.4925373134328358E-2</v>
      </c>
      <c r="Y14" s="13">
        <f t="shared" si="9"/>
        <v>0</v>
      </c>
      <c r="Z14" s="13">
        <f t="shared" si="9"/>
        <v>0</v>
      </c>
      <c r="AA14" s="13">
        <f t="shared" si="9"/>
        <v>0.47761194029850745</v>
      </c>
      <c r="AB14" s="13">
        <f t="shared" si="9"/>
        <v>0.65671641791044777</v>
      </c>
      <c r="AC14" s="13">
        <f t="shared" si="9"/>
        <v>0</v>
      </c>
      <c r="AD14" s="13">
        <f t="shared" si="9"/>
        <v>0.47761194029850745</v>
      </c>
      <c r="AE14" s="13">
        <f t="shared" si="9"/>
        <v>0.29850746268656714</v>
      </c>
      <c r="AF14" s="13">
        <f t="shared" si="9"/>
        <v>0</v>
      </c>
    </row>
    <row r="15" spans="1:33">
      <c r="A15">
        <v>32</v>
      </c>
      <c r="B15" s="27">
        <f>VLOOKUP($A15,'1'!$A:$D,3,0)</f>
        <v>1736508348</v>
      </c>
      <c r="C15" s="27">
        <f>VLOOKUP($A15,'2'!$A:$E,3,0)</f>
        <v>1647659761</v>
      </c>
      <c r="D15" s="27">
        <f>VLOOKUP($A15,'3'!$A:$E,3,0)</f>
        <v>490787649</v>
      </c>
      <c r="E15" s="27">
        <f>VLOOKUP($A15,'4'!$A:$E,3,0)</f>
        <v>54708223</v>
      </c>
      <c r="F15" s="27">
        <f>VLOOKUP($A15,'5'!$A:$E,3,0)</f>
        <v>48044940</v>
      </c>
      <c r="G15" s="28">
        <f>VLOOKUP($A15,'6'!$A:$E,3,0)</f>
        <v>89642897</v>
      </c>
      <c r="H15" s="27" t="str">
        <f>VLOOKUP($A15,'1'!$A:$J,8,0)</f>
        <v>TIME OUT</v>
      </c>
      <c r="I15" s="27" t="str">
        <f>VLOOKUP($A15,'2'!$A:$J,8,0)</f>
        <v>ERROR: reducible RootOf detected. Substitutions are %1</v>
      </c>
      <c r="J15" s="27">
        <f>VLOOKUP($A15,'3'!$A:$J,8,0)</f>
        <v>394916766</v>
      </c>
      <c r="K15" s="27" t="str">
        <f>VLOOKUP($A15,'4'!$A:$J,8,0)</f>
        <v>TIME OUT</v>
      </c>
      <c r="L15" s="27">
        <f>VLOOKUP($A15,'5'!$A:$J,8,0)</f>
        <v>94168481</v>
      </c>
      <c r="M15" s="27">
        <f>VLOOKUP($A15,'6'!$A:$J,8,0)</f>
        <v>119235852</v>
      </c>
      <c r="N15" s="5" t="str">
        <f t="shared" si="0"/>
        <v>RC</v>
      </c>
      <c r="O15" s="5">
        <f t="shared" si="1"/>
        <v>5</v>
      </c>
      <c r="P15" s="5" t="str">
        <f t="shared" si="2"/>
        <v>RC5, 1</v>
      </c>
      <c r="Q15" s="11" t="str">
        <f t="shared" si="3"/>
        <v/>
      </c>
      <c r="R15" s="11" t="str">
        <f t="shared" si="4"/>
        <v xml:space="preserve">2: Error: Reducible RootOf. </v>
      </c>
      <c r="S15" s="12" t="s">
        <v>47</v>
      </c>
      <c r="T15" s="5"/>
    </row>
    <row r="16" spans="1:33">
      <c r="A16">
        <v>33</v>
      </c>
      <c r="B16" s="27">
        <f>VLOOKUP($A16,'1'!$A:$D,3,0)</f>
        <v>1745061377</v>
      </c>
      <c r="C16" s="27">
        <f>VLOOKUP($A16,'2'!$A:$E,3,0)</f>
        <v>1646740820</v>
      </c>
      <c r="D16" s="27">
        <f>VLOOKUP($A16,'3'!$A:$E,3,0)</f>
        <v>490708779</v>
      </c>
      <c r="E16" s="27">
        <f>VLOOKUP($A16,'4'!$A:$E,3,0)</f>
        <v>59703332</v>
      </c>
      <c r="F16" s="27">
        <f>VLOOKUP($A16,'5'!$A:$E,3,0)</f>
        <v>48105096</v>
      </c>
      <c r="G16" s="28">
        <f>VLOOKUP($A16,'6'!$A:$E,3,0)</f>
        <v>89246167</v>
      </c>
      <c r="H16" s="27" t="str">
        <f>VLOOKUP($A16,'1'!$A:$J,8,0)</f>
        <v>TIME OUT</v>
      </c>
      <c r="I16" s="27" t="str">
        <f>VLOOKUP($A16,'2'!$A:$J,8,0)</f>
        <v>ERROR: reducible RootOf detected. Substitutions are %1</v>
      </c>
      <c r="J16" s="27">
        <f>VLOOKUP($A16,'3'!$A:$J,8,0)</f>
        <v>386862640</v>
      </c>
      <c r="K16" s="27" t="str">
        <f>VLOOKUP($A16,'4'!$A:$J,8,0)</f>
        <v>TIME OUT</v>
      </c>
      <c r="L16" s="27">
        <f>VLOOKUP($A16,'5'!$A:$J,8,0)</f>
        <v>93580764</v>
      </c>
      <c r="M16" s="27">
        <f>VLOOKUP($A16,'6'!$A:$J,8,0)</f>
        <v>116846376</v>
      </c>
      <c r="N16" s="5" t="str">
        <f t="shared" si="0"/>
        <v>RC</v>
      </c>
      <c r="O16" s="5">
        <f t="shared" si="1"/>
        <v>5</v>
      </c>
      <c r="P16" s="5" t="str">
        <f t="shared" si="2"/>
        <v>RC5, 1</v>
      </c>
      <c r="Q16" s="11" t="str">
        <f t="shared" si="3"/>
        <v/>
      </c>
      <c r="R16" s="11" t="str">
        <f t="shared" si="4"/>
        <v xml:space="preserve">2: Error: Reducible RootOf. </v>
      </c>
      <c r="S16" s="12" t="s">
        <v>47</v>
      </c>
      <c r="T16" s="8" t="s">
        <v>52</v>
      </c>
      <c r="U16" s="34">
        <f>(COUNTA(B3:G69)-COUNTIF(B3:G69,$X$4)-COUNTIF(B3:G69,"TIME OUT")-COUNTIF(B3:G69,"*ERROR*")-COUNTIF(B3:G69,$Y$4))/COUNTA(B3:G69)</f>
        <v>0.86815920398009949</v>
      </c>
      <c r="V16" s="34"/>
      <c r="W16" s="34"/>
      <c r="X16" s="34"/>
      <c r="Y16" s="34"/>
      <c r="Z16" s="34"/>
      <c r="AA16" s="34">
        <f>(COUNTA(H3:M69)-COUNTIF(H3:M69,$X$4)-COUNTIF(H3:M69,"TIME OUT")-COUNTIF(H3:M69,"*ERROR*")-COUNTIF(H3:M69,$Y$4))/COUNTA(H3:M69)</f>
        <v>0.56467661691542292</v>
      </c>
      <c r="AB16" s="34"/>
      <c r="AC16" s="34"/>
      <c r="AD16" s="34"/>
      <c r="AE16" s="34"/>
      <c r="AF16" s="34"/>
    </row>
    <row r="17" spans="1:32">
      <c r="A17">
        <v>34</v>
      </c>
      <c r="B17" s="27">
        <f>VLOOKUP($A17,'1'!$A:$D,3,0)</f>
        <v>1745288586</v>
      </c>
      <c r="C17" s="27">
        <f>VLOOKUP($A17,'2'!$A:$E,3,0)</f>
        <v>1660354477</v>
      </c>
      <c r="D17" s="27">
        <f>VLOOKUP($A17,'3'!$A:$E,3,0)</f>
        <v>493054828</v>
      </c>
      <c r="E17" s="27">
        <f>VLOOKUP($A17,'4'!$A:$E,3,0)</f>
        <v>58389430</v>
      </c>
      <c r="F17" s="27">
        <f>VLOOKUP($A17,'5'!$A:$E,3,0)</f>
        <v>49230389</v>
      </c>
      <c r="G17" s="28">
        <f>VLOOKUP($A17,'6'!$A:$E,3,0)</f>
        <v>93423805</v>
      </c>
      <c r="H17" s="27" t="str">
        <f>VLOOKUP($A17,'1'!$A:$J,8,0)</f>
        <v>TIME OUT</v>
      </c>
      <c r="I17" s="27" t="str">
        <f>VLOOKUP($A17,'2'!$A:$J,8,0)</f>
        <v>ERROR: reducible RootOf detected. Substitutions are %1</v>
      </c>
      <c r="J17" s="27">
        <f>VLOOKUP($A17,'3'!$A:$J,8,0)</f>
        <v>388503547</v>
      </c>
      <c r="K17" s="27" t="str">
        <f>VLOOKUP($A17,'4'!$A:$J,8,0)</f>
        <v>TIME OUT</v>
      </c>
      <c r="L17" s="27">
        <f>VLOOKUP($A17,'5'!$A:$J,8,0)</f>
        <v>94033251</v>
      </c>
      <c r="M17" s="27">
        <f>VLOOKUP($A17,'6'!$A:$J,8,0)</f>
        <v>116023175</v>
      </c>
      <c r="N17" s="5" t="str">
        <f t="shared" si="0"/>
        <v>RC</v>
      </c>
      <c r="O17" s="5">
        <f t="shared" si="1"/>
        <v>5</v>
      </c>
      <c r="P17" s="5" t="str">
        <f t="shared" si="2"/>
        <v>RC5, 1</v>
      </c>
      <c r="Q17" s="11" t="str">
        <f t="shared" si="3"/>
        <v/>
      </c>
      <c r="R17" s="11" t="str">
        <f t="shared" si="4"/>
        <v xml:space="preserve">2: Error: Reducible RootOf. </v>
      </c>
      <c r="S17" s="12" t="s">
        <v>47</v>
      </c>
      <c r="T17" s="8" t="s">
        <v>53</v>
      </c>
      <c r="U17" s="34">
        <f>(COUNTIF(B3:G69,$X$4)+COUNTIF(B3:G69,"TIME OUT"))/COUNTA(B3:G69)</f>
        <v>0.12686567164179105</v>
      </c>
      <c r="V17" s="34"/>
      <c r="W17" s="34"/>
      <c r="X17" s="34"/>
      <c r="Y17" s="34"/>
      <c r="Z17" s="34"/>
      <c r="AA17" s="34">
        <f>(COUNTIF(H3:M69,$X$4)+COUNTIF(H3:M69,"TIME OUT"))/COUNTA(H3:M69)</f>
        <v>0.11691542288557213</v>
      </c>
      <c r="AB17" s="34"/>
      <c r="AC17" s="34"/>
      <c r="AD17" s="34"/>
      <c r="AE17" s="34"/>
      <c r="AF17" s="34"/>
    </row>
    <row r="18" spans="1:32">
      <c r="A18">
        <v>36</v>
      </c>
      <c r="B18" s="27">
        <f>VLOOKUP($A18,'1'!$A:$D,3,0)</f>
        <v>4960122087</v>
      </c>
      <c r="C18" s="27">
        <f>VLOOKUP($A18,'2'!$A:$E,3,0)</f>
        <v>4259898730</v>
      </c>
      <c r="D18" s="27">
        <f>VLOOKUP($A18,'3'!$A:$E,3,0)</f>
        <v>657682196</v>
      </c>
      <c r="E18" s="27">
        <f>VLOOKUP($A18,'4'!$A:$E,3,0)</f>
        <v>112535450</v>
      </c>
      <c r="F18" s="27">
        <f>VLOOKUP($A18,'5'!$A:$E,3,0)</f>
        <v>83855528</v>
      </c>
      <c r="G18" s="28">
        <f>VLOOKUP($A18,'6'!$A:$E,3,0)</f>
        <v>125689336</v>
      </c>
      <c r="H18" s="27" t="str">
        <f>VLOOKUP($A18,'1'!$A:$J,8,0)</f>
        <v>TIME OUT</v>
      </c>
      <c r="I18" s="27" t="str">
        <f>VLOOKUP($A18,'2'!$A:$J,8,0)</f>
        <v>TIME OUT</v>
      </c>
      <c r="J18" s="27">
        <f>VLOOKUP($A18,'3'!$A:$J,8,0)</f>
        <v>572629847</v>
      </c>
      <c r="K18" s="27" t="str">
        <f>VLOOKUP($A18,'4'!$A:$J,8,0)</f>
        <v>TIME OUT</v>
      </c>
      <c r="L18" s="27">
        <f>VLOOKUP($A18,'5'!$A:$J,8,0)</f>
        <v>233747107</v>
      </c>
      <c r="M18" s="27">
        <f>VLOOKUP($A18,'6'!$A:$J,8,0)</f>
        <v>165831633</v>
      </c>
      <c r="N18" s="5" t="str">
        <f t="shared" si="0"/>
        <v>RC</v>
      </c>
      <c r="O18" s="5">
        <f t="shared" si="1"/>
        <v>5</v>
      </c>
      <c r="P18" s="5" t="str">
        <f t="shared" si="2"/>
        <v>RC5, 1</v>
      </c>
      <c r="Q18" s="11" t="str">
        <f t="shared" si="3"/>
        <v/>
      </c>
      <c r="R18" s="11" t="str">
        <f t="shared" si="4"/>
        <v/>
      </c>
      <c r="S18" s="12" t="s">
        <v>47</v>
      </c>
      <c r="T18" s="8" t="s">
        <v>54</v>
      </c>
      <c r="U18" s="34">
        <f>(COUNTIF(B3:G69,"*ERROR*")+COUNTIF(B3:G69,$Y$4))/COUNTA(B3:G69)</f>
        <v>4.9751243781094526E-3</v>
      </c>
      <c r="V18" s="34"/>
      <c r="W18" s="34"/>
      <c r="X18" s="34"/>
      <c r="Y18" s="34"/>
      <c r="Z18" s="34"/>
      <c r="AA18" s="34">
        <f>(COUNTIF(H3:M69,"*ERROR*")+COUNTIF(H3:M69,$Y$4))/COUNTA(H3:M69)</f>
        <v>0.31840796019900497</v>
      </c>
      <c r="AB18" s="34"/>
      <c r="AC18" s="34"/>
      <c r="AD18" s="34"/>
      <c r="AE18" s="34"/>
      <c r="AF18" s="34"/>
    </row>
    <row r="19" spans="1:32">
      <c r="A19">
        <v>38</v>
      </c>
      <c r="B19" s="27">
        <f>VLOOKUP($A19,'1'!$A:$D,3,0)</f>
        <v>4956943306</v>
      </c>
      <c r="C19" s="27">
        <f>VLOOKUP($A19,'2'!$A:$E,3,0)</f>
        <v>4236095397</v>
      </c>
      <c r="D19" s="27">
        <f>VLOOKUP($A19,'3'!$A:$E,3,0)</f>
        <v>658612650</v>
      </c>
      <c r="E19" s="27">
        <f>VLOOKUP($A19,'4'!$A:$E,3,0)</f>
        <v>106160098</v>
      </c>
      <c r="F19" s="27">
        <f>VLOOKUP($A19,'5'!$A:$E,3,0)</f>
        <v>81273073</v>
      </c>
      <c r="G19" s="28">
        <f>VLOOKUP($A19,'6'!$A:$E,3,0)</f>
        <v>125265376</v>
      </c>
      <c r="H19" s="27" t="str">
        <f>VLOOKUP($A19,'1'!$A:$J,8,0)</f>
        <v>TIME OUT</v>
      </c>
      <c r="I19" s="27" t="str">
        <f>VLOOKUP($A19,'2'!$A:$J,8,0)</f>
        <v>TIME OUT</v>
      </c>
      <c r="J19" s="27">
        <f>VLOOKUP($A19,'3'!$A:$J,8,0)</f>
        <v>569647223</v>
      </c>
      <c r="K19" s="27" t="str">
        <f>VLOOKUP($A19,'4'!$A:$J,8,0)</f>
        <v>TIME OUT</v>
      </c>
      <c r="L19" s="27">
        <f>VLOOKUP($A19,'5'!$A:$J,8,0)</f>
        <v>237656737</v>
      </c>
      <c r="M19" s="27">
        <f>VLOOKUP($A19,'6'!$A:$J,8,0)</f>
        <v>163429559</v>
      </c>
      <c r="N19" s="5" t="str">
        <f t="shared" si="0"/>
        <v>RC</v>
      </c>
      <c r="O19" s="5">
        <f t="shared" si="1"/>
        <v>5</v>
      </c>
      <c r="P19" s="5" t="str">
        <f t="shared" si="2"/>
        <v>RC5, 1</v>
      </c>
      <c r="Q19" s="11" t="str">
        <f t="shared" si="3"/>
        <v/>
      </c>
      <c r="R19" s="11" t="str">
        <f t="shared" si="4"/>
        <v/>
      </c>
      <c r="S19" s="12" t="s">
        <v>47</v>
      </c>
      <c r="T19" s="5"/>
    </row>
    <row r="20" spans="1:32">
      <c r="A20">
        <v>40</v>
      </c>
      <c r="B20" s="27">
        <f>VLOOKUP($A20,'1'!$A:$D,3,0)</f>
        <v>4678431006</v>
      </c>
      <c r="C20" s="27">
        <f>VLOOKUP($A20,'2'!$A:$E,3,0)</f>
        <v>4263803813</v>
      </c>
      <c r="D20" s="27">
        <f>VLOOKUP($A20,'3'!$A:$E,3,0)</f>
        <v>791101550</v>
      </c>
      <c r="E20" s="27">
        <f>VLOOKUP($A20,'4'!$A:$E,3,0)</f>
        <v>97547561</v>
      </c>
      <c r="F20" s="27">
        <f>VLOOKUP($A20,'5'!$A:$E,3,0)</f>
        <v>82192164</v>
      </c>
      <c r="G20" s="28">
        <f>VLOOKUP($A20,'6'!$A:$E,3,0)</f>
        <v>145125061</v>
      </c>
      <c r="H20" s="27" t="str">
        <f>VLOOKUP($A20,'1'!$A:$J,8,0)</f>
        <v>TIME OUT</v>
      </c>
      <c r="I20" s="27" t="str">
        <f>VLOOKUP($A20,'2'!$A:$J,8,0)</f>
        <v>ERROR: reducible RootOf detected. Substitutions are %1</v>
      </c>
      <c r="J20" s="27">
        <f>VLOOKUP($A20,'3'!$A:$J,8,0)</f>
        <v>659463408</v>
      </c>
      <c r="K20" s="27" t="str">
        <f>VLOOKUP($A20,'4'!$A:$J,8,0)</f>
        <v>TIME OUT</v>
      </c>
      <c r="L20" s="27">
        <f>VLOOKUP($A20,'5'!$A:$J,8,0)</f>
        <v>165819409</v>
      </c>
      <c r="M20" s="27">
        <f>VLOOKUP($A20,'6'!$A:$J,8,0)</f>
        <v>197910140</v>
      </c>
      <c r="N20" s="5" t="str">
        <f t="shared" si="0"/>
        <v>RC</v>
      </c>
      <c r="O20" s="5">
        <f t="shared" si="1"/>
        <v>5</v>
      </c>
      <c r="P20" s="5" t="str">
        <f t="shared" si="2"/>
        <v>RC5, 1</v>
      </c>
      <c r="Q20" s="11" t="str">
        <f t="shared" si="3"/>
        <v/>
      </c>
      <c r="R20" s="11" t="str">
        <f t="shared" si="4"/>
        <v xml:space="preserve">2: Error: Reducible RootOf. </v>
      </c>
      <c r="S20" s="12" t="s">
        <v>47</v>
      </c>
      <c r="T20" s="11" t="s">
        <v>55</v>
      </c>
      <c r="U20" s="15">
        <f>COUNTIF(B:G,T20)</f>
        <v>0</v>
      </c>
      <c r="V20" s="16">
        <f>U20/$U$25</f>
        <v>0</v>
      </c>
      <c r="W20" s="15">
        <f>COUNTIF(H:M,T20)</f>
        <v>0</v>
      </c>
      <c r="X20" s="16">
        <f>W20/$W$25</f>
        <v>0</v>
      </c>
      <c r="Y20" t="s">
        <v>56</v>
      </c>
    </row>
    <row r="21" spans="1:32">
      <c r="A21">
        <v>41</v>
      </c>
      <c r="B21" s="27">
        <f>VLOOKUP($A21,'1'!$A:$D,3,0)</f>
        <v>4687097897</v>
      </c>
      <c r="C21" s="27">
        <f>VLOOKUP($A21,'2'!$A:$E,3,0)</f>
        <v>4279723780</v>
      </c>
      <c r="D21" s="27">
        <f>VLOOKUP($A21,'3'!$A:$E,3,0)</f>
        <v>790929148</v>
      </c>
      <c r="E21" s="27">
        <f>VLOOKUP($A21,'4'!$A:$E,3,0)</f>
        <v>98680660</v>
      </c>
      <c r="F21" s="27">
        <f>VLOOKUP($A21,'5'!$A:$E,3,0)</f>
        <v>82736623</v>
      </c>
      <c r="G21" s="28">
        <f>VLOOKUP($A21,'6'!$A:$E,3,0)</f>
        <v>149097392</v>
      </c>
      <c r="H21" s="27" t="str">
        <f>VLOOKUP($A21,'1'!$A:$J,8,0)</f>
        <v>TIME OUT</v>
      </c>
      <c r="I21" s="27" t="str">
        <f>VLOOKUP($A21,'2'!$A:$J,8,0)</f>
        <v>ERROR: reducible RootOf detected. Substitutions are %1</v>
      </c>
      <c r="J21" s="27">
        <f>VLOOKUP($A21,'3'!$A:$J,8,0)</f>
        <v>654395377</v>
      </c>
      <c r="K21" s="27" t="str">
        <f>VLOOKUP($A21,'4'!$A:$J,8,0)</f>
        <v>TIME OUT</v>
      </c>
      <c r="L21" s="27">
        <f>VLOOKUP($A21,'5'!$A:$J,8,0)</f>
        <v>167449169</v>
      </c>
      <c r="M21" s="27">
        <f>VLOOKUP($A21,'6'!$A:$J,8,0)</f>
        <v>198582299</v>
      </c>
      <c r="N21" s="5" t="str">
        <f t="shared" si="0"/>
        <v>RC</v>
      </c>
      <c r="O21" s="5">
        <f t="shared" si="1"/>
        <v>5</v>
      </c>
      <c r="P21" s="5" t="str">
        <f t="shared" si="2"/>
        <v>RC5, 1</v>
      </c>
      <c r="Q21" s="11" t="str">
        <f t="shared" si="3"/>
        <v/>
      </c>
      <c r="R21" s="11" t="str">
        <f t="shared" si="4"/>
        <v xml:space="preserve">2: Error: Reducible RootOf. </v>
      </c>
      <c r="S21" s="12" t="s">
        <v>47</v>
      </c>
      <c r="T21" s="11" t="s">
        <v>57</v>
      </c>
      <c r="U21" s="15">
        <f>COUNTIF(B:G,T21)</f>
        <v>0</v>
      </c>
      <c r="V21" s="16">
        <f>U21/$U$25</f>
        <v>0</v>
      </c>
      <c r="W21" s="15">
        <f>COUNTIF(H:M,T21)</f>
        <v>120</v>
      </c>
      <c r="X21" s="16">
        <f>W21/$W$25</f>
        <v>0.29850746268656714</v>
      </c>
      <c r="Y21" t="s">
        <v>58</v>
      </c>
    </row>
    <row r="22" spans="1:32">
      <c r="A22">
        <v>43</v>
      </c>
      <c r="B22" s="27">
        <f>VLOOKUP($A22,'1'!$A:$D,3,0)</f>
        <v>4961506811</v>
      </c>
      <c r="C22" s="27">
        <f>VLOOKUP($A22,'2'!$A:$E,3,0)</f>
        <v>4259527389</v>
      </c>
      <c r="D22" s="27">
        <f>VLOOKUP($A22,'3'!$A:$E,3,0)</f>
        <v>657487349</v>
      </c>
      <c r="E22" s="27">
        <f>VLOOKUP($A22,'4'!$A:$E,3,0)</f>
        <v>106568589</v>
      </c>
      <c r="F22" s="27">
        <f>VLOOKUP($A22,'5'!$A:$E,3,0)</f>
        <v>80682413</v>
      </c>
      <c r="G22" s="28">
        <f>VLOOKUP($A22,'6'!$A:$E,3,0)</f>
        <v>123250159</v>
      </c>
      <c r="H22" s="27" t="str">
        <f>VLOOKUP($A22,'1'!$A:$J,8,0)</f>
        <v>TIME OUT</v>
      </c>
      <c r="I22" s="27" t="str">
        <f>VLOOKUP($A22,'2'!$A:$J,8,0)</f>
        <v>TIME OUT</v>
      </c>
      <c r="J22" s="27">
        <f>VLOOKUP($A22,'3'!$A:$J,8,0)</f>
        <v>564101828</v>
      </c>
      <c r="K22" s="27" t="str">
        <f>VLOOKUP($A22,'4'!$A:$J,8,0)</f>
        <v>TIME OUT</v>
      </c>
      <c r="L22" s="27">
        <f>VLOOKUP($A22,'5'!$A:$J,8,0)</f>
        <v>232202763</v>
      </c>
      <c r="M22" s="27">
        <f>VLOOKUP($A22,'6'!$A:$J,8,0)</f>
        <v>164663345</v>
      </c>
      <c r="N22" s="5" t="str">
        <f t="shared" si="0"/>
        <v>RC</v>
      </c>
      <c r="O22" s="5">
        <f t="shared" si="1"/>
        <v>5</v>
      </c>
      <c r="P22" s="5" t="str">
        <f t="shared" si="2"/>
        <v>RC5, 1</v>
      </c>
      <c r="Q22" s="11" t="str">
        <f t="shared" si="3"/>
        <v/>
      </c>
      <c r="R22" s="11" t="str">
        <f t="shared" si="4"/>
        <v/>
      </c>
      <c r="S22" s="12" t="s">
        <v>47</v>
      </c>
      <c r="T22" s="11" t="s">
        <v>59</v>
      </c>
      <c r="U22" s="15">
        <f>COUNTIF(B:G,T22)</f>
        <v>0</v>
      </c>
      <c r="V22" s="16">
        <f>U22/$U$25</f>
        <v>0</v>
      </c>
      <c r="W22" s="15">
        <f>COUNTIF(H:M,T22)</f>
        <v>0</v>
      </c>
      <c r="X22" s="16">
        <f>W22/$W$25</f>
        <v>0</v>
      </c>
      <c r="Y22" t="s">
        <v>60</v>
      </c>
    </row>
    <row r="23" spans="1:32">
      <c r="A23">
        <v>45</v>
      </c>
      <c r="B23" s="27" t="str">
        <f>VLOOKUP($A23,'1'!$A:$D,3,0)</f>
        <v>TIME OUT</v>
      </c>
      <c r="C23" s="27">
        <f>VLOOKUP($A23,'2'!$A:$E,3,0)</f>
        <v>6782825262</v>
      </c>
      <c r="D23" s="27">
        <f>VLOOKUP($A23,'3'!$A:$E,3,0)</f>
        <v>1620984705</v>
      </c>
      <c r="E23" s="27">
        <f>VLOOKUP($A23,'4'!$A:$E,3,0)</f>
        <v>372289707</v>
      </c>
      <c r="F23" s="27">
        <f>VLOOKUP($A23,'5'!$A:$E,3,0)</f>
        <v>214592141</v>
      </c>
      <c r="G23" s="28">
        <f>VLOOKUP($A23,'6'!$A:$E,3,0)</f>
        <v>308447129</v>
      </c>
      <c r="H23" s="27" t="str">
        <f>VLOOKUP($A23,'1'!$A:$J,8,0)</f>
        <v>ERROR: reducible RootOf detected. Substitutions are %1</v>
      </c>
      <c r="I23" s="27">
        <f>VLOOKUP($A23,'2'!$A:$J,8,0)</f>
        <v>7614918875</v>
      </c>
      <c r="J23" s="27" t="str">
        <f>VLOOKUP($A23,'3'!$A:$J,8,0)</f>
        <v>TIME OUT</v>
      </c>
      <c r="K23" s="27" t="str">
        <f>VLOOKUP($A23,'4'!$A:$J,8,0)</f>
        <v>ERROR: reducible RootOf detected. Substitutions are %1</v>
      </c>
      <c r="L23" s="27">
        <f>VLOOKUP($A23,'5'!$A:$J,8,0)</f>
        <v>647312063</v>
      </c>
      <c r="M23" s="27">
        <f>VLOOKUP($A23,'6'!$A:$J,8,0)</f>
        <v>658096389</v>
      </c>
      <c r="N23" s="5" t="str">
        <f t="shared" si="0"/>
        <v>RC</v>
      </c>
      <c r="O23" s="5">
        <f t="shared" si="1"/>
        <v>5</v>
      </c>
      <c r="P23" s="5" t="str">
        <f t="shared" si="2"/>
        <v>RC5, 1</v>
      </c>
      <c r="Q23" s="11" t="str">
        <f t="shared" si="3"/>
        <v/>
      </c>
      <c r="R23" s="11" t="str">
        <f t="shared" si="4"/>
        <v xml:space="preserve">1: Error: Reducible RootOf. 4: Error: Reducible RootOf. </v>
      </c>
      <c r="S23" s="12" t="s">
        <v>47</v>
      </c>
      <c r="T23" s="11" t="s">
        <v>61</v>
      </c>
      <c r="U23" s="15">
        <f>COUNTIF(B:G,T23)</f>
        <v>0</v>
      </c>
      <c r="V23" s="16">
        <f>U23/$U$25</f>
        <v>0</v>
      </c>
      <c r="W23" s="15">
        <f>COUNTIF(H:M,T23)</f>
        <v>8</v>
      </c>
      <c r="X23" s="16">
        <f>W23/$W$25</f>
        <v>1.9900497512437811E-2</v>
      </c>
      <c r="Y23" t="s">
        <v>62</v>
      </c>
    </row>
    <row r="24" spans="1:32">
      <c r="A24">
        <v>46</v>
      </c>
      <c r="B24" s="27" t="str">
        <f>VLOOKUP($A24,'1'!$A:$D,3,0)</f>
        <v>TIME OUT</v>
      </c>
      <c r="C24" s="27">
        <f>VLOOKUP($A24,'2'!$A:$E,3,0)</f>
        <v>1959398952</v>
      </c>
      <c r="D24" s="27">
        <f>VLOOKUP($A24,'3'!$A:$E,3,0)</f>
        <v>712035380</v>
      </c>
      <c r="E24" s="27">
        <f>VLOOKUP($A24,'4'!$A:$E,3,0)</f>
        <v>218278786</v>
      </c>
      <c r="F24" s="27">
        <f>VLOOKUP($A24,'5'!$A:$E,3,0)</f>
        <v>102616401</v>
      </c>
      <c r="G24" s="28">
        <f>VLOOKUP($A24,'6'!$A:$E,3,0)</f>
        <v>142540415</v>
      </c>
      <c r="H24" s="27" t="str">
        <f>VLOOKUP($A24,'1'!$A:$J,8,0)</f>
        <v>ERROR: reducible RootOf detected. Substitutions are %1</v>
      </c>
      <c r="I24" s="27" t="str">
        <f>VLOOKUP($A24,'2'!$A:$J,8,0)</f>
        <v>ERROR: reducible RootOf detected. Substitutions are %1</v>
      </c>
      <c r="J24" s="27">
        <f>VLOOKUP($A24,'3'!$A:$J,8,0)</f>
        <v>601637279</v>
      </c>
      <c r="K24" s="27" t="str">
        <f>VLOOKUP($A24,'4'!$A:$J,8,0)</f>
        <v>ERROR: reducible RootOf detected. Substitutions are %1</v>
      </c>
      <c r="L24" s="27">
        <f>VLOOKUP($A24,'5'!$A:$J,8,0)</f>
        <v>195534305</v>
      </c>
      <c r="M24" s="27">
        <f>VLOOKUP($A24,'6'!$A:$J,8,0)</f>
        <v>194212454</v>
      </c>
      <c r="N24" s="5" t="str">
        <f t="shared" si="0"/>
        <v>RC</v>
      </c>
      <c r="O24" s="5">
        <f t="shared" si="1"/>
        <v>5</v>
      </c>
      <c r="P24" s="5" t="str">
        <f t="shared" si="2"/>
        <v>RC5, 1</v>
      </c>
      <c r="Q24" s="11" t="str">
        <f t="shared" si="3"/>
        <v/>
      </c>
      <c r="R24" s="11" t="str">
        <f t="shared" si="4"/>
        <v xml:space="preserve">1: Error: Reducible RootOf. 2: Error: Reducible RootOf. 4: Error: Reducible RootOf. </v>
      </c>
      <c r="S24" s="12" t="s">
        <v>47</v>
      </c>
      <c r="T24" s="11" t="s">
        <v>63</v>
      </c>
      <c r="U24" s="17">
        <f>U25-SUM(U20:U23)</f>
        <v>402</v>
      </c>
      <c r="V24" s="16">
        <f>U24/$U$25</f>
        <v>1</v>
      </c>
      <c r="W24" s="17">
        <f>W25-SUM(W20:W23)</f>
        <v>274</v>
      </c>
      <c r="X24" s="16">
        <f>W24/$W$25</f>
        <v>0.68159203980099503</v>
      </c>
    </row>
    <row r="25" spans="1:32">
      <c r="A25">
        <v>48</v>
      </c>
      <c r="B25" s="27" t="str">
        <f>VLOOKUP($A25,'1'!$A:$D,3,0)</f>
        <v>TIME OUT</v>
      </c>
      <c r="C25" s="27">
        <f>VLOOKUP($A25,'2'!$A:$E,3,0)</f>
        <v>6776033567</v>
      </c>
      <c r="D25" s="27">
        <f>VLOOKUP($A25,'3'!$A:$E,3,0)</f>
        <v>1620899235</v>
      </c>
      <c r="E25" s="27">
        <f>VLOOKUP($A25,'4'!$A:$E,3,0)</f>
        <v>372860956</v>
      </c>
      <c r="F25" s="27">
        <f>VLOOKUP($A25,'5'!$A:$E,3,0)</f>
        <v>214458344</v>
      </c>
      <c r="G25" s="28">
        <f>VLOOKUP($A25,'6'!$A:$E,3,0)</f>
        <v>308111661</v>
      </c>
      <c r="H25" s="27" t="str">
        <f>VLOOKUP($A25,'1'!$A:$J,8,0)</f>
        <v>ERROR: reducible RootOf detected. Substitutions are %1</v>
      </c>
      <c r="I25" s="27">
        <f>VLOOKUP($A25,'2'!$A:$J,8,0)</f>
        <v>7592052482</v>
      </c>
      <c r="J25" s="27" t="str">
        <f>VLOOKUP($A25,'3'!$A:$J,8,0)</f>
        <v>TIME OUT</v>
      </c>
      <c r="K25" s="27" t="str">
        <f>VLOOKUP($A25,'4'!$A:$J,8,0)</f>
        <v>ERROR: reducible RootOf detected. Substitutions are %1</v>
      </c>
      <c r="L25" s="27">
        <f>VLOOKUP($A25,'5'!$A:$J,8,0)</f>
        <v>656822213</v>
      </c>
      <c r="M25" s="27">
        <f>VLOOKUP($A25,'6'!$A:$J,8,0)</f>
        <v>670394402</v>
      </c>
      <c r="N25" s="5" t="str">
        <f t="shared" si="0"/>
        <v>RC</v>
      </c>
      <c r="O25" s="5">
        <f t="shared" si="1"/>
        <v>5</v>
      </c>
      <c r="P25" s="5" t="str">
        <f t="shared" si="2"/>
        <v>RC5, 1</v>
      </c>
      <c r="Q25" s="11" t="str">
        <f t="shared" si="3"/>
        <v/>
      </c>
      <c r="R25" s="11" t="str">
        <f t="shared" si="4"/>
        <v xml:space="preserve">1: Error: Reducible RootOf. 4: Error: Reducible RootOf. </v>
      </c>
      <c r="S25" s="12" t="s">
        <v>47</v>
      </c>
      <c r="T25" s="18" t="s">
        <v>39</v>
      </c>
      <c r="U25" s="19">
        <f>COUNTA(B3:G69)</f>
        <v>402</v>
      </c>
      <c r="V25" s="20">
        <f>SUM(V20:V24)</f>
        <v>1</v>
      </c>
      <c r="W25" s="19">
        <f>COUNTA(H3:M69)</f>
        <v>402</v>
      </c>
      <c r="X25" s="20">
        <f>SUM(X20:X24)</f>
        <v>1</v>
      </c>
    </row>
    <row r="26" spans="1:32">
      <c r="A26">
        <v>49</v>
      </c>
      <c r="B26" s="27" t="str">
        <f>VLOOKUP($A26,'1'!$A:$D,3,0)</f>
        <v>TIME OUT</v>
      </c>
      <c r="C26" s="27">
        <f>VLOOKUP($A26,'2'!$A:$E,3,0)</f>
        <v>1964940428</v>
      </c>
      <c r="D26" s="27">
        <f>VLOOKUP($A26,'3'!$A:$E,3,0)</f>
        <v>711876253</v>
      </c>
      <c r="E26" s="27">
        <f>VLOOKUP($A26,'4'!$A:$E,3,0)</f>
        <v>213963742</v>
      </c>
      <c r="F26" s="27">
        <f>VLOOKUP($A26,'5'!$A:$E,3,0)</f>
        <v>101720189</v>
      </c>
      <c r="G26" s="28">
        <f>VLOOKUP($A26,'6'!$A:$E,3,0)</f>
        <v>141381232</v>
      </c>
      <c r="H26" s="27" t="str">
        <f>VLOOKUP($A26,'1'!$A:$J,8,0)</f>
        <v>ERROR: reducible RootOf detected. Substitutions are %1</v>
      </c>
      <c r="I26" s="27" t="str">
        <f>VLOOKUP($A26,'2'!$A:$J,8,0)</f>
        <v>ERROR: reducible RootOf detected. Substitutions are %1</v>
      </c>
      <c r="J26" s="27">
        <f>VLOOKUP($A26,'3'!$A:$J,8,0)</f>
        <v>600293944</v>
      </c>
      <c r="K26" s="27" t="str">
        <f>VLOOKUP($A26,'4'!$A:$J,8,0)</f>
        <v>ERROR: reducible RootOf detected. Substitutions are %1</v>
      </c>
      <c r="L26" s="27">
        <f>VLOOKUP($A26,'5'!$A:$J,8,0)</f>
        <v>197408765</v>
      </c>
      <c r="M26" s="27">
        <f>VLOOKUP($A26,'6'!$A:$J,8,0)</f>
        <v>192129588</v>
      </c>
      <c r="N26" s="5" t="str">
        <f t="shared" si="0"/>
        <v>RC</v>
      </c>
      <c r="O26" s="5">
        <f t="shared" si="1"/>
        <v>5</v>
      </c>
      <c r="P26" s="5" t="str">
        <f t="shared" si="2"/>
        <v>RC5, 1</v>
      </c>
      <c r="Q26" s="11" t="str">
        <f t="shared" si="3"/>
        <v/>
      </c>
      <c r="R26" s="11" t="str">
        <f t="shared" si="4"/>
        <v xml:space="preserve">1: Error: Reducible RootOf. 2: Error: Reducible RootOf. 4: Error: Reducible RootOf. </v>
      </c>
      <c r="S26" s="12" t="s">
        <v>47</v>
      </c>
      <c r="T26" s="5"/>
    </row>
    <row r="27" spans="1:32">
      <c r="A27">
        <v>67</v>
      </c>
      <c r="B27" s="27">
        <f>VLOOKUP($A27,'1'!$A:$D,3,0)</f>
        <v>25140818</v>
      </c>
      <c r="C27" s="27">
        <f>VLOOKUP($A27,'2'!$A:$E,3,0)</f>
        <v>25544379</v>
      </c>
      <c r="D27" s="27">
        <f>VLOOKUP($A27,'3'!$A:$E,3,0)</f>
        <v>25532321</v>
      </c>
      <c r="E27" s="27">
        <f>VLOOKUP($A27,'4'!$A:$E,3,0)</f>
        <v>13174773</v>
      </c>
      <c r="F27" s="27">
        <f>VLOOKUP($A27,'5'!$A:$E,3,0)</f>
        <v>19842646</v>
      </c>
      <c r="G27" s="28">
        <f>VLOOKUP($A27,'6'!$A:$E,3,0)</f>
        <v>19837538</v>
      </c>
      <c r="H27" s="27">
        <f>VLOOKUP($A27,'1'!$A:$J,8,0)</f>
        <v>17432971</v>
      </c>
      <c r="I27" s="27">
        <f>VLOOKUP($A27,'2'!$A:$J,8,0)</f>
        <v>11871093</v>
      </c>
      <c r="J27" s="27">
        <f>VLOOKUP($A27,'3'!$A:$J,8,0)</f>
        <v>11882740</v>
      </c>
      <c r="K27" s="27">
        <f>VLOOKUP($A27,'4'!$A:$J,8,0)</f>
        <v>18049444</v>
      </c>
      <c r="L27" s="27">
        <f>VLOOKUP($A27,'5'!$A:$J,8,0)</f>
        <v>13112812</v>
      </c>
      <c r="M27" s="27">
        <f>VLOOKUP($A27,'6'!$A:$J,8,0)</f>
        <v>13100953</v>
      </c>
      <c r="N27" s="5" t="str">
        <f t="shared" si="0"/>
        <v>QE</v>
      </c>
      <c r="O27" s="5">
        <f t="shared" si="1"/>
        <v>8</v>
      </c>
      <c r="P27" s="5" t="str">
        <f t="shared" si="2"/>
        <v>QE2, 1</v>
      </c>
      <c r="Q27" s="11" t="str">
        <f t="shared" si="3"/>
        <v/>
      </c>
      <c r="R27" s="11" t="str">
        <f t="shared" si="4"/>
        <v/>
      </c>
      <c r="S27" s="12" t="s">
        <v>47</v>
      </c>
      <c r="T27" s="5"/>
    </row>
    <row r="28" spans="1:32">
      <c r="A28">
        <v>69</v>
      </c>
      <c r="B28" s="27">
        <f>VLOOKUP($A28,'1'!$A:$D,3,0)</f>
        <v>25141723</v>
      </c>
      <c r="C28" s="27">
        <f>VLOOKUP($A28,'2'!$A:$E,3,0)</f>
        <v>25546664</v>
      </c>
      <c r="D28" s="27">
        <f>VLOOKUP($A28,'3'!$A:$E,3,0)</f>
        <v>25532337</v>
      </c>
      <c r="E28" s="27">
        <f>VLOOKUP($A28,'4'!$A:$E,3,0)</f>
        <v>12157820</v>
      </c>
      <c r="F28" s="27">
        <f>VLOOKUP($A28,'5'!$A:$E,3,0)</f>
        <v>18537047</v>
      </c>
      <c r="G28" s="28">
        <f>VLOOKUP($A28,'6'!$A:$E,3,0)</f>
        <v>18521640</v>
      </c>
      <c r="H28" s="27">
        <f>VLOOKUP($A28,'1'!$A:$J,8,0)</f>
        <v>17430680</v>
      </c>
      <c r="I28" s="27">
        <f>VLOOKUP($A28,'2'!$A:$J,8,0)</f>
        <v>11872844</v>
      </c>
      <c r="J28" s="27">
        <f>VLOOKUP($A28,'3'!$A:$J,8,0)</f>
        <v>11887716</v>
      </c>
      <c r="K28" s="27">
        <f>VLOOKUP($A28,'4'!$A:$J,8,0)</f>
        <v>18041560</v>
      </c>
      <c r="L28" s="27">
        <f>VLOOKUP($A28,'5'!$A:$J,8,0)</f>
        <v>13113354</v>
      </c>
      <c r="M28" s="27">
        <f>VLOOKUP($A28,'6'!$A:$J,8,0)</f>
        <v>13102147</v>
      </c>
      <c r="N28" s="5" t="str">
        <f t="shared" si="0"/>
        <v>QE</v>
      </c>
      <c r="O28" s="5">
        <f t="shared" si="1"/>
        <v>8</v>
      </c>
      <c r="P28" s="5" t="str">
        <f t="shared" si="2"/>
        <v>QE2, 1</v>
      </c>
      <c r="Q28" s="11" t="str">
        <f t="shared" si="3"/>
        <v/>
      </c>
      <c r="R28" s="11" t="str">
        <f t="shared" si="4"/>
        <v/>
      </c>
      <c r="S28" s="12" t="s">
        <v>47</v>
      </c>
      <c r="T28" s="5"/>
    </row>
    <row r="29" spans="1:32">
      <c r="A29">
        <v>70</v>
      </c>
      <c r="B29" s="27">
        <f>VLOOKUP($A29,'1'!$A:$D,3,0)</f>
        <v>47007858</v>
      </c>
      <c r="C29" s="27">
        <f>VLOOKUP($A29,'2'!$A:$E,3,0)</f>
        <v>47980379</v>
      </c>
      <c r="D29" s="27">
        <f>VLOOKUP($A29,'3'!$A:$E,3,0)</f>
        <v>47962239</v>
      </c>
      <c r="E29" s="27">
        <f>VLOOKUP($A29,'4'!$A:$E,3,0)</f>
        <v>25950006</v>
      </c>
      <c r="F29" s="27">
        <f>VLOOKUP($A29,'5'!$A:$E,3,0)</f>
        <v>38389569</v>
      </c>
      <c r="G29" s="28">
        <f>VLOOKUP($A29,'6'!$A:$E,3,0)</f>
        <v>38373347</v>
      </c>
      <c r="H29" s="27">
        <f>VLOOKUP($A29,'1'!$A:$J,8,0)</f>
        <v>30551472</v>
      </c>
      <c r="I29" s="27">
        <f>VLOOKUP($A29,'2'!$A:$J,8,0)</f>
        <v>21856115</v>
      </c>
      <c r="J29" s="27">
        <f>VLOOKUP($A29,'3'!$A:$J,8,0)</f>
        <v>21881108</v>
      </c>
      <c r="K29" s="27">
        <f>VLOOKUP($A29,'4'!$A:$J,8,0)</f>
        <v>30875788</v>
      </c>
      <c r="L29" s="27">
        <f>VLOOKUP($A29,'5'!$A:$J,8,0)</f>
        <v>24118952</v>
      </c>
      <c r="M29" s="27">
        <f>VLOOKUP($A29,'6'!$A:$J,8,0)</f>
        <v>24108228</v>
      </c>
      <c r="N29" s="5" t="str">
        <f t="shared" si="0"/>
        <v>QE</v>
      </c>
      <c r="O29" s="5">
        <f t="shared" si="1"/>
        <v>8</v>
      </c>
      <c r="P29" s="5" t="str">
        <f t="shared" si="2"/>
        <v>QE2, 1</v>
      </c>
      <c r="Q29" s="11" t="str">
        <f t="shared" si="3"/>
        <v/>
      </c>
      <c r="R29" s="11" t="str">
        <f t="shared" si="4"/>
        <v/>
      </c>
      <c r="S29" s="12" t="s">
        <v>47</v>
      </c>
      <c r="T29" s="5"/>
    </row>
    <row r="30" spans="1:32">
      <c r="A30">
        <v>72</v>
      </c>
      <c r="B30" s="27">
        <f>VLOOKUP($A30,'1'!$A:$D,3,0)</f>
        <v>46983875</v>
      </c>
      <c r="C30" s="27">
        <f>VLOOKUP($A30,'2'!$A:$E,3,0)</f>
        <v>47980697</v>
      </c>
      <c r="D30" s="27">
        <f>VLOOKUP($A30,'3'!$A:$E,3,0)</f>
        <v>47965074</v>
      </c>
      <c r="E30" s="27">
        <f>VLOOKUP($A30,'4'!$A:$E,3,0)</f>
        <v>24533152</v>
      </c>
      <c r="F30" s="27">
        <f>VLOOKUP($A30,'5'!$A:$E,3,0)</f>
        <v>35899300</v>
      </c>
      <c r="G30" s="28">
        <f>VLOOKUP($A30,'6'!$A:$E,3,0)</f>
        <v>35883239</v>
      </c>
      <c r="H30" s="27">
        <f>VLOOKUP($A30,'1'!$A:$J,8,0)</f>
        <v>30555546</v>
      </c>
      <c r="I30" s="27">
        <f>VLOOKUP($A30,'2'!$A:$J,8,0)</f>
        <v>21849414</v>
      </c>
      <c r="J30" s="27">
        <f>VLOOKUP($A30,'3'!$A:$J,8,0)</f>
        <v>21888524</v>
      </c>
      <c r="K30" s="27">
        <f>VLOOKUP($A30,'4'!$A:$J,8,0)</f>
        <v>30825681</v>
      </c>
      <c r="L30" s="27">
        <f>VLOOKUP($A30,'5'!$A:$J,8,0)</f>
        <v>24961104</v>
      </c>
      <c r="M30" s="27">
        <f>VLOOKUP($A30,'6'!$A:$J,8,0)</f>
        <v>24932622</v>
      </c>
      <c r="N30" s="5" t="str">
        <f t="shared" si="0"/>
        <v>QE</v>
      </c>
      <c r="O30" s="5">
        <f t="shared" si="1"/>
        <v>8</v>
      </c>
      <c r="P30" s="5" t="str">
        <f t="shared" si="2"/>
        <v>QE2, 1</v>
      </c>
      <c r="Q30" s="11" t="str">
        <f t="shared" si="3"/>
        <v/>
      </c>
      <c r="R30" s="11" t="str">
        <f t="shared" si="4"/>
        <v/>
      </c>
      <c r="S30" s="12" t="s">
        <v>47</v>
      </c>
      <c r="T30" s="5"/>
    </row>
    <row r="31" spans="1:32">
      <c r="A31">
        <v>73</v>
      </c>
      <c r="B31" s="27">
        <f>VLOOKUP($A31,'1'!$A:$D,3,0)</f>
        <v>47015669</v>
      </c>
      <c r="C31" s="27">
        <f>VLOOKUP($A31,'2'!$A:$E,3,0)</f>
        <v>47991232</v>
      </c>
      <c r="D31" s="27">
        <f>VLOOKUP($A31,'3'!$A:$E,3,0)</f>
        <v>47949214</v>
      </c>
      <c r="E31" s="27">
        <f>VLOOKUP($A31,'4'!$A:$E,3,0)</f>
        <v>24114519</v>
      </c>
      <c r="F31" s="27">
        <f>VLOOKUP($A31,'5'!$A:$E,3,0)</f>
        <v>37598813</v>
      </c>
      <c r="G31" s="28">
        <f>VLOOKUP($A31,'6'!$A:$E,3,0)</f>
        <v>38415764</v>
      </c>
      <c r="H31" s="27">
        <f>VLOOKUP($A31,'1'!$A:$J,8,0)</f>
        <v>30555519</v>
      </c>
      <c r="I31" s="27">
        <f>VLOOKUP($A31,'2'!$A:$J,8,0)</f>
        <v>21872839</v>
      </c>
      <c r="J31" s="27">
        <f>VLOOKUP($A31,'3'!$A:$J,8,0)</f>
        <v>21903345</v>
      </c>
      <c r="K31" s="27">
        <f>VLOOKUP($A31,'4'!$A:$J,8,0)</f>
        <v>30870467</v>
      </c>
      <c r="L31" s="27">
        <f>VLOOKUP($A31,'5'!$A:$J,8,0)</f>
        <v>24147725</v>
      </c>
      <c r="M31" s="27">
        <f>VLOOKUP($A31,'6'!$A:$J,8,0)</f>
        <v>24145224</v>
      </c>
      <c r="N31" s="5" t="str">
        <f t="shared" si="0"/>
        <v>QE</v>
      </c>
      <c r="O31" s="5">
        <f t="shared" si="1"/>
        <v>8</v>
      </c>
      <c r="P31" s="5" t="str">
        <f t="shared" si="2"/>
        <v>QE2, 1</v>
      </c>
      <c r="Q31" s="11" t="str">
        <f t="shared" si="3"/>
        <v/>
      </c>
      <c r="R31" s="11" t="str">
        <f t="shared" si="4"/>
        <v/>
      </c>
      <c r="S31" s="12" t="s">
        <v>47</v>
      </c>
      <c r="T31" s="11" t="s">
        <v>55</v>
      </c>
      <c r="U31" t="s">
        <v>64</v>
      </c>
    </row>
    <row r="32" spans="1:32">
      <c r="A32">
        <v>75</v>
      </c>
      <c r="B32" s="27">
        <f>VLOOKUP($A32,'1'!$A:$D,3,0)</f>
        <v>1748170255</v>
      </c>
      <c r="C32" s="27">
        <f>VLOOKUP($A32,'2'!$A:$E,3,0)</f>
        <v>1647282862</v>
      </c>
      <c r="D32" s="27">
        <f>VLOOKUP($A32,'3'!$A:$E,3,0)</f>
        <v>492786391</v>
      </c>
      <c r="E32" s="27">
        <f>VLOOKUP($A32,'4'!$A:$E,3,0)</f>
        <v>56319847</v>
      </c>
      <c r="F32" s="27">
        <f>VLOOKUP($A32,'5'!$A:$E,3,0)</f>
        <v>45525596</v>
      </c>
      <c r="G32" s="28">
        <f>VLOOKUP($A32,'6'!$A:$E,3,0)</f>
        <v>84521361</v>
      </c>
      <c r="H32" s="27" t="str">
        <f>VLOOKUP($A32,'1'!$A:$J,8,0)</f>
        <v>TIME OUT</v>
      </c>
      <c r="I32" s="27" t="str">
        <f>VLOOKUP($A32,'2'!$A:$J,8,0)</f>
        <v>ERROR: reducible RootOf detected. Substitutions are %1</v>
      </c>
      <c r="J32" s="27">
        <f>VLOOKUP($A32,'3'!$A:$J,8,0)</f>
        <v>395746929</v>
      </c>
      <c r="K32" s="27" t="str">
        <f>VLOOKUP($A32,'4'!$A:$J,8,0)</f>
        <v>TIME OUT</v>
      </c>
      <c r="L32" s="27">
        <f>VLOOKUP($A32,'5'!$A:$J,8,0)</f>
        <v>91365224</v>
      </c>
      <c r="M32" s="27">
        <f>VLOOKUP($A32,'6'!$A:$J,8,0)</f>
        <v>115880852</v>
      </c>
      <c r="N32" s="5" t="str">
        <f t="shared" si="0"/>
        <v>RC</v>
      </c>
      <c r="O32" s="5">
        <f t="shared" si="1"/>
        <v>5</v>
      </c>
      <c r="P32" s="5" t="str">
        <f t="shared" si="2"/>
        <v>RC5, 1</v>
      </c>
      <c r="Q32" s="11" t="str">
        <f t="shared" si="3"/>
        <v/>
      </c>
      <c r="R32" s="11" t="str">
        <f t="shared" si="4"/>
        <v xml:space="preserve">2: Error: Reducible RootOf. </v>
      </c>
      <c r="S32" s="12" t="s">
        <v>47</v>
      </c>
      <c r="T32" s="11" t="s">
        <v>57</v>
      </c>
      <c r="U32" t="s">
        <v>65</v>
      </c>
    </row>
    <row r="33" spans="1:21">
      <c r="A33">
        <v>76</v>
      </c>
      <c r="B33" s="27">
        <f>VLOOKUP($A33,'1'!$A:$D,3,0)</f>
        <v>2330064</v>
      </c>
      <c r="C33" s="27">
        <f>VLOOKUP($A33,'2'!$A:$E,3,0)</f>
        <v>2343269</v>
      </c>
      <c r="D33" s="27">
        <f>VLOOKUP($A33,'3'!$A:$E,3,0)</f>
        <v>2330187</v>
      </c>
      <c r="E33" s="27">
        <f>VLOOKUP($A33,'4'!$A:$E,3,0)</f>
        <v>2246904</v>
      </c>
      <c r="F33" s="27">
        <f>VLOOKUP($A33,'5'!$A:$E,3,0)</f>
        <v>2255496</v>
      </c>
      <c r="G33" s="28">
        <f>VLOOKUP($A33,'6'!$A:$E,3,0)</f>
        <v>2246146</v>
      </c>
      <c r="H33" s="27">
        <f>VLOOKUP($A33,'1'!$A:$J,8,0)</f>
        <v>4424866</v>
      </c>
      <c r="I33" s="27">
        <f>VLOOKUP($A33,'2'!$A:$J,8,0)</f>
        <v>4436214</v>
      </c>
      <c r="J33" s="27">
        <f>VLOOKUP($A33,'3'!$A:$J,8,0)</f>
        <v>4432006</v>
      </c>
      <c r="K33" s="27">
        <f>VLOOKUP($A33,'4'!$A:$J,8,0)</f>
        <v>5137353</v>
      </c>
      <c r="L33" s="27">
        <f>VLOOKUP($A33,'5'!$A:$J,8,0)</f>
        <v>5141924</v>
      </c>
      <c r="M33" s="27">
        <f>VLOOKUP($A33,'6'!$A:$J,8,0)</f>
        <v>5138954</v>
      </c>
      <c r="N33" s="5" t="str">
        <f t="shared" si="0"/>
        <v>RC</v>
      </c>
      <c r="O33" s="5">
        <f t="shared" si="1"/>
        <v>6</v>
      </c>
      <c r="P33" s="5" t="str">
        <f t="shared" si="2"/>
        <v>RC6, 1</v>
      </c>
      <c r="Q33" s="11" t="str">
        <f t="shared" si="3"/>
        <v/>
      </c>
      <c r="R33" s="11" t="str">
        <f t="shared" si="4"/>
        <v/>
      </c>
      <c r="S33" s="12" t="s">
        <v>47</v>
      </c>
      <c r="T33" s="11" t="s">
        <v>59</v>
      </c>
      <c r="U33" t="s">
        <v>66</v>
      </c>
    </row>
    <row r="34" spans="1:21">
      <c r="A34">
        <v>77</v>
      </c>
      <c r="B34" s="27">
        <f>VLOOKUP($A34,'1'!$A:$D,3,0)</f>
        <v>1733844291</v>
      </c>
      <c r="C34" s="27">
        <f>VLOOKUP($A34,'2'!$A:$E,3,0)</f>
        <v>1647089520</v>
      </c>
      <c r="D34" s="27">
        <f>VLOOKUP($A34,'3'!$A:$E,3,0)</f>
        <v>492570154</v>
      </c>
      <c r="E34" s="27">
        <f>VLOOKUP($A34,'4'!$A:$E,3,0)</f>
        <v>53341624</v>
      </c>
      <c r="F34" s="27">
        <f>VLOOKUP($A34,'5'!$A:$E,3,0)</f>
        <v>39879712</v>
      </c>
      <c r="G34" s="28">
        <f>VLOOKUP($A34,'6'!$A:$E,3,0)</f>
        <v>81584398</v>
      </c>
      <c r="H34" s="27" t="str">
        <f>VLOOKUP($A34,'1'!$A:$J,8,0)</f>
        <v>TIME OUT</v>
      </c>
      <c r="I34" s="27" t="str">
        <f>VLOOKUP($A34,'2'!$A:$J,8,0)</f>
        <v>ERROR: reducible RootOf detected. Substitutions are %1</v>
      </c>
      <c r="J34" s="27">
        <f>VLOOKUP($A34,'3'!$A:$J,8,0)</f>
        <v>391624374</v>
      </c>
      <c r="K34" s="27" t="str">
        <f>VLOOKUP($A34,'4'!$A:$J,8,0)</f>
        <v>TIME OUT</v>
      </c>
      <c r="L34" s="27">
        <f>VLOOKUP($A34,'5'!$A:$J,8,0)</f>
        <v>92984864</v>
      </c>
      <c r="M34" s="27">
        <f>VLOOKUP($A34,'6'!$A:$J,8,0)</f>
        <v>115873639</v>
      </c>
      <c r="N34" s="5" t="str">
        <f t="shared" si="0"/>
        <v>RC</v>
      </c>
      <c r="O34" s="5">
        <f t="shared" si="1"/>
        <v>5</v>
      </c>
      <c r="P34" s="5" t="str">
        <f t="shared" si="2"/>
        <v>RC5, 1</v>
      </c>
      <c r="Q34" s="11" t="str">
        <f t="shared" si="3"/>
        <v/>
      </c>
      <c r="R34" s="11" t="str">
        <f t="shared" si="4"/>
        <v xml:space="preserve">2: Error: Reducible RootOf. </v>
      </c>
      <c r="S34" s="12" t="s">
        <v>47</v>
      </c>
      <c r="T34" s="11" t="s">
        <v>61</v>
      </c>
      <c r="U34" t="s">
        <v>67</v>
      </c>
    </row>
    <row r="35" spans="1:21">
      <c r="A35">
        <v>78</v>
      </c>
      <c r="B35" s="27">
        <f>VLOOKUP($A35,'1'!$A:$D,3,0)</f>
        <v>1745379216</v>
      </c>
      <c r="C35" s="27">
        <f>VLOOKUP($A35,'2'!$A:$E,3,0)</f>
        <v>1647444488</v>
      </c>
      <c r="D35" s="27">
        <f>VLOOKUP($A35,'3'!$A:$E,3,0)</f>
        <v>392686852</v>
      </c>
      <c r="E35" s="27">
        <f>VLOOKUP($A35,'4'!$A:$E,3,0)</f>
        <v>59550452</v>
      </c>
      <c r="F35" s="27">
        <f>VLOOKUP($A35,'5'!$A:$E,3,0)</f>
        <v>47747887</v>
      </c>
      <c r="G35" s="28">
        <f>VLOOKUP($A35,'6'!$A:$E,3,0)</f>
        <v>74434524</v>
      </c>
      <c r="H35" s="27" t="str">
        <f>VLOOKUP($A35,'1'!$A:$J,8,0)</f>
        <v>TIME OUT</v>
      </c>
      <c r="I35" s="27" t="str">
        <f>VLOOKUP($A35,'2'!$A:$J,8,0)</f>
        <v>ERROR: reducible RootOf detected. Substitutions are %1</v>
      </c>
      <c r="J35" s="27">
        <f>VLOOKUP($A35,'3'!$A:$J,8,0)</f>
        <v>296147904</v>
      </c>
      <c r="K35" s="27" t="str">
        <f>VLOOKUP($A35,'4'!$A:$J,8,0)</f>
        <v>TIME OUT</v>
      </c>
      <c r="L35" s="27">
        <f>VLOOKUP($A35,'5'!$A:$J,8,0)</f>
        <v>93055016</v>
      </c>
      <c r="M35" s="27">
        <f>VLOOKUP($A35,'6'!$A:$J,8,0)</f>
        <v>91195014</v>
      </c>
      <c r="N35" s="5" t="str">
        <f t="shared" si="0"/>
        <v>RC</v>
      </c>
      <c r="O35" s="5">
        <f t="shared" si="1"/>
        <v>5</v>
      </c>
      <c r="P35" s="5" t="str">
        <f t="shared" si="2"/>
        <v>RC5, 1</v>
      </c>
      <c r="Q35" s="11" t="str">
        <f t="shared" si="3"/>
        <v/>
      </c>
      <c r="R35" s="11" t="str">
        <f t="shared" si="4"/>
        <v xml:space="preserve">2: Error: Reducible RootOf. </v>
      </c>
      <c r="S35" s="12" t="s">
        <v>47</v>
      </c>
      <c r="T35" s="5"/>
    </row>
    <row r="36" spans="1:21">
      <c r="A36">
        <v>79</v>
      </c>
      <c r="B36" s="27">
        <f>VLOOKUP($A36,'1'!$A:$D,3,0)</f>
        <v>1743171270</v>
      </c>
      <c r="C36" s="27">
        <f>VLOOKUP($A36,'2'!$A:$E,3,0)</f>
        <v>1657907597</v>
      </c>
      <c r="D36" s="27">
        <f>VLOOKUP($A36,'3'!$A:$E,3,0)</f>
        <v>389628540</v>
      </c>
      <c r="E36" s="27">
        <f>VLOOKUP($A36,'4'!$A:$E,3,0)</f>
        <v>57160876</v>
      </c>
      <c r="F36" s="27">
        <f>VLOOKUP($A36,'5'!$A:$E,3,0)</f>
        <v>41371940</v>
      </c>
      <c r="G36" s="28">
        <f>VLOOKUP($A36,'6'!$A:$E,3,0)</f>
        <v>64467706</v>
      </c>
      <c r="H36" s="27" t="str">
        <f>VLOOKUP($A36,'1'!$A:$J,8,0)</f>
        <v>TIME OUT</v>
      </c>
      <c r="I36" s="27" t="str">
        <f>VLOOKUP($A36,'2'!$A:$J,8,0)</f>
        <v>ERROR: reducible RootOf detected. Substitutions are %1</v>
      </c>
      <c r="J36" s="27">
        <f>VLOOKUP($A36,'3'!$A:$J,8,0)</f>
        <v>298477974</v>
      </c>
      <c r="K36" s="27" t="str">
        <f>VLOOKUP($A36,'4'!$A:$J,8,0)</f>
        <v>TIME OUT</v>
      </c>
      <c r="L36" s="27">
        <f>VLOOKUP($A36,'5'!$A:$J,8,0)</f>
        <v>93239393</v>
      </c>
      <c r="M36" s="27">
        <f>VLOOKUP($A36,'6'!$A:$J,8,0)</f>
        <v>94189116</v>
      </c>
      <c r="N36" s="5" t="str">
        <f t="shared" si="0"/>
        <v>RC</v>
      </c>
      <c r="O36" s="5">
        <f t="shared" si="1"/>
        <v>5</v>
      </c>
      <c r="P36" s="5" t="str">
        <f t="shared" si="2"/>
        <v>RC5, 1</v>
      </c>
      <c r="Q36" s="11" t="str">
        <f t="shared" si="3"/>
        <v/>
      </c>
      <c r="R36" s="11" t="str">
        <f t="shared" si="4"/>
        <v xml:space="preserve">2: Error: Reducible RootOf. </v>
      </c>
      <c r="S36" s="12" t="s">
        <v>47</v>
      </c>
      <c r="T36" s="5"/>
    </row>
    <row r="37" spans="1:21">
      <c r="A37">
        <v>80</v>
      </c>
      <c r="B37" s="27">
        <f>VLOOKUP($A37,'1'!$A:$D,3,0)</f>
        <v>1745638124</v>
      </c>
      <c r="C37" s="27">
        <f>VLOOKUP($A37,'2'!$A:$E,3,0)</f>
        <v>1645744947</v>
      </c>
      <c r="D37" s="27">
        <f>VLOOKUP($A37,'3'!$A:$E,3,0)</f>
        <v>490885546</v>
      </c>
      <c r="E37" s="27">
        <f>VLOOKUP($A37,'4'!$A:$E,3,0)</f>
        <v>56778733</v>
      </c>
      <c r="F37" s="27">
        <f>VLOOKUP($A37,'5'!$A:$E,3,0)</f>
        <v>45881080</v>
      </c>
      <c r="G37" s="28">
        <f>VLOOKUP($A37,'6'!$A:$E,3,0)</f>
        <v>85117003</v>
      </c>
      <c r="H37" s="27" t="str">
        <f>VLOOKUP($A37,'1'!$A:$J,8,0)</f>
        <v>TIME OUT</v>
      </c>
      <c r="I37" s="27" t="str">
        <f>VLOOKUP($A37,'2'!$A:$J,8,0)</f>
        <v>ERROR: reducible RootOf detected. Substitutions are %1</v>
      </c>
      <c r="J37" s="27">
        <f>VLOOKUP($A37,'3'!$A:$J,8,0)</f>
        <v>392131352</v>
      </c>
      <c r="K37" s="27" t="str">
        <f>VLOOKUP($A37,'4'!$A:$J,8,0)</f>
        <v>TIME OUT</v>
      </c>
      <c r="L37" s="27">
        <f>VLOOKUP($A37,'5'!$A:$J,8,0)</f>
        <v>93283808</v>
      </c>
      <c r="M37" s="27">
        <f>VLOOKUP($A37,'6'!$A:$J,8,0)</f>
        <v>117297569</v>
      </c>
      <c r="N37" s="5" t="str">
        <f t="shared" si="0"/>
        <v>RC</v>
      </c>
      <c r="O37" s="5">
        <f t="shared" si="1"/>
        <v>5</v>
      </c>
      <c r="P37" s="5" t="str">
        <f t="shared" si="2"/>
        <v>RC5, 1</v>
      </c>
      <c r="Q37" s="11" t="str">
        <f t="shared" si="3"/>
        <v/>
      </c>
      <c r="R37" s="11" t="str">
        <f t="shared" si="4"/>
        <v xml:space="preserve">2: Error: Reducible RootOf. </v>
      </c>
      <c r="S37" s="12" t="s">
        <v>47</v>
      </c>
      <c r="T37" s="5"/>
    </row>
    <row r="38" spans="1:21">
      <c r="A38">
        <v>81</v>
      </c>
      <c r="B38" s="27">
        <f>VLOOKUP($A38,'1'!$A:$D,3,0)</f>
        <v>2330120</v>
      </c>
      <c r="C38" s="27">
        <f>VLOOKUP($A38,'2'!$A:$E,3,0)</f>
        <v>2343865</v>
      </c>
      <c r="D38" s="27">
        <f>VLOOKUP($A38,'3'!$A:$E,3,0)</f>
        <v>2329136</v>
      </c>
      <c r="E38" s="27">
        <f>VLOOKUP($A38,'4'!$A:$E,3,0)</f>
        <v>2247220</v>
      </c>
      <c r="F38" s="27">
        <f>VLOOKUP($A38,'5'!$A:$E,3,0)</f>
        <v>2256396</v>
      </c>
      <c r="G38" s="28">
        <f>VLOOKUP($A38,'6'!$A:$E,3,0)</f>
        <v>2247029</v>
      </c>
      <c r="H38" s="27">
        <f>VLOOKUP($A38,'1'!$A:$J,8,0)</f>
        <v>4422977</v>
      </c>
      <c r="I38" s="27">
        <f>VLOOKUP($A38,'2'!$A:$J,8,0)</f>
        <v>4435792</v>
      </c>
      <c r="J38" s="27">
        <f>VLOOKUP($A38,'3'!$A:$J,8,0)</f>
        <v>4435032</v>
      </c>
      <c r="K38" s="27">
        <f>VLOOKUP($A38,'4'!$A:$J,8,0)</f>
        <v>5138821</v>
      </c>
      <c r="L38" s="27">
        <f>VLOOKUP($A38,'5'!$A:$J,8,0)</f>
        <v>5145059</v>
      </c>
      <c r="M38" s="27">
        <f>VLOOKUP($A38,'6'!$A:$J,8,0)</f>
        <v>5138871</v>
      </c>
      <c r="N38" s="5" t="str">
        <f t="shared" si="0"/>
        <v>RC</v>
      </c>
      <c r="O38" s="5">
        <f t="shared" si="1"/>
        <v>6</v>
      </c>
      <c r="P38" s="5" t="str">
        <f t="shared" si="2"/>
        <v>RC6, 1</v>
      </c>
      <c r="Q38" s="11" t="str">
        <f t="shared" si="3"/>
        <v/>
      </c>
      <c r="R38" s="11" t="str">
        <f t="shared" si="4"/>
        <v/>
      </c>
      <c r="S38" s="12" t="s">
        <v>47</v>
      </c>
      <c r="T38" s="5"/>
    </row>
    <row r="39" spans="1:21">
      <c r="A39">
        <v>82</v>
      </c>
      <c r="B39" s="27">
        <f>VLOOKUP($A39,'1'!$A:$D,3,0)</f>
        <v>1743974959</v>
      </c>
      <c r="C39" s="27">
        <f>VLOOKUP($A39,'2'!$A:$E,3,0)</f>
        <v>1645928952</v>
      </c>
      <c r="D39" s="27">
        <f>VLOOKUP($A39,'3'!$A:$E,3,0)</f>
        <v>492919503</v>
      </c>
      <c r="E39" s="27">
        <f>VLOOKUP($A39,'4'!$A:$E,3,0)</f>
        <v>55077524</v>
      </c>
      <c r="F39" s="27">
        <f>VLOOKUP($A39,'5'!$A:$E,3,0)</f>
        <v>48046264</v>
      </c>
      <c r="G39" s="28">
        <f>VLOOKUP($A39,'6'!$A:$E,3,0)</f>
        <v>89625986</v>
      </c>
      <c r="H39" s="27" t="str">
        <f>VLOOKUP($A39,'1'!$A:$J,8,0)</f>
        <v>TIME OUT</v>
      </c>
      <c r="I39" s="27" t="str">
        <f>VLOOKUP($A39,'2'!$A:$J,8,0)</f>
        <v>ERROR: reducible RootOf detected. Substitutions are %1</v>
      </c>
      <c r="J39" s="27">
        <f>VLOOKUP($A39,'3'!$A:$J,8,0)</f>
        <v>389529253</v>
      </c>
      <c r="K39" s="27" t="str">
        <f>VLOOKUP($A39,'4'!$A:$J,8,0)</f>
        <v>TIME OUT</v>
      </c>
      <c r="L39" s="27">
        <f>VLOOKUP($A39,'5'!$A:$J,8,0)</f>
        <v>93004261</v>
      </c>
      <c r="M39" s="27">
        <f>VLOOKUP($A39,'6'!$A:$J,8,0)</f>
        <v>121603848</v>
      </c>
      <c r="N39" s="5" t="str">
        <f t="shared" si="0"/>
        <v>RC</v>
      </c>
      <c r="O39" s="5">
        <f t="shared" si="1"/>
        <v>5</v>
      </c>
      <c r="P39" s="5" t="str">
        <f t="shared" si="2"/>
        <v>RC5, 1</v>
      </c>
      <c r="Q39" s="11" t="str">
        <f t="shared" si="3"/>
        <v/>
      </c>
      <c r="R39" s="11" t="str">
        <f t="shared" si="4"/>
        <v xml:space="preserve">2: Error: Reducible RootOf. </v>
      </c>
      <c r="S39" s="12" t="s">
        <v>47</v>
      </c>
      <c r="T39" s="5"/>
    </row>
    <row r="40" spans="1:21">
      <c r="A40">
        <v>83</v>
      </c>
      <c r="B40" s="27">
        <f>VLOOKUP($A40,'1'!$A:$D,3,0)</f>
        <v>1731119016</v>
      </c>
      <c r="C40" s="27">
        <f>VLOOKUP($A40,'2'!$A:$E,3,0)</f>
        <v>1658852918</v>
      </c>
      <c r="D40" s="27">
        <f>VLOOKUP($A40,'3'!$A:$E,3,0)</f>
        <v>490837864</v>
      </c>
      <c r="E40" s="27">
        <f>VLOOKUP($A40,'4'!$A:$E,3,0)</f>
        <v>59682676</v>
      </c>
      <c r="F40" s="27">
        <f>VLOOKUP($A40,'5'!$A:$E,3,0)</f>
        <v>48102063</v>
      </c>
      <c r="G40" s="28">
        <f>VLOOKUP($A40,'6'!$A:$E,3,0)</f>
        <v>89291281</v>
      </c>
      <c r="H40" s="27" t="str">
        <f>VLOOKUP($A40,'1'!$A:$J,8,0)</f>
        <v>TIME OUT</v>
      </c>
      <c r="I40" s="27" t="str">
        <f>VLOOKUP($A40,'2'!$A:$J,8,0)</f>
        <v>ERROR: reducible RootOf detected. Substitutions are %1</v>
      </c>
      <c r="J40" s="27">
        <f>VLOOKUP($A40,'3'!$A:$J,8,0)</f>
        <v>392647608</v>
      </c>
      <c r="K40" s="27" t="str">
        <f>VLOOKUP($A40,'4'!$A:$J,8,0)</f>
        <v>TIME OUT</v>
      </c>
      <c r="L40" s="27">
        <f>VLOOKUP($A40,'5'!$A:$J,8,0)</f>
        <v>93668188</v>
      </c>
      <c r="M40" s="27">
        <f>VLOOKUP($A40,'6'!$A:$J,8,0)</f>
        <v>118975010</v>
      </c>
      <c r="N40" s="5" t="str">
        <f t="shared" si="0"/>
        <v>RC</v>
      </c>
      <c r="O40" s="5">
        <f t="shared" si="1"/>
        <v>5</v>
      </c>
      <c r="P40" s="5" t="str">
        <f t="shared" si="2"/>
        <v>RC5, 1</v>
      </c>
      <c r="Q40" s="11" t="str">
        <f t="shared" si="3"/>
        <v/>
      </c>
      <c r="R40" s="11" t="str">
        <f t="shared" si="4"/>
        <v xml:space="preserve">2: Error: Reducible RootOf. </v>
      </c>
      <c r="S40" s="12" t="s">
        <v>47</v>
      </c>
      <c r="T40" s="5"/>
    </row>
    <row r="41" spans="1:21">
      <c r="A41">
        <v>84</v>
      </c>
      <c r="B41" s="27">
        <f>VLOOKUP($A41,'1'!$A:$D,3,0)</f>
        <v>1730566097</v>
      </c>
      <c r="C41" s="27">
        <f>VLOOKUP($A41,'2'!$A:$E,3,0)</f>
        <v>1659194674</v>
      </c>
      <c r="D41" s="27">
        <f>VLOOKUP($A41,'3'!$A:$E,3,0)</f>
        <v>490833905</v>
      </c>
      <c r="E41" s="27">
        <f>VLOOKUP($A41,'4'!$A:$E,3,0)</f>
        <v>58385948</v>
      </c>
      <c r="F41" s="27">
        <f>VLOOKUP($A41,'5'!$A:$E,3,0)</f>
        <v>49197218</v>
      </c>
      <c r="G41" s="28">
        <f>VLOOKUP($A41,'6'!$A:$E,3,0)</f>
        <v>93439055</v>
      </c>
      <c r="H41" s="27" t="str">
        <f>VLOOKUP($A41,'1'!$A:$J,8,0)</f>
        <v>TIME OUT</v>
      </c>
      <c r="I41" s="27" t="str">
        <f>VLOOKUP($A41,'2'!$A:$J,8,0)</f>
        <v>ERROR: reducible RootOf detected. Substitutions are %1</v>
      </c>
      <c r="J41" s="27">
        <f>VLOOKUP($A41,'3'!$A:$J,8,0)</f>
        <v>383757066</v>
      </c>
      <c r="K41" s="27" t="str">
        <f>VLOOKUP($A41,'4'!$A:$J,8,0)</f>
        <v>TIME OUT</v>
      </c>
      <c r="L41" s="27">
        <f>VLOOKUP($A41,'5'!$A:$J,8,0)</f>
        <v>100382287</v>
      </c>
      <c r="M41" s="27">
        <f>VLOOKUP($A41,'6'!$A:$J,8,0)</f>
        <v>117405868</v>
      </c>
      <c r="N41" s="5" t="str">
        <f t="shared" si="0"/>
        <v>RC</v>
      </c>
      <c r="O41" s="5">
        <f t="shared" si="1"/>
        <v>5</v>
      </c>
      <c r="P41" s="5" t="str">
        <f t="shared" si="2"/>
        <v>RC5, 1</v>
      </c>
      <c r="Q41" s="11" t="str">
        <f t="shared" si="3"/>
        <v/>
      </c>
      <c r="R41" s="11" t="str">
        <f t="shared" si="4"/>
        <v xml:space="preserve">2: Error: Reducible RootOf. </v>
      </c>
      <c r="S41" s="12" t="s">
        <v>47</v>
      </c>
      <c r="T41" s="5"/>
    </row>
    <row r="42" spans="1:21">
      <c r="A42">
        <v>86</v>
      </c>
      <c r="B42" s="27">
        <f>VLOOKUP($A42,'1'!$A:$D,3,0)</f>
        <v>15246033808</v>
      </c>
      <c r="C42" s="27">
        <f>VLOOKUP($A42,'2'!$A:$E,3,0)</f>
        <v>6495406840</v>
      </c>
      <c r="D42" s="27">
        <f>VLOOKUP($A42,'3'!$A:$E,3,0)</f>
        <v>651797553</v>
      </c>
      <c r="E42" s="27">
        <f>VLOOKUP($A42,'4'!$A:$E,3,0)</f>
        <v>160150452</v>
      </c>
      <c r="F42" s="27">
        <f>VLOOKUP($A42,'5'!$A:$E,3,0)</f>
        <v>93896834</v>
      </c>
      <c r="G42" s="28">
        <f>VLOOKUP($A42,'6'!$A:$E,3,0)</f>
        <v>142541904</v>
      </c>
      <c r="H42" s="27" t="str">
        <f>VLOOKUP($A42,'1'!$A:$J,8,0)</f>
        <v>ERROR: reducible RootOf detected. Substitutions are %1</v>
      </c>
      <c r="I42" s="27" t="str">
        <f>VLOOKUP($A42,'2'!$A:$J,8,0)</f>
        <v>ERROR: reducible RootOf detected. Substitutions are %1</v>
      </c>
      <c r="J42" s="27">
        <f>VLOOKUP($A42,'3'!$A:$J,8,0)</f>
        <v>542568048</v>
      </c>
      <c r="K42" s="27" t="str">
        <f>VLOOKUP($A42,'4'!$A:$J,8,0)</f>
        <v>ERROR: reducible RootOf detected. Substitutions are %1</v>
      </c>
      <c r="L42" s="27">
        <f>VLOOKUP($A42,'5'!$A:$J,8,0)</f>
        <v>392285316</v>
      </c>
      <c r="M42" s="27">
        <f>VLOOKUP($A42,'6'!$A:$J,8,0)</f>
        <v>192959914</v>
      </c>
      <c r="N42" s="5" t="str">
        <f t="shared" si="0"/>
        <v>RC</v>
      </c>
      <c r="O42" s="5">
        <f t="shared" si="1"/>
        <v>5</v>
      </c>
      <c r="P42" s="5" t="str">
        <f t="shared" si="2"/>
        <v>RC5, 1</v>
      </c>
      <c r="Q42" s="11" t="str">
        <f t="shared" si="3"/>
        <v/>
      </c>
      <c r="R42" s="11" t="str">
        <f t="shared" si="4"/>
        <v xml:space="preserve">1: Error: Reducible RootOf. 2: Error: Reducible RootOf. 4: Error: Reducible RootOf. </v>
      </c>
      <c r="S42" s="12" t="s">
        <v>47</v>
      </c>
      <c r="T42" s="5"/>
    </row>
    <row r="43" spans="1:21">
      <c r="A43">
        <v>88</v>
      </c>
      <c r="B43" s="27">
        <f>VLOOKUP($A43,'1'!$A:$D,3,0)</f>
        <v>15250780128</v>
      </c>
      <c r="C43" s="27">
        <f>VLOOKUP($A43,'2'!$A:$E,3,0)</f>
        <v>6498986912</v>
      </c>
      <c r="D43" s="27">
        <f>VLOOKUP($A43,'3'!$A:$E,3,0)</f>
        <v>652087878</v>
      </c>
      <c r="E43" s="27">
        <f>VLOOKUP($A43,'4'!$A:$E,3,0)</f>
        <v>152065540</v>
      </c>
      <c r="F43" s="27">
        <f>VLOOKUP($A43,'5'!$A:$E,3,0)</f>
        <v>92119580</v>
      </c>
      <c r="G43" s="28">
        <f>VLOOKUP($A43,'6'!$A:$E,3,0)</f>
        <v>145574470</v>
      </c>
      <c r="H43" s="27" t="str">
        <f>VLOOKUP($A43,'1'!$A:$J,8,0)</f>
        <v>ERROR: reducible RootOf detected. Substitutions are %1</v>
      </c>
      <c r="I43" s="27" t="str">
        <f>VLOOKUP($A43,'2'!$A:$J,8,0)</f>
        <v>ERROR: reducible RootOf detected. Substitutions are %1</v>
      </c>
      <c r="J43" s="27">
        <f>VLOOKUP($A43,'3'!$A:$J,8,0)</f>
        <v>537527224</v>
      </c>
      <c r="K43" s="27" t="str">
        <f>VLOOKUP($A43,'4'!$A:$J,8,0)</f>
        <v>ERROR: reducible RootOf detected. Substitutions are %1</v>
      </c>
      <c r="L43" s="27">
        <f>VLOOKUP($A43,'5'!$A:$J,8,0)</f>
        <v>395613187</v>
      </c>
      <c r="M43" s="27">
        <f>VLOOKUP($A43,'6'!$A:$J,8,0)</f>
        <v>198322700</v>
      </c>
      <c r="N43" s="5" t="str">
        <f t="shared" si="0"/>
        <v>RC</v>
      </c>
      <c r="O43" s="5">
        <f t="shared" si="1"/>
        <v>5</v>
      </c>
      <c r="P43" s="5" t="str">
        <f t="shared" si="2"/>
        <v>RC5, 1</v>
      </c>
      <c r="Q43" s="11" t="str">
        <f t="shared" si="3"/>
        <v/>
      </c>
      <c r="R43" s="11" t="str">
        <f t="shared" si="4"/>
        <v xml:space="preserve">1: Error: Reducible RootOf. 2: Error: Reducible RootOf. 4: Error: Reducible RootOf. </v>
      </c>
      <c r="S43" s="12" t="s">
        <v>47</v>
      </c>
      <c r="T43" s="5"/>
    </row>
    <row r="44" spans="1:21">
      <c r="A44">
        <v>90</v>
      </c>
      <c r="B44" s="27">
        <f>VLOOKUP($A44,'1'!$A:$D,3,0)</f>
        <v>13973781168</v>
      </c>
      <c r="C44" s="27">
        <f>VLOOKUP($A44,'2'!$A:$E,3,0)</f>
        <v>6506256782</v>
      </c>
      <c r="D44" s="27">
        <f>VLOOKUP($A44,'3'!$A:$E,3,0)</f>
        <v>651221607</v>
      </c>
      <c r="E44" s="27">
        <f>VLOOKUP($A44,'4'!$A:$E,3,0)</f>
        <v>140041405</v>
      </c>
      <c r="F44" s="27">
        <f>VLOOKUP($A44,'5'!$A:$E,3,0)</f>
        <v>91106822</v>
      </c>
      <c r="G44" s="28">
        <f>VLOOKUP($A44,'6'!$A:$E,3,0)</f>
        <v>142789564</v>
      </c>
      <c r="H44" s="27" t="str">
        <f>VLOOKUP($A44,'1'!$A:$J,8,0)</f>
        <v>ERROR: reducible RootOf detected. Substitutions are %1</v>
      </c>
      <c r="I44" s="27" t="str">
        <f>VLOOKUP($A44,'2'!$A:$J,8,0)</f>
        <v>ERROR: reducible RootOf detected. Substitutions are %1</v>
      </c>
      <c r="J44" s="27">
        <f>VLOOKUP($A44,'3'!$A:$J,8,0)</f>
        <v>541129642</v>
      </c>
      <c r="K44" s="27" t="str">
        <f>VLOOKUP($A44,'4'!$A:$J,8,0)</f>
        <v>ERROR: reducible RootOf detected. Substitutions are %1</v>
      </c>
      <c r="L44" s="27">
        <f>VLOOKUP($A44,'5'!$A:$J,8,0)</f>
        <v>339562036</v>
      </c>
      <c r="M44" s="27">
        <f>VLOOKUP($A44,'6'!$A:$J,8,0)</f>
        <v>192667572</v>
      </c>
      <c r="N44" s="5" t="str">
        <f t="shared" si="0"/>
        <v>RC</v>
      </c>
      <c r="O44" s="5">
        <f t="shared" si="1"/>
        <v>5</v>
      </c>
      <c r="P44" s="5" t="str">
        <f t="shared" si="2"/>
        <v>RC5, 1</v>
      </c>
      <c r="Q44" s="11" t="str">
        <f t="shared" si="3"/>
        <v/>
      </c>
      <c r="R44" s="11" t="str">
        <f t="shared" si="4"/>
        <v xml:space="preserve">1: Error: Reducible RootOf. 2: Error: Reducible RootOf. 4: Error: Reducible RootOf. </v>
      </c>
      <c r="S44" s="12" t="s">
        <v>47</v>
      </c>
      <c r="T44" s="5"/>
    </row>
    <row r="45" spans="1:21">
      <c r="A45">
        <v>92</v>
      </c>
      <c r="B45" s="27">
        <f>VLOOKUP($A45,'1'!$A:$D,3,0)</f>
        <v>13960733613</v>
      </c>
      <c r="C45" s="27">
        <f>VLOOKUP($A45,'2'!$A:$E,3,0)</f>
        <v>6510016848</v>
      </c>
      <c r="D45" s="27">
        <f>VLOOKUP($A45,'3'!$A:$E,3,0)</f>
        <v>651431485</v>
      </c>
      <c r="E45" s="27" t="str">
        <f>VLOOKUP($A45,'4'!$A:$E,3,0)</f>
        <v>ERROR</v>
      </c>
      <c r="F45" s="27">
        <f>VLOOKUP($A45,'5'!$A:$E,3,0)</f>
        <v>7211501637</v>
      </c>
      <c r="G45" s="28">
        <f>VLOOKUP($A45,'6'!$A:$E,3,0)</f>
        <v>795932025</v>
      </c>
      <c r="H45" s="27" t="str">
        <f>VLOOKUP($A45,'1'!$A:$J,8,0)</f>
        <v>ERROR: reducible RootOf detected. Substitutions are %1</v>
      </c>
      <c r="I45" s="27" t="str">
        <f>VLOOKUP($A45,'2'!$A:$J,8,0)</f>
        <v>ERROR: reducible RootOf detected. Substitutions are %1</v>
      </c>
      <c r="J45" s="27">
        <f>VLOOKUP($A45,'3'!$A:$J,8,0)</f>
        <v>543582405</v>
      </c>
      <c r="K45" s="27" t="str">
        <f>VLOOKUP($A45,'4'!$A:$J,8,0)</f>
        <v>ERROR: reducible RootOf detected. Substitutions are %1</v>
      </c>
      <c r="L45" s="27" t="str">
        <f>VLOOKUP($A45,'5'!$A:$J,8,0)</f>
        <v>ERROR: reducible RootOf detected. Substitutions are %1</v>
      </c>
      <c r="M45" s="27">
        <f>VLOOKUP($A45,'6'!$A:$J,8,0)</f>
        <v>533876260</v>
      </c>
      <c r="N45" s="5" t="str">
        <f t="shared" si="0"/>
        <v>QE</v>
      </c>
      <c r="O45" s="5">
        <f t="shared" si="1"/>
        <v>12</v>
      </c>
      <c r="P45" s="5" t="str">
        <f t="shared" si="2"/>
        <v>QE6, 1</v>
      </c>
      <c r="Q45" s="11" t="e">
        <f t="shared" si="3"/>
        <v>#N/A</v>
      </c>
      <c r="R45" s="11" t="str">
        <f t="shared" si="4"/>
        <v xml:space="preserve">1: Error: Reducible RootOf. 2: Error: Reducible RootOf. 4: Error: Reducible RootOf. 5: Error: Reducible RootOf. </v>
      </c>
      <c r="S45" s="12" t="s">
        <v>47</v>
      </c>
      <c r="T45" s="5"/>
    </row>
    <row r="46" spans="1:21">
      <c r="A46">
        <v>93</v>
      </c>
      <c r="B46" s="27">
        <f>VLOOKUP($A46,'1'!$A:$D,3,0)</f>
        <v>13962429248</v>
      </c>
      <c r="C46" s="27">
        <f>VLOOKUP($A46,'2'!$A:$E,3,0)</f>
        <v>6507050551</v>
      </c>
      <c r="D46" s="27">
        <f>VLOOKUP($A46,'3'!$A:$E,3,0)</f>
        <v>651444791</v>
      </c>
      <c r="E46" s="27">
        <f>VLOOKUP($A46,'4'!$A:$E,3,0)</f>
        <v>142523801</v>
      </c>
      <c r="F46" s="27">
        <f>VLOOKUP($A46,'5'!$A:$E,3,0)</f>
        <v>93578045</v>
      </c>
      <c r="G46" s="28">
        <f>VLOOKUP($A46,'6'!$A:$E,3,0)</f>
        <v>146272152</v>
      </c>
      <c r="H46" s="27" t="str">
        <f>VLOOKUP($A46,'1'!$A:$J,8,0)</f>
        <v>ERROR: reducible RootOf detected. Substitutions are %1</v>
      </c>
      <c r="I46" s="27" t="str">
        <f>VLOOKUP($A46,'2'!$A:$J,8,0)</f>
        <v>ERROR: reducible RootOf detected. Substitutions are %1</v>
      </c>
      <c r="J46" s="27">
        <f>VLOOKUP($A46,'3'!$A:$J,8,0)</f>
        <v>554301281</v>
      </c>
      <c r="K46" s="27" t="str">
        <f>VLOOKUP($A46,'4'!$A:$J,8,0)</f>
        <v>ERROR: reducible RootOf detected. Substitutions are %1</v>
      </c>
      <c r="L46" s="27">
        <f>VLOOKUP($A46,'5'!$A:$J,8,0)</f>
        <v>342593326</v>
      </c>
      <c r="M46" s="27">
        <f>VLOOKUP($A46,'6'!$A:$J,8,0)</f>
        <v>200648961</v>
      </c>
      <c r="N46" s="5" t="str">
        <f t="shared" si="0"/>
        <v>RC</v>
      </c>
      <c r="O46" s="5">
        <f t="shared" si="1"/>
        <v>5</v>
      </c>
      <c r="P46" s="5" t="str">
        <f t="shared" si="2"/>
        <v>RC5, 1</v>
      </c>
      <c r="Q46" s="11" t="str">
        <f t="shared" si="3"/>
        <v/>
      </c>
      <c r="R46" s="11" t="str">
        <f t="shared" si="4"/>
        <v xml:space="preserve">1: Error: Reducible RootOf. 2: Error: Reducible RootOf. 4: Error: Reducible RootOf. </v>
      </c>
      <c r="S46" s="12" t="s">
        <v>47</v>
      </c>
      <c r="T46" s="5"/>
    </row>
    <row r="47" spans="1:21">
      <c r="A47">
        <v>94</v>
      </c>
      <c r="B47" s="27" t="str">
        <f>VLOOKUP($A47,'1'!$A:$D,3,0)</f>
        <v>TIME OUT</v>
      </c>
      <c r="C47" s="27">
        <f>VLOOKUP($A47,'2'!$A:$E,3,0)</f>
        <v>11307126029</v>
      </c>
      <c r="D47" s="27">
        <f>VLOOKUP($A47,'3'!$A:$E,3,0)</f>
        <v>856609948</v>
      </c>
      <c r="E47" s="27" t="str">
        <f>VLOOKUP($A47,'4'!$A:$E,3,0)</f>
        <v>TIME OUT</v>
      </c>
      <c r="F47" s="27">
        <f>VLOOKUP($A47,'5'!$A:$E,3,0)</f>
        <v>12498938353</v>
      </c>
      <c r="G47" s="28">
        <f>VLOOKUP($A47,'6'!$A:$E,3,0)</f>
        <v>1045987318</v>
      </c>
      <c r="H47" s="27" t="str">
        <f>VLOOKUP($A47,'1'!$A:$J,8,0)</f>
        <v>ERROR: reducible RootOf detected. Substitutions are %1</v>
      </c>
      <c r="I47" s="27" t="str">
        <f>VLOOKUP($A47,'2'!$A:$J,8,0)</f>
        <v>ERROR: reducible RootOf detected. Substitutions are %1</v>
      </c>
      <c r="J47" s="27">
        <f>VLOOKUP($A47,'3'!$A:$J,8,0)</f>
        <v>699910743</v>
      </c>
      <c r="K47" s="27" t="str">
        <f>VLOOKUP($A47,'4'!$A:$J,8,0)</f>
        <v>ERROR: reducible RootOf detected. Substitutions are %1</v>
      </c>
      <c r="L47" s="27" t="str">
        <f>VLOOKUP($A47,'5'!$A:$J,8,0)</f>
        <v>ERROR: reducible RootOf detected. Substitutions are %1</v>
      </c>
      <c r="M47" s="27">
        <f>VLOOKUP($A47,'6'!$A:$J,8,0)</f>
        <v>705528472</v>
      </c>
      <c r="N47" s="5" t="str">
        <f t="shared" si="0"/>
        <v>QE</v>
      </c>
      <c r="O47" s="5">
        <f t="shared" si="1"/>
        <v>9</v>
      </c>
      <c r="P47" s="5" t="str">
        <f t="shared" si="2"/>
        <v>QE3, 1</v>
      </c>
      <c r="Q47" s="11" t="str">
        <f t="shared" si="3"/>
        <v/>
      </c>
      <c r="R47" s="11" t="str">
        <f t="shared" si="4"/>
        <v xml:space="preserve">1: Error: Reducible RootOf. 2: Error: Reducible RootOf. 4: Error: Reducible RootOf. 5: Error: Reducible RootOf. </v>
      </c>
      <c r="S47" s="12" t="s">
        <v>47</v>
      </c>
      <c r="T47" s="5"/>
    </row>
    <row r="48" spans="1:21">
      <c r="A48">
        <v>96</v>
      </c>
      <c r="B48" s="27" t="str">
        <f>VLOOKUP($A48,'1'!$A:$D,3,0)</f>
        <v>TIME OUT</v>
      </c>
      <c r="C48" s="27">
        <f>VLOOKUP($A48,'2'!$A:$E,3,0)</f>
        <v>11307784832</v>
      </c>
      <c r="D48" s="27">
        <f>VLOOKUP($A48,'3'!$A:$E,3,0)</f>
        <v>857368985</v>
      </c>
      <c r="E48" s="27" t="str">
        <f>VLOOKUP($A48,'4'!$A:$E,3,0)</f>
        <v>TIME OUT</v>
      </c>
      <c r="F48" s="27">
        <f>VLOOKUP($A48,'5'!$A:$E,3,0)</f>
        <v>12509188157</v>
      </c>
      <c r="G48" s="28">
        <f>VLOOKUP($A48,'6'!$A:$E,3,0)</f>
        <v>1045207316</v>
      </c>
      <c r="H48" s="27" t="str">
        <f>VLOOKUP($A48,'1'!$A:$J,8,0)</f>
        <v>ERROR: reducible RootOf detected. Substitutions are %1</v>
      </c>
      <c r="I48" s="27" t="str">
        <f>VLOOKUP($A48,'2'!$A:$J,8,0)</f>
        <v>ERROR: reducible RootOf detected. Substitutions are %1</v>
      </c>
      <c r="J48" s="27">
        <f>VLOOKUP($A48,'3'!$A:$J,8,0)</f>
        <v>711864320</v>
      </c>
      <c r="K48" s="27" t="str">
        <f>VLOOKUP($A48,'4'!$A:$J,8,0)</f>
        <v>ERROR: reducible RootOf detected. Substitutions are %1</v>
      </c>
      <c r="L48" s="27" t="str">
        <f>VLOOKUP($A48,'5'!$A:$J,8,0)</f>
        <v>ERROR: reducible RootOf detected. Substitutions are %1</v>
      </c>
      <c r="M48" s="27">
        <f>VLOOKUP($A48,'6'!$A:$J,8,0)</f>
        <v>699593699</v>
      </c>
      <c r="N48" s="5" t="str">
        <f t="shared" si="0"/>
        <v>QE</v>
      </c>
      <c r="O48" s="5">
        <f t="shared" si="1"/>
        <v>12</v>
      </c>
      <c r="P48" s="5" t="str">
        <f t="shared" si="2"/>
        <v>QE6, 1</v>
      </c>
      <c r="Q48" s="11" t="str">
        <f t="shared" si="3"/>
        <v/>
      </c>
      <c r="R48" s="11" t="str">
        <f t="shared" si="4"/>
        <v xml:space="preserve">1: Error: Reducible RootOf. 2: Error: Reducible RootOf. 4: Error: Reducible RootOf. 5: Error: Reducible RootOf. </v>
      </c>
      <c r="S48" s="12" t="s">
        <v>47</v>
      </c>
      <c r="T48" s="5"/>
    </row>
    <row r="49" spans="1:20">
      <c r="A49">
        <v>98</v>
      </c>
      <c r="B49" s="27">
        <f>VLOOKUP($A49,'1'!$A:$D,3,0)</f>
        <v>23112759811</v>
      </c>
      <c r="C49" s="27">
        <f>VLOOKUP($A49,'2'!$A:$E,3,0)</f>
        <v>11314035010</v>
      </c>
      <c r="D49" s="27">
        <f>VLOOKUP($A49,'3'!$A:$E,3,0)</f>
        <v>856372498</v>
      </c>
      <c r="E49" s="27" t="str">
        <f>VLOOKUP($A49,'4'!$A:$E,3,0)</f>
        <v>TIME OUT</v>
      </c>
      <c r="F49" s="27">
        <f>VLOOKUP($A49,'5'!$A:$E,3,0)</f>
        <v>12494082752</v>
      </c>
      <c r="G49" s="28">
        <f>VLOOKUP($A49,'6'!$A:$E,3,0)</f>
        <v>1048290240</v>
      </c>
      <c r="H49" s="27" t="str">
        <f>VLOOKUP($A49,'1'!$A:$J,8,0)</f>
        <v>ERROR: reducible RootOf detected. Substitutions are %1</v>
      </c>
      <c r="I49" s="27" t="str">
        <f>VLOOKUP($A49,'2'!$A:$J,8,0)</f>
        <v>ERROR: reducible RootOf detected. Substitutions are %1</v>
      </c>
      <c r="J49" s="27">
        <f>VLOOKUP($A49,'3'!$A:$J,8,0)</f>
        <v>707428858</v>
      </c>
      <c r="K49" s="27" t="str">
        <f>VLOOKUP($A49,'4'!$A:$J,8,0)</f>
        <v>ERROR: reducible RootOf detected. Substitutions are %1</v>
      </c>
      <c r="L49" s="27" t="str">
        <f>VLOOKUP($A49,'5'!$A:$J,8,0)</f>
        <v>ERROR: reducible RootOf detected. Substitutions are %1</v>
      </c>
      <c r="M49" s="27">
        <f>VLOOKUP($A49,'6'!$A:$J,8,0)</f>
        <v>703457060</v>
      </c>
      <c r="N49" s="5" t="str">
        <f t="shared" si="0"/>
        <v>QE</v>
      </c>
      <c r="O49" s="5">
        <f t="shared" si="1"/>
        <v>12</v>
      </c>
      <c r="P49" s="5" t="str">
        <f t="shared" si="2"/>
        <v>QE6, 1</v>
      </c>
      <c r="Q49" s="11" t="str">
        <f t="shared" si="3"/>
        <v/>
      </c>
      <c r="R49" s="11" t="str">
        <f t="shared" si="4"/>
        <v xml:space="preserve">1: Error: Reducible RootOf. 2: Error: Reducible RootOf. 4: Error: Reducible RootOf. 5: Error: Reducible RootOf. </v>
      </c>
      <c r="S49" s="12" t="s">
        <v>47</v>
      </c>
      <c r="T49" s="5"/>
    </row>
    <row r="50" spans="1:20">
      <c r="A50">
        <v>99</v>
      </c>
      <c r="B50" s="27">
        <f>VLOOKUP($A50,'1'!$A:$D,3,0)</f>
        <v>23133441182</v>
      </c>
      <c r="C50" s="27">
        <f>VLOOKUP($A50,'2'!$A:$E,3,0)</f>
        <v>11316691761</v>
      </c>
      <c r="D50" s="27">
        <f>VLOOKUP($A50,'3'!$A:$E,3,0)</f>
        <v>856682415</v>
      </c>
      <c r="E50" s="27" t="str">
        <f>VLOOKUP($A50,'4'!$A:$E,3,0)</f>
        <v>TIME OUT</v>
      </c>
      <c r="F50" s="27">
        <f>VLOOKUP($A50,'5'!$A:$E,3,0)</f>
        <v>13665357365</v>
      </c>
      <c r="G50" s="28">
        <f>VLOOKUP($A50,'6'!$A:$E,3,0)</f>
        <v>1234134701</v>
      </c>
      <c r="H50" s="27" t="str">
        <f>VLOOKUP($A50,'1'!$A:$J,8,0)</f>
        <v>ERROR: reducible RootOf detected. Substitutions are %1</v>
      </c>
      <c r="I50" s="27" t="str">
        <f>VLOOKUP($A50,'2'!$A:$J,8,0)</f>
        <v>ERROR: reducible RootOf detected. Substitutions are %1</v>
      </c>
      <c r="J50" s="27">
        <f>VLOOKUP($A50,'3'!$A:$J,8,0)</f>
        <v>698139783</v>
      </c>
      <c r="K50" s="27" t="str">
        <f>VLOOKUP($A50,'4'!$A:$J,8,0)</f>
        <v>ERROR: reducible RootOf detected. Substitutions are %1</v>
      </c>
      <c r="L50" s="27" t="str">
        <f>VLOOKUP($A50,'5'!$A:$J,8,0)</f>
        <v>ERROR: reducible RootOf detected. Substitutions are %1</v>
      </c>
      <c r="M50" s="27">
        <f>VLOOKUP($A50,'6'!$A:$J,8,0)</f>
        <v>710247212</v>
      </c>
      <c r="N50" s="5" t="str">
        <f t="shared" si="0"/>
        <v>QE</v>
      </c>
      <c r="O50" s="5">
        <f t="shared" si="1"/>
        <v>9</v>
      </c>
      <c r="P50" s="5" t="str">
        <f t="shared" si="2"/>
        <v>QE3, 1</v>
      </c>
      <c r="Q50" s="11" t="str">
        <f t="shared" si="3"/>
        <v/>
      </c>
      <c r="R50" s="11" t="str">
        <f t="shared" si="4"/>
        <v xml:space="preserve">1: Error: Reducible RootOf. 2: Error: Reducible RootOf. 4: Error: Reducible RootOf. 5: Error: Reducible RootOf. </v>
      </c>
      <c r="S50" s="12" t="s">
        <v>47</v>
      </c>
      <c r="T50" s="5"/>
    </row>
    <row r="51" spans="1:20">
      <c r="A51">
        <v>101</v>
      </c>
      <c r="B51" s="27">
        <f>VLOOKUP($A51,'1'!$A:$D,3,0)</f>
        <v>23133350188</v>
      </c>
      <c r="C51" s="27">
        <f>VLOOKUP($A51,'2'!$A:$E,3,0)</f>
        <v>11293587685</v>
      </c>
      <c r="D51" s="27">
        <f>VLOOKUP($A51,'3'!$A:$E,3,0)</f>
        <v>856966042</v>
      </c>
      <c r="E51" s="27" t="str">
        <f>VLOOKUP($A51,'4'!$A:$E,3,0)</f>
        <v>TIME OUT</v>
      </c>
      <c r="F51" s="27">
        <f>VLOOKUP($A51,'5'!$A:$E,3,0)</f>
        <v>12492109136</v>
      </c>
      <c r="G51" s="28">
        <f>VLOOKUP($A51,'6'!$A:$E,3,0)</f>
        <v>1044142831</v>
      </c>
      <c r="H51" s="27" t="str">
        <f>VLOOKUP($A51,'1'!$A:$J,8,0)</f>
        <v>ERROR: reducible RootOf detected. Substitutions are %1</v>
      </c>
      <c r="I51" s="27" t="str">
        <f>VLOOKUP($A51,'2'!$A:$J,8,0)</f>
        <v>ERROR: reducible RootOf detected. Substitutions are %1</v>
      </c>
      <c r="J51" s="27">
        <f>VLOOKUP($A51,'3'!$A:$J,8,0)</f>
        <v>704926230</v>
      </c>
      <c r="K51" s="27" t="str">
        <f>VLOOKUP($A51,'4'!$A:$J,8,0)</f>
        <v>ERROR: reducible RootOf detected. Substitutions are %1</v>
      </c>
      <c r="L51" s="27" t="str">
        <f>VLOOKUP($A51,'5'!$A:$J,8,0)</f>
        <v>ERROR: reducible RootOf detected. Substitutions are %1</v>
      </c>
      <c r="M51" s="27">
        <f>VLOOKUP($A51,'6'!$A:$J,8,0)</f>
        <v>701940585</v>
      </c>
      <c r="N51" s="5" t="str">
        <f t="shared" si="0"/>
        <v>QE</v>
      </c>
      <c r="O51" s="5">
        <f t="shared" si="1"/>
        <v>12</v>
      </c>
      <c r="P51" s="5" t="str">
        <f t="shared" si="2"/>
        <v>QE6, 1</v>
      </c>
      <c r="Q51" s="11" t="str">
        <f t="shared" si="3"/>
        <v/>
      </c>
      <c r="R51" s="11" t="str">
        <f t="shared" si="4"/>
        <v xml:space="preserve">1: Error: Reducible RootOf. 2: Error: Reducible RootOf. 4: Error: Reducible RootOf. 5: Error: Reducible RootOf. </v>
      </c>
      <c r="S51" s="12" t="s">
        <v>47</v>
      </c>
      <c r="T51" s="5"/>
    </row>
    <row r="52" spans="1:20">
      <c r="A52">
        <v>103</v>
      </c>
      <c r="B52" s="27">
        <f>VLOOKUP($A52,'1'!$A:$D,3,0)</f>
        <v>15157408481</v>
      </c>
      <c r="C52" s="27">
        <f>VLOOKUP($A52,'2'!$A:$E,3,0)</f>
        <v>6502299848</v>
      </c>
      <c r="D52" s="27">
        <f>VLOOKUP($A52,'3'!$A:$E,3,0)</f>
        <v>651512002</v>
      </c>
      <c r="E52" s="27">
        <f>VLOOKUP($A52,'4'!$A:$E,3,0)</f>
        <v>16709767989</v>
      </c>
      <c r="F52" s="27">
        <f>VLOOKUP($A52,'5'!$A:$E,3,0)</f>
        <v>7210865478</v>
      </c>
      <c r="G52" s="28">
        <f>VLOOKUP($A52,'6'!$A:$E,3,0)</f>
        <v>798596853</v>
      </c>
      <c r="H52" s="27" t="str">
        <f>VLOOKUP($A52,'1'!$A:$J,8,0)</f>
        <v>ERROR: reducible RootOf detected. Substitutions are %1</v>
      </c>
      <c r="I52" s="27" t="str">
        <f>VLOOKUP($A52,'2'!$A:$J,8,0)</f>
        <v>ERROR: reducible RootOf detected. Substitutions are %1</v>
      </c>
      <c r="J52" s="27">
        <f>VLOOKUP($A52,'3'!$A:$J,8,0)</f>
        <v>543553481</v>
      </c>
      <c r="K52" s="27" t="str">
        <f>VLOOKUP($A52,'4'!$A:$J,8,0)</f>
        <v>ERROR: reducible RootOf detected. Substitutions are %1</v>
      </c>
      <c r="L52" s="27" t="str">
        <f>VLOOKUP($A52,'5'!$A:$J,8,0)</f>
        <v>ERROR: reducible RootOf detected. Substitutions are %1</v>
      </c>
      <c r="M52" s="27">
        <f>VLOOKUP($A52,'6'!$A:$J,8,0)</f>
        <v>533908263</v>
      </c>
      <c r="N52" s="5" t="str">
        <f t="shared" si="0"/>
        <v>QE</v>
      </c>
      <c r="O52" s="5">
        <f t="shared" si="1"/>
        <v>12</v>
      </c>
      <c r="P52" s="5" t="str">
        <f t="shared" si="2"/>
        <v>QE6, 1</v>
      </c>
      <c r="Q52" s="11" t="str">
        <f t="shared" si="3"/>
        <v/>
      </c>
      <c r="R52" s="11" t="str">
        <f t="shared" si="4"/>
        <v xml:space="preserve">1: Error: Reducible RootOf. 2: Error: Reducible RootOf. 4: Error: Reducible RootOf. 5: Error: Reducible RootOf. </v>
      </c>
      <c r="S52" s="12" t="s">
        <v>47</v>
      </c>
      <c r="T52" s="5"/>
    </row>
    <row r="53" spans="1:20">
      <c r="A53">
        <v>105</v>
      </c>
      <c r="B53" s="27" t="str">
        <f>VLOOKUP($A53,'1'!$A:$D,3,0)</f>
        <v>TIME OUT</v>
      </c>
      <c r="C53" s="27">
        <f>VLOOKUP($A53,'2'!$A:$E,3,0)</f>
        <v>15906593261</v>
      </c>
      <c r="D53" s="27">
        <f>VLOOKUP($A53,'3'!$A:$E,3,0)</f>
        <v>945626544</v>
      </c>
      <c r="E53" s="27" t="str">
        <f>VLOOKUP($A53,'4'!$A:$E,3,0)</f>
        <v>TIME OUT</v>
      </c>
      <c r="F53" s="27">
        <f>VLOOKUP($A53,'5'!$A:$E,3,0)</f>
        <v>17443497929</v>
      </c>
      <c r="G53" s="28">
        <f>VLOOKUP($A53,'6'!$A:$E,3,0)</f>
        <v>1149868565</v>
      </c>
      <c r="H53" s="27" t="str">
        <f>VLOOKUP($A53,'1'!$A:$J,8,0)</f>
        <v>ERROR: reducible RootOf detected. Substitutions are %1</v>
      </c>
      <c r="I53" s="27" t="str">
        <f>VLOOKUP($A53,'2'!$A:$J,8,0)</f>
        <v>ERROR: reducible RootOf detected. Substitutions are %1</v>
      </c>
      <c r="J53" s="27">
        <f>VLOOKUP($A53,'3'!$A:$J,8,0)</f>
        <v>794335893</v>
      </c>
      <c r="K53" s="27" t="str">
        <f>VLOOKUP($A53,'4'!$A:$J,8,0)</f>
        <v>ERROR: reducible RootOf detected. Substitutions are %1</v>
      </c>
      <c r="L53" s="27" t="str">
        <f>VLOOKUP($A53,'5'!$A:$J,8,0)</f>
        <v>ERROR: reducible RootOf detected. Substitutions are %1</v>
      </c>
      <c r="M53" s="27">
        <f>VLOOKUP($A53,'6'!$A:$J,8,0)</f>
        <v>804695880</v>
      </c>
      <c r="N53" s="5" t="str">
        <f t="shared" si="0"/>
        <v>QE</v>
      </c>
      <c r="O53" s="5">
        <f t="shared" si="1"/>
        <v>9</v>
      </c>
      <c r="P53" s="5" t="str">
        <f t="shared" si="2"/>
        <v>QE3, 1</v>
      </c>
      <c r="Q53" s="11" t="str">
        <f t="shared" si="3"/>
        <v/>
      </c>
      <c r="R53" s="11" t="str">
        <f t="shared" si="4"/>
        <v xml:space="preserve">1: Error: Reducible RootOf. 2: Error: Reducible RootOf. 4: Error: Reducible RootOf. 5: Error: Reducible RootOf. </v>
      </c>
      <c r="S53" s="12" t="s">
        <v>47</v>
      </c>
      <c r="T53" s="5"/>
    </row>
    <row r="54" spans="1:20">
      <c r="A54">
        <v>106</v>
      </c>
      <c r="B54" s="27" t="str">
        <f>VLOOKUP($A54,'1'!$A:$D,3,0)</f>
        <v>ERROR: invalid subscript selector</v>
      </c>
      <c r="C54" s="27">
        <f>VLOOKUP($A54,'2'!$A:$E,3,0)</f>
        <v>7255285878</v>
      </c>
      <c r="D54" s="27">
        <f>VLOOKUP($A54,'3'!$A:$E,3,0)</f>
        <v>675290592</v>
      </c>
      <c r="E54" s="27">
        <f>VLOOKUP($A54,'4'!$A:$E,3,0)</f>
        <v>23194629172</v>
      </c>
      <c r="F54" s="27">
        <f>VLOOKUP($A54,'5'!$A:$E,3,0)</f>
        <v>7987341888</v>
      </c>
      <c r="G54" s="28">
        <f>VLOOKUP($A54,'6'!$A:$E,3,0)</f>
        <v>825529991</v>
      </c>
      <c r="H54" s="27" t="str">
        <f>VLOOKUP($A54,'1'!$A:$J,8,0)</f>
        <v>ERROR: reducible RootOf detected. Substitutions are %1</v>
      </c>
      <c r="I54" s="27" t="str">
        <f>VLOOKUP($A54,'2'!$A:$J,8,0)</f>
        <v>ERROR: reducible RootOf detected. Substitutions are %1</v>
      </c>
      <c r="J54" s="27">
        <f>VLOOKUP($A54,'3'!$A:$J,8,0)</f>
        <v>551425674</v>
      </c>
      <c r="K54" s="27" t="str">
        <f>VLOOKUP($A54,'4'!$A:$J,8,0)</f>
        <v>ERROR: reducible RootOf detected. Substitutions are %1</v>
      </c>
      <c r="L54" s="27" t="str">
        <f>VLOOKUP($A54,'5'!$A:$J,8,0)</f>
        <v>ERROR: reducible RootOf detected. Substitutions are %1</v>
      </c>
      <c r="M54" s="27">
        <f>VLOOKUP($A54,'6'!$A:$J,8,0)</f>
        <v>571030332</v>
      </c>
      <c r="N54" s="5" t="str">
        <f t="shared" si="0"/>
        <v>QE</v>
      </c>
      <c r="O54" s="5">
        <f t="shared" si="1"/>
        <v>9</v>
      </c>
      <c r="P54" s="5" t="str">
        <f t="shared" si="2"/>
        <v>QE3, 1</v>
      </c>
      <c r="Q54" s="11" t="e">
        <f t="shared" si="3"/>
        <v>#N/A</v>
      </c>
      <c r="R54" s="11" t="str">
        <f t="shared" si="4"/>
        <v xml:space="preserve">1: Error: Reducible RootOf. 2: Error: Reducible RootOf. 4: Error: Reducible RootOf. 5: Error: Reducible RootOf. </v>
      </c>
      <c r="S54" s="12" t="s">
        <v>47</v>
      </c>
      <c r="T54" s="5"/>
    </row>
    <row r="55" spans="1:20">
      <c r="A55">
        <v>108</v>
      </c>
      <c r="B55" s="27" t="str">
        <f>VLOOKUP($A55,'1'!$A:$D,3,0)</f>
        <v>TIME OUT</v>
      </c>
      <c r="C55" s="27">
        <f>VLOOKUP($A55,'2'!$A:$E,3,0)</f>
        <v>15914077781</v>
      </c>
      <c r="D55" s="27">
        <f>VLOOKUP($A55,'3'!$A:$E,3,0)</f>
        <v>945870988</v>
      </c>
      <c r="E55" s="27" t="str">
        <f>VLOOKUP($A55,'4'!$A:$E,3,0)</f>
        <v>TIME OUT</v>
      </c>
      <c r="F55" s="27">
        <f>VLOOKUP($A55,'5'!$A:$E,3,0)</f>
        <v>17412921595</v>
      </c>
      <c r="G55" s="28">
        <f>VLOOKUP($A55,'6'!$A:$E,3,0)</f>
        <v>1150119464</v>
      </c>
      <c r="H55" s="27" t="str">
        <f>VLOOKUP($A55,'1'!$A:$J,8,0)</f>
        <v>ERROR: reducible RootOf detected. Substitutions are %1</v>
      </c>
      <c r="I55" s="27" t="str">
        <f>VLOOKUP($A55,'2'!$A:$J,8,0)</f>
        <v>ERROR: reducible RootOf detected. Substitutions are %1</v>
      </c>
      <c r="J55" s="27">
        <f>VLOOKUP($A55,'3'!$A:$J,8,0)</f>
        <v>800215192</v>
      </c>
      <c r="K55" s="27" t="str">
        <f>VLOOKUP($A55,'4'!$A:$J,8,0)</f>
        <v>ERROR: reducible RootOf detected. Substitutions are %1</v>
      </c>
      <c r="L55" s="27" t="str">
        <f>VLOOKUP($A55,'5'!$A:$J,8,0)</f>
        <v>ERROR: reducible RootOf detected. Substitutions are %1</v>
      </c>
      <c r="M55" s="27">
        <f>VLOOKUP($A55,'6'!$A:$J,8,0)</f>
        <v>795284770</v>
      </c>
      <c r="N55" s="5" t="str">
        <f t="shared" si="0"/>
        <v>QE</v>
      </c>
      <c r="O55" s="5">
        <f t="shared" si="1"/>
        <v>12</v>
      </c>
      <c r="P55" s="5" t="str">
        <f t="shared" si="2"/>
        <v>QE6, 1</v>
      </c>
      <c r="Q55" s="11" t="str">
        <f t="shared" si="3"/>
        <v/>
      </c>
      <c r="R55" s="11" t="str">
        <f t="shared" si="4"/>
        <v xml:space="preserve">1: Error: Reducible RootOf. 2: Error: Reducible RootOf. 4: Error: Reducible RootOf. 5: Error: Reducible RootOf. </v>
      </c>
      <c r="S55" s="12" t="s">
        <v>47</v>
      </c>
      <c r="T55" s="5"/>
    </row>
    <row r="56" spans="1:20">
      <c r="A56">
        <v>109</v>
      </c>
      <c r="B56" s="27" t="str">
        <f>VLOOKUP($A56,'1'!$A:$D,3,0)</f>
        <v>TIME OUT</v>
      </c>
      <c r="C56" s="27">
        <f>VLOOKUP($A56,'2'!$A:$E,3,0)</f>
        <v>15806662313</v>
      </c>
      <c r="D56" s="27">
        <f>VLOOKUP($A56,'3'!$A:$E,3,0)</f>
        <v>945994734</v>
      </c>
      <c r="E56" s="27" t="str">
        <f>VLOOKUP($A56,'4'!$A:$E,3,0)</f>
        <v>TIME OUT</v>
      </c>
      <c r="F56" s="27">
        <f>VLOOKUP($A56,'5'!$A:$E,3,0)</f>
        <v>17422478541</v>
      </c>
      <c r="G56" s="28">
        <f>VLOOKUP($A56,'6'!$A:$E,3,0)</f>
        <v>1134192120</v>
      </c>
      <c r="H56" s="27" t="str">
        <f>VLOOKUP($A56,'1'!$A:$J,8,0)</f>
        <v>ERROR: reducible RootOf detected. Substitutions are %1</v>
      </c>
      <c r="I56" s="27" t="str">
        <f>VLOOKUP($A56,'2'!$A:$J,8,0)</f>
        <v>ERROR: reducible RootOf detected. Substitutions are %1</v>
      </c>
      <c r="J56" s="27">
        <f>VLOOKUP($A56,'3'!$A:$J,8,0)</f>
        <v>802782544</v>
      </c>
      <c r="K56" s="27" t="str">
        <f>VLOOKUP($A56,'4'!$A:$J,8,0)</f>
        <v>ERROR: reducible RootOf detected. Substitutions are %1</v>
      </c>
      <c r="L56" s="27" t="str">
        <f>VLOOKUP($A56,'5'!$A:$J,8,0)</f>
        <v>ERROR: reducible RootOf detected. Substitutions are %1</v>
      </c>
      <c r="M56" s="27">
        <f>VLOOKUP($A56,'6'!$A:$J,8,0)</f>
        <v>804830466</v>
      </c>
      <c r="N56" s="5" t="str">
        <f t="shared" si="0"/>
        <v>QE</v>
      </c>
      <c r="O56" s="5">
        <f t="shared" si="1"/>
        <v>9</v>
      </c>
      <c r="P56" s="5" t="str">
        <f t="shared" si="2"/>
        <v>QE3, 1</v>
      </c>
      <c r="Q56" s="11" t="str">
        <f t="shared" si="3"/>
        <v/>
      </c>
      <c r="R56" s="11" t="str">
        <f t="shared" si="4"/>
        <v xml:space="preserve">1: Error: Reducible RootOf. 2: Error: Reducible RootOf. 4: Error: Reducible RootOf. 5: Error: Reducible RootOf. </v>
      </c>
      <c r="S56" s="12" t="s">
        <v>47</v>
      </c>
      <c r="T56" s="5"/>
    </row>
    <row r="57" spans="1:20">
      <c r="A57">
        <v>112</v>
      </c>
      <c r="B57" s="27">
        <f>VLOOKUP($A57,'1'!$A:$D,3,0)</f>
        <v>21117718106</v>
      </c>
      <c r="C57" s="27">
        <f>VLOOKUP($A57,'2'!$A:$E,3,0)</f>
        <v>7252096048</v>
      </c>
      <c r="D57" s="27">
        <f>VLOOKUP($A57,'3'!$A:$E,3,0)</f>
        <v>675575245</v>
      </c>
      <c r="E57" s="27">
        <f>VLOOKUP($A57,'4'!$A:$E,3,0)</f>
        <v>23176632954</v>
      </c>
      <c r="F57" s="27">
        <f>VLOOKUP($A57,'5'!$A:$E,3,0)</f>
        <v>7990925600</v>
      </c>
      <c r="G57" s="28">
        <f>VLOOKUP($A57,'6'!$A:$E,3,0)</f>
        <v>825811791</v>
      </c>
      <c r="H57" s="27" t="str">
        <f>VLOOKUP($A57,'1'!$A:$J,8,0)</f>
        <v>ERROR: reducible RootOf detected. Substitutions are %1</v>
      </c>
      <c r="I57" s="27" t="str">
        <f>VLOOKUP($A57,'2'!$A:$J,8,0)</f>
        <v>ERROR: reducible RootOf detected. Substitutions are %1</v>
      </c>
      <c r="J57" s="27">
        <f>VLOOKUP($A57,'3'!$A:$J,8,0)</f>
        <v>559573706</v>
      </c>
      <c r="K57" s="27" t="str">
        <f>VLOOKUP($A57,'4'!$A:$J,8,0)</f>
        <v>ERROR: reducible RootOf detected. Substitutions are %1</v>
      </c>
      <c r="L57" s="27" t="str">
        <f>VLOOKUP($A57,'5'!$A:$J,8,0)</f>
        <v>ERROR: reducible RootOf detected. Substitutions are %1</v>
      </c>
      <c r="M57" s="27">
        <f>VLOOKUP($A57,'6'!$A:$J,8,0)</f>
        <v>561662462</v>
      </c>
      <c r="N57" s="5" t="str">
        <f t="shared" si="0"/>
        <v>QE</v>
      </c>
      <c r="O57" s="5">
        <f t="shared" si="1"/>
        <v>9</v>
      </c>
      <c r="P57" s="5" t="str">
        <f t="shared" si="2"/>
        <v>QE3, 1</v>
      </c>
      <c r="Q57" s="11" t="str">
        <f t="shared" si="3"/>
        <v/>
      </c>
      <c r="R57" s="11" t="str">
        <f t="shared" si="4"/>
        <v xml:space="preserve">1: Error: Reducible RootOf. 2: Error: Reducible RootOf. 4: Error: Reducible RootOf. 5: Error: Reducible RootOf. </v>
      </c>
      <c r="S57" s="12" t="s">
        <v>47</v>
      </c>
      <c r="T57" s="5"/>
    </row>
    <row r="58" spans="1:20">
      <c r="A58">
        <v>114</v>
      </c>
      <c r="B58" s="27" t="str">
        <f>VLOOKUP($A58,'1'!$A:$D,3,0)</f>
        <v>TIME OUT</v>
      </c>
      <c r="C58" s="27">
        <f>VLOOKUP($A58,'2'!$A:$E,3,0)</f>
        <v>15930695036</v>
      </c>
      <c r="D58" s="27">
        <f>VLOOKUP($A58,'3'!$A:$E,3,0)</f>
        <v>940352165</v>
      </c>
      <c r="E58" s="27" t="str">
        <f>VLOOKUP($A58,'4'!$A:$E,3,0)</f>
        <v>TIME OUT</v>
      </c>
      <c r="F58" s="27">
        <f>VLOOKUP($A58,'5'!$A:$E,3,0)</f>
        <v>17437940375</v>
      </c>
      <c r="G58" s="28">
        <f>VLOOKUP($A58,'6'!$A:$E,3,0)</f>
        <v>1148288072</v>
      </c>
      <c r="H58" s="27" t="str">
        <f>VLOOKUP($A58,'1'!$A:$J,8,0)</f>
        <v>ERROR: reducible RootOf detected. Substitutions are %1</v>
      </c>
      <c r="I58" s="27" t="str">
        <f>VLOOKUP($A58,'2'!$A:$J,8,0)</f>
        <v>ERROR: reducible RootOf detected. Substitutions are %1</v>
      </c>
      <c r="J58" s="27">
        <f>VLOOKUP($A58,'3'!$A:$J,8,0)</f>
        <v>807462107</v>
      </c>
      <c r="K58" s="27" t="str">
        <f>VLOOKUP($A58,'4'!$A:$J,8,0)</f>
        <v>ERROR: reducible RootOf detected. Substitutions are %1</v>
      </c>
      <c r="L58" s="27" t="str">
        <f>VLOOKUP($A58,'5'!$A:$J,8,0)</f>
        <v>ERROR: reducible RootOf detected. Substitutions are %1</v>
      </c>
      <c r="M58" s="27">
        <f>VLOOKUP($A58,'6'!$A:$J,8,0)</f>
        <v>799438685</v>
      </c>
      <c r="N58" s="5" t="str">
        <f t="shared" si="0"/>
        <v>QE</v>
      </c>
      <c r="O58" s="5">
        <f t="shared" si="1"/>
        <v>12</v>
      </c>
      <c r="P58" s="5" t="str">
        <f t="shared" si="2"/>
        <v>QE6, 1</v>
      </c>
      <c r="Q58" s="11" t="str">
        <f t="shared" si="3"/>
        <v/>
      </c>
      <c r="R58" s="11" t="str">
        <f t="shared" si="4"/>
        <v xml:space="preserve">1: Error: Reducible RootOf. 2: Error: Reducible RootOf. 4: Error: Reducible RootOf. 5: Error: Reducible RootOf. </v>
      </c>
      <c r="S58" s="12" t="s">
        <v>47</v>
      </c>
      <c r="T58" s="5"/>
    </row>
    <row r="59" spans="1:20">
      <c r="A59">
        <v>115</v>
      </c>
      <c r="B59" s="27" t="str">
        <f>VLOOKUP($A59,'1'!$A:$D,3,0)</f>
        <v>TIME OUT</v>
      </c>
      <c r="C59" s="27">
        <f>VLOOKUP($A59,'2'!$A:$E,3,0)</f>
        <v>15930579834</v>
      </c>
      <c r="D59" s="27">
        <f>VLOOKUP($A59,'3'!$A:$E,3,0)</f>
        <v>941605017</v>
      </c>
      <c r="E59" s="27" t="str">
        <f>VLOOKUP($A59,'4'!$A:$E,3,0)</f>
        <v>TIME OUT</v>
      </c>
      <c r="F59" s="27">
        <f>VLOOKUP($A59,'5'!$A:$E,3,0)</f>
        <v>17441440189</v>
      </c>
      <c r="G59" s="28">
        <f>VLOOKUP($A59,'6'!$A:$E,3,0)</f>
        <v>1149496118</v>
      </c>
      <c r="H59" s="27" t="str">
        <f>VLOOKUP($A59,'1'!$A:$J,8,0)</f>
        <v>ERROR: reducible RootOf detected. Substitutions are %1</v>
      </c>
      <c r="I59" s="27" t="str">
        <f>VLOOKUP($A59,'2'!$A:$J,8,0)</f>
        <v>ERROR: reducible RootOf detected. Substitutions are %1</v>
      </c>
      <c r="J59" s="27">
        <f>VLOOKUP($A59,'3'!$A:$J,8,0)</f>
        <v>801340064</v>
      </c>
      <c r="K59" s="27" t="str">
        <f>VLOOKUP($A59,'4'!$A:$J,8,0)</f>
        <v>ERROR: reducible RootOf detected. Substitutions are %1</v>
      </c>
      <c r="L59" s="27" t="str">
        <f>VLOOKUP($A59,'5'!$A:$J,8,0)</f>
        <v>ERROR: reducible RootOf detected. Substitutions are %1</v>
      </c>
      <c r="M59" s="27">
        <f>VLOOKUP($A59,'6'!$A:$J,8,0)</f>
        <v>798192878</v>
      </c>
      <c r="N59" s="5" t="str">
        <f t="shared" si="0"/>
        <v>QE</v>
      </c>
      <c r="O59" s="5">
        <f t="shared" si="1"/>
        <v>12</v>
      </c>
      <c r="P59" s="5" t="str">
        <f t="shared" si="2"/>
        <v>QE6, 1</v>
      </c>
      <c r="Q59" s="11" t="str">
        <f t="shared" si="3"/>
        <v/>
      </c>
      <c r="R59" s="11" t="str">
        <f t="shared" si="4"/>
        <v xml:space="preserve">1: Error: Reducible RootOf. 2: Error: Reducible RootOf. 4: Error: Reducible RootOf. 5: Error: Reducible RootOf. </v>
      </c>
      <c r="S59" s="12" t="s">
        <v>47</v>
      </c>
      <c r="T59" s="5"/>
    </row>
    <row r="60" spans="1:20">
      <c r="A60">
        <v>118</v>
      </c>
      <c r="B60" s="27" t="str">
        <f>VLOOKUP($A60,'1'!$A:$D,3,0)</f>
        <v>TIME OUT</v>
      </c>
      <c r="C60" s="27" t="str">
        <f>VLOOKUP($A60,'2'!$A:$E,3,0)</f>
        <v>TIME OUT</v>
      </c>
      <c r="D60" s="27">
        <f>VLOOKUP($A60,'3'!$A:$E,3,0)</f>
        <v>1233693820</v>
      </c>
      <c r="E60" s="27" t="str">
        <f>VLOOKUP($A60,'4'!$A:$E,3,0)</f>
        <v>TIME OUT</v>
      </c>
      <c r="F60" s="27" t="str">
        <f>VLOOKUP($A60,'5'!$A:$E,3,0)</f>
        <v>TIME OUT</v>
      </c>
      <c r="G60" s="28">
        <f>VLOOKUP($A60,'6'!$A:$E,3,0)</f>
        <v>1503544334</v>
      </c>
      <c r="H60" s="27" t="str">
        <f>VLOOKUP($A60,'1'!$A:$J,8,0)</f>
        <v>ERROR: reducible RootOf detected. Substitutions are %1</v>
      </c>
      <c r="I60" s="27" t="str">
        <f>VLOOKUP($A60,'2'!$A:$J,8,0)</f>
        <v>ERROR: reducible RootOf detected. Substitutions are %1</v>
      </c>
      <c r="J60" s="27">
        <f>VLOOKUP($A60,'3'!$A:$J,8,0)</f>
        <v>1050735542</v>
      </c>
      <c r="K60" s="27" t="str">
        <f>VLOOKUP($A60,'4'!$A:$J,8,0)</f>
        <v>ERROR: reducible RootOf detected. Substitutions are %1</v>
      </c>
      <c r="L60" s="27" t="str">
        <f>VLOOKUP($A60,'5'!$A:$J,8,0)</f>
        <v>ERROR: reducible RootOf detected. Substitutions are %1</v>
      </c>
      <c r="M60" s="27">
        <f>VLOOKUP($A60,'6'!$A:$J,8,0)</f>
        <v>1073843136</v>
      </c>
      <c r="N60" s="5" t="str">
        <f t="shared" si="0"/>
        <v>QE</v>
      </c>
      <c r="O60" s="5">
        <f t="shared" si="1"/>
        <v>9</v>
      </c>
      <c r="P60" s="5" t="str">
        <f t="shared" si="2"/>
        <v>QE3, 1</v>
      </c>
      <c r="Q60" s="11" t="str">
        <f t="shared" si="3"/>
        <v/>
      </c>
      <c r="R60" s="11" t="str">
        <f t="shared" si="4"/>
        <v xml:space="preserve">1: Error: Reducible RootOf. 2: Error: Reducible RootOf. 4: Error: Reducible RootOf. 5: Error: Reducible RootOf. </v>
      </c>
      <c r="S60" s="12" t="s">
        <v>47</v>
      </c>
      <c r="T60" s="5"/>
    </row>
    <row r="61" spans="1:20">
      <c r="A61">
        <v>119</v>
      </c>
      <c r="B61" s="27" t="str">
        <f>VLOOKUP($A61,'1'!$A:$D,3,0)</f>
        <v>TIME OUT</v>
      </c>
      <c r="C61" s="27">
        <f>VLOOKUP($A61,'2'!$A:$E,3,0)</f>
        <v>15928427313</v>
      </c>
      <c r="D61" s="27">
        <f>VLOOKUP($A61,'3'!$A:$E,3,0)</f>
        <v>946048072</v>
      </c>
      <c r="E61" s="27" t="str">
        <f>VLOOKUP($A61,'4'!$A:$E,3,0)</f>
        <v>TIME OUT</v>
      </c>
      <c r="F61" s="27">
        <f>VLOOKUP($A61,'5'!$A:$E,3,0)</f>
        <v>17447726936</v>
      </c>
      <c r="G61" s="28">
        <f>VLOOKUP($A61,'6'!$A:$E,3,0)</f>
        <v>1150679932</v>
      </c>
      <c r="H61" s="27" t="str">
        <f>VLOOKUP($A61,'1'!$A:$J,8,0)</f>
        <v>ERROR: reducible RootOf detected. Substitutions are %1</v>
      </c>
      <c r="I61" s="27" t="str">
        <f>VLOOKUP($A61,'2'!$A:$J,8,0)</f>
        <v>ERROR: reducible RootOf detected. Substitutions are %1</v>
      </c>
      <c r="J61" s="27">
        <f>VLOOKUP($A61,'3'!$A:$J,8,0)</f>
        <v>799007939</v>
      </c>
      <c r="K61" s="27" t="str">
        <f>VLOOKUP($A61,'4'!$A:$J,8,0)</f>
        <v>ERROR: reducible RootOf detected. Substitutions are %1</v>
      </c>
      <c r="L61" s="27" t="str">
        <f>VLOOKUP($A61,'5'!$A:$J,8,0)</f>
        <v>ERROR: reducible RootOf detected. Substitutions are %1</v>
      </c>
      <c r="M61" s="27">
        <f>VLOOKUP($A61,'6'!$A:$J,8,0)</f>
        <v>801644071</v>
      </c>
      <c r="N61" s="5" t="str">
        <f t="shared" si="0"/>
        <v>QE</v>
      </c>
      <c r="O61" s="5">
        <f t="shared" si="1"/>
        <v>9</v>
      </c>
      <c r="P61" s="5" t="str">
        <f t="shared" si="2"/>
        <v>QE3, 1</v>
      </c>
      <c r="Q61" s="11" t="str">
        <f t="shared" si="3"/>
        <v/>
      </c>
      <c r="R61" s="11" t="str">
        <f t="shared" si="4"/>
        <v xml:space="preserve">1: Error: Reducible RootOf. 2: Error: Reducible RootOf. 4: Error: Reducible RootOf. 5: Error: Reducible RootOf. </v>
      </c>
      <c r="S61" s="12" t="s">
        <v>47</v>
      </c>
      <c r="T61" s="5"/>
    </row>
    <row r="62" spans="1:20">
      <c r="A62">
        <v>121</v>
      </c>
      <c r="B62" s="27" t="str">
        <f>VLOOKUP($A62,'1'!$A:$D,3,0)</f>
        <v>TIME OUT</v>
      </c>
      <c r="C62" s="27" t="str">
        <f>VLOOKUP($A62,'2'!$A:$E,3,0)</f>
        <v>TIME OUT</v>
      </c>
      <c r="D62" s="27">
        <f>VLOOKUP($A62,'3'!$A:$E,3,0)</f>
        <v>1235397382</v>
      </c>
      <c r="E62" s="27" t="str">
        <f>VLOOKUP($A62,'4'!$A:$E,3,0)</f>
        <v>TIME OUT</v>
      </c>
      <c r="F62" s="27" t="str">
        <f>VLOOKUP($A62,'5'!$A:$E,3,0)</f>
        <v>TIME OUT</v>
      </c>
      <c r="G62" s="28">
        <f>VLOOKUP($A62,'6'!$A:$E,3,0)</f>
        <v>1506084572</v>
      </c>
      <c r="H62" s="27" t="str">
        <f>VLOOKUP($A62,'1'!$A:$J,8,0)</f>
        <v>ERROR: reducible RootOf detected. Substitutions are %1</v>
      </c>
      <c r="I62" s="27" t="str">
        <f>VLOOKUP($A62,'2'!$A:$J,8,0)</f>
        <v>ERROR: reducible RootOf detected. Substitutions are %1</v>
      </c>
      <c r="J62" s="27">
        <f>VLOOKUP($A62,'3'!$A:$J,8,0)</f>
        <v>1058979098</v>
      </c>
      <c r="K62" s="27" t="str">
        <f>VLOOKUP($A62,'4'!$A:$J,8,0)</f>
        <v>ERROR: reducible RootOf detected. Substitutions are %1</v>
      </c>
      <c r="L62" s="27" t="str">
        <f>VLOOKUP($A62,'5'!$A:$J,8,0)</f>
        <v>ERROR: reducible RootOf detected. Substitutions are %1</v>
      </c>
      <c r="M62" s="27">
        <f>VLOOKUP($A62,'6'!$A:$J,8,0)</f>
        <v>1060311646</v>
      </c>
      <c r="N62" s="5" t="str">
        <f t="shared" si="0"/>
        <v>QE</v>
      </c>
      <c r="O62" s="5">
        <f t="shared" si="1"/>
        <v>9</v>
      </c>
      <c r="P62" s="5" t="str">
        <f t="shared" si="2"/>
        <v>QE3, 1</v>
      </c>
      <c r="Q62" s="11" t="str">
        <f t="shared" si="3"/>
        <v/>
      </c>
      <c r="R62" s="11" t="str">
        <f t="shared" si="4"/>
        <v xml:space="preserve">1: Error: Reducible RootOf. 2: Error: Reducible RootOf. 4: Error: Reducible RootOf. 5: Error: Reducible RootOf. </v>
      </c>
      <c r="S62" s="12" t="s">
        <v>47</v>
      </c>
      <c r="T62" s="5"/>
    </row>
    <row r="63" spans="1:20">
      <c r="A63">
        <v>123</v>
      </c>
      <c r="B63" s="27" t="str">
        <f>VLOOKUP($A63,'1'!$A:$D,3,0)</f>
        <v>TIME OUT</v>
      </c>
      <c r="C63" s="27" t="str">
        <f>VLOOKUP($A63,'2'!$A:$E,3,0)</f>
        <v>TIME OUT</v>
      </c>
      <c r="D63" s="27">
        <f>VLOOKUP($A63,'3'!$A:$E,3,0)</f>
        <v>1235708564</v>
      </c>
      <c r="E63" s="27" t="str">
        <f>VLOOKUP($A63,'4'!$A:$E,3,0)</f>
        <v>TIME OUT</v>
      </c>
      <c r="F63" s="27" t="str">
        <f>VLOOKUP($A63,'5'!$A:$E,3,0)</f>
        <v>TIME OUT</v>
      </c>
      <c r="G63" s="28">
        <f>VLOOKUP($A63,'6'!$A:$E,3,0)</f>
        <v>1481693100</v>
      </c>
      <c r="H63" s="27" t="str">
        <f>VLOOKUP($A63,'1'!$A:$J,8,0)</f>
        <v>ERROR: reducible RootOf detected. Substitutions are %1</v>
      </c>
      <c r="I63" s="27" t="str">
        <f>VLOOKUP($A63,'2'!$A:$J,8,0)</f>
        <v>ERROR: reducible RootOf detected. Substitutions are %1</v>
      </c>
      <c r="J63" s="27">
        <f>VLOOKUP($A63,'3'!$A:$J,8,0)</f>
        <v>1068366201</v>
      </c>
      <c r="K63" s="27" t="str">
        <f>VLOOKUP($A63,'4'!$A:$J,8,0)</f>
        <v>ERROR: reducible RootOf detected. Substitutions are %1</v>
      </c>
      <c r="L63" s="27" t="str">
        <f>VLOOKUP($A63,'5'!$A:$J,8,0)</f>
        <v>ERROR: reducible RootOf detected. Substitutions are %1</v>
      </c>
      <c r="M63" s="27">
        <f>VLOOKUP($A63,'6'!$A:$J,8,0)</f>
        <v>1071133203</v>
      </c>
      <c r="N63" s="5" t="str">
        <f t="shared" si="0"/>
        <v>QE</v>
      </c>
      <c r="O63" s="5">
        <f t="shared" si="1"/>
        <v>9</v>
      </c>
      <c r="P63" s="5" t="str">
        <f t="shared" si="2"/>
        <v>QE3, 1</v>
      </c>
      <c r="Q63" s="11" t="str">
        <f t="shared" si="3"/>
        <v/>
      </c>
      <c r="R63" s="11" t="str">
        <f t="shared" si="4"/>
        <v xml:space="preserve">1: Error: Reducible RootOf. 2: Error: Reducible RootOf. 4: Error: Reducible RootOf. 5: Error: Reducible RootOf. </v>
      </c>
      <c r="S63" s="12" t="s">
        <v>47</v>
      </c>
      <c r="T63" s="5"/>
    </row>
    <row r="64" spans="1:20">
      <c r="A64">
        <v>125</v>
      </c>
      <c r="B64" s="27" t="str">
        <f>VLOOKUP($A64,'1'!$A:$D,3,0)</f>
        <v>TIME OUT</v>
      </c>
      <c r="C64" s="27" t="str">
        <f>VLOOKUP($A64,'2'!$A:$E,3,0)</f>
        <v>TIME OUT</v>
      </c>
      <c r="D64" s="27">
        <f>VLOOKUP($A64,'3'!$A:$E,3,0)</f>
        <v>1235790296</v>
      </c>
      <c r="E64" s="27" t="str">
        <f>VLOOKUP($A64,'4'!$A:$E,3,0)</f>
        <v>TIME OUT</v>
      </c>
      <c r="F64" s="27" t="str">
        <f>VLOOKUP($A64,'5'!$A:$E,3,0)</f>
        <v>TIME OUT</v>
      </c>
      <c r="G64" s="28">
        <f>VLOOKUP($A64,'6'!$A:$E,3,0)</f>
        <v>1503675869</v>
      </c>
      <c r="H64" s="27" t="str">
        <f>VLOOKUP($A64,'1'!$A:$J,8,0)</f>
        <v>ERROR: reducible RootOf detected. Substitutions are %1</v>
      </c>
      <c r="I64" s="27" t="str">
        <f>VLOOKUP($A64,'2'!$A:$J,8,0)</f>
        <v>ERROR: reducible RootOf detected. Substitutions are %1</v>
      </c>
      <c r="J64" s="27">
        <f>VLOOKUP($A64,'3'!$A:$J,8,0)</f>
        <v>1065041067</v>
      </c>
      <c r="K64" s="27" t="str">
        <f>VLOOKUP($A64,'4'!$A:$J,8,0)</f>
        <v>ERROR: reducible RootOf detected. Substitutions are %1</v>
      </c>
      <c r="L64" s="27" t="str">
        <f>VLOOKUP($A64,'5'!$A:$J,8,0)</f>
        <v>ERROR: reducible RootOf detected. Substitutions are %1</v>
      </c>
      <c r="M64" s="27">
        <f>VLOOKUP($A64,'6'!$A:$J,8,0)</f>
        <v>1060101248</v>
      </c>
      <c r="N64" s="5" t="str">
        <f t="shared" si="0"/>
        <v>QE</v>
      </c>
      <c r="O64" s="5">
        <f t="shared" si="1"/>
        <v>12</v>
      </c>
      <c r="P64" s="5" t="str">
        <f t="shared" si="2"/>
        <v>QE6, 1</v>
      </c>
      <c r="Q64" s="11" t="str">
        <f t="shared" si="3"/>
        <v/>
      </c>
      <c r="R64" s="11" t="str">
        <f t="shared" si="4"/>
        <v xml:space="preserve">1: Error: Reducible RootOf. 2: Error: Reducible RootOf. 4: Error: Reducible RootOf. 5: Error: Reducible RootOf. </v>
      </c>
      <c r="S64" s="12" t="s">
        <v>47</v>
      </c>
      <c r="T64" s="5"/>
    </row>
    <row r="65" spans="1:20">
      <c r="A65">
        <v>126</v>
      </c>
      <c r="B65" s="27" t="str">
        <f>VLOOKUP($A65,'1'!$A:$D,3,0)</f>
        <v>TIME OUT</v>
      </c>
      <c r="C65" s="27" t="str">
        <f>VLOOKUP($A65,'2'!$A:$E,3,0)</f>
        <v>TIME OUT</v>
      </c>
      <c r="D65" s="27">
        <f>VLOOKUP($A65,'3'!$A:$E,3,0)</f>
        <v>1235601694</v>
      </c>
      <c r="E65" s="27" t="str">
        <f>VLOOKUP($A65,'4'!$A:$E,3,0)</f>
        <v>TIME OUT</v>
      </c>
      <c r="F65" s="27" t="str">
        <f>VLOOKUP($A65,'5'!$A:$E,3,0)</f>
        <v>TIME OUT</v>
      </c>
      <c r="G65" s="28">
        <f>VLOOKUP($A65,'6'!$A:$E,3,0)</f>
        <v>1503744705</v>
      </c>
      <c r="H65" s="27" t="str">
        <f>VLOOKUP($A65,'1'!$A:$J,8,0)</f>
        <v>ERROR: reducible RootOf detected. Substitutions are %1</v>
      </c>
      <c r="I65" s="27" t="str">
        <f>VLOOKUP($A65,'2'!$A:$J,8,0)</f>
        <v>ERROR: reducible RootOf detected. Substitutions are %1</v>
      </c>
      <c r="J65" s="27">
        <f>VLOOKUP($A65,'3'!$A:$J,8,0)</f>
        <v>1054792203</v>
      </c>
      <c r="K65" s="27" t="str">
        <f>VLOOKUP($A65,'4'!$A:$J,8,0)</f>
        <v>ERROR: reducible RootOf detected. Substitutions are %1</v>
      </c>
      <c r="L65" s="27" t="str">
        <f>VLOOKUP($A65,'5'!$A:$J,8,0)</f>
        <v>ERROR: reducible RootOf detected. Substitutions are %1</v>
      </c>
      <c r="M65" s="27">
        <f>VLOOKUP($A65,'6'!$A:$J,8,0)</f>
        <v>1062506173</v>
      </c>
      <c r="N65" s="5" t="str">
        <f t="shared" si="0"/>
        <v>QE</v>
      </c>
      <c r="O65" s="5">
        <f t="shared" si="1"/>
        <v>9</v>
      </c>
      <c r="P65" s="5" t="str">
        <f t="shared" si="2"/>
        <v>QE3, 1</v>
      </c>
      <c r="Q65" s="11" t="str">
        <f t="shared" si="3"/>
        <v/>
      </c>
      <c r="R65" s="11" t="str">
        <f t="shared" si="4"/>
        <v xml:space="preserve">1: Error: Reducible RootOf. 2: Error: Reducible RootOf. 4: Error: Reducible RootOf. 5: Error: Reducible RootOf. </v>
      </c>
      <c r="S65" s="12" t="s">
        <v>47</v>
      </c>
      <c r="T65" s="5"/>
    </row>
    <row r="66" spans="1:20">
      <c r="A66">
        <v>128</v>
      </c>
      <c r="B66" s="27" t="str">
        <f>VLOOKUP($A66,'1'!$A:$D,3,0)</f>
        <v>TIME OUT</v>
      </c>
      <c r="C66" s="27">
        <f>VLOOKUP($A66,'2'!$A:$E,3,0)</f>
        <v>10514737643</v>
      </c>
      <c r="D66" s="27">
        <f>VLOOKUP($A66,'3'!$A:$E,3,0)</f>
        <v>2024651520</v>
      </c>
      <c r="E66" s="27" t="str">
        <f>VLOOKUP($A66,'4'!$A:$E,3,0)</f>
        <v>TIME OUT</v>
      </c>
      <c r="F66" s="27">
        <f>VLOOKUP($A66,'5'!$A:$E,3,0)</f>
        <v>11932030212</v>
      </c>
      <c r="G66" s="28">
        <f>VLOOKUP($A66,'6'!$A:$E,3,0)</f>
        <v>2480021450</v>
      </c>
      <c r="H66" s="27" t="str">
        <f>VLOOKUP($A66,'1'!$A:$J,8,0)</f>
        <v>ERROR: attempt to refine root to target precision %1 failed with last working precision %2</v>
      </c>
      <c r="I66" s="27">
        <f>VLOOKUP($A66,'2'!$A:$J,8,0)</f>
        <v>11090095376</v>
      </c>
      <c r="J66" s="27">
        <f>VLOOKUP($A66,'3'!$A:$J,8,0)</f>
        <v>2184101393</v>
      </c>
      <c r="K66" s="27" t="str">
        <f>VLOOKUP($A66,'4'!$A:$J,8,0)</f>
        <v>ERROR: attempt to refine root to target precision %1 failed with last working precision %2</v>
      </c>
      <c r="L66" s="27">
        <f>VLOOKUP($A66,'5'!$A:$J,8,0)</f>
        <v>11073697273</v>
      </c>
      <c r="M66" s="27">
        <f>VLOOKUP($A66,'6'!$A:$J,8,0)</f>
        <v>2214092213</v>
      </c>
      <c r="N66" s="5" t="str">
        <f t="shared" si="0"/>
        <v>RC</v>
      </c>
      <c r="O66" s="5">
        <f t="shared" si="1"/>
        <v>3</v>
      </c>
      <c r="P66" s="5" t="str">
        <f t="shared" si="2"/>
        <v>RC3, 1</v>
      </c>
      <c r="Q66" s="11" t="str">
        <f t="shared" si="3"/>
        <v/>
      </c>
      <c r="R66" s="11" t="str">
        <f t="shared" si="4"/>
        <v xml:space="preserve">1: Error: Root refine. 4: Error: Root refine. </v>
      </c>
      <c r="S66" s="12" t="s">
        <v>47</v>
      </c>
      <c r="T66" s="5"/>
    </row>
    <row r="67" spans="1:20">
      <c r="A67">
        <v>129</v>
      </c>
      <c r="B67" s="27" t="str">
        <f>VLOOKUP($A67,'1'!$A:$D,3,0)</f>
        <v>TIME OUT</v>
      </c>
      <c r="C67" s="27">
        <f>VLOOKUP($A67,'2'!$A:$E,3,0)</f>
        <v>3868008688</v>
      </c>
      <c r="D67" s="27">
        <f>VLOOKUP($A67,'3'!$A:$E,3,0)</f>
        <v>1059440809</v>
      </c>
      <c r="E67" s="27" t="str">
        <f>VLOOKUP($A67,'4'!$A:$E,3,0)</f>
        <v>TIME OUT</v>
      </c>
      <c r="F67" s="27">
        <f>VLOOKUP($A67,'5'!$A:$E,3,0)</f>
        <v>4434728885</v>
      </c>
      <c r="G67" s="28">
        <f>VLOOKUP($A67,'6'!$A:$E,3,0)</f>
        <v>1294391583</v>
      </c>
      <c r="H67" s="27" t="str">
        <f>VLOOKUP($A67,'1'!$A:$J,8,0)</f>
        <v>ERROR: attempt to refine root to target precision %1 failed with last working precision %2</v>
      </c>
      <c r="I67" s="27">
        <f>VLOOKUP($A67,'2'!$A:$J,8,0)</f>
        <v>3541556996</v>
      </c>
      <c r="J67" s="27">
        <f>VLOOKUP($A67,'3'!$A:$J,8,0)</f>
        <v>940249393</v>
      </c>
      <c r="K67" s="27" t="str">
        <f>VLOOKUP($A67,'4'!$A:$J,8,0)</f>
        <v>ERROR: attempt to refine root to target precision %1 failed with last working precision %2</v>
      </c>
      <c r="L67" s="27">
        <f>VLOOKUP($A67,'5'!$A:$J,8,0)</f>
        <v>3560301850</v>
      </c>
      <c r="M67" s="27">
        <f>VLOOKUP($A67,'6'!$A:$J,8,0)</f>
        <v>932866034</v>
      </c>
      <c r="N67" s="5" t="str">
        <f t="shared" si="0"/>
        <v>QE</v>
      </c>
      <c r="O67" s="5">
        <f t="shared" si="1"/>
        <v>12</v>
      </c>
      <c r="P67" s="5" t="str">
        <f t="shared" si="2"/>
        <v>QE6, 1</v>
      </c>
      <c r="Q67" s="11" t="str">
        <f t="shared" si="3"/>
        <v/>
      </c>
      <c r="R67" s="11" t="str">
        <f t="shared" si="4"/>
        <v xml:space="preserve">1: Error: Root refine. 4: Error: Root refine. </v>
      </c>
      <c r="S67" s="12" t="s">
        <v>47</v>
      </c>
      <c r="T67" s="5"/>
    </row>
    <row r="68" spans="1:20">
      <c r="A68">
        <v>131</v>
      </c>
      <c r="B68" s="27" t="str">
        <f>VLOOKUP($A68,'1'!$A:$D,3,0)</f>
        <v>TIME OUT</v>
      </c>
      <c r="C68" s="27">
        <f>VLOOKUP($A68,'2'!$A:$E,3,0)</f>
        <v>10521251546</v>
      </c>
      <c r="D68" s="27">
        <f>VLOOKUP($A68,'3'!$A:$E,3,0)</f>
        <v>2022714863</v>
      </c>
      <c r="E68" s="27" t="str">
        <f>VLOOKUP($A68,'4'!$A:$E,3,0)</f>
        <v>TIME OUT</v>
      </c>
      <c r="F68" s="27">
        <f>VLOOKUP($A68,'5'!$A:$E,3,0)</f>
        <v>11940023970</v>
      </c>
      <c r="G68" s="28">
        <f>VLOOKUP($A68,'6'!$A:$E,3,0)</f>
        <v>2479000587</v>
      </c>
      <c r="H68" s="27" t="str">
        <f>VLOOKUP($A68,'1'!$A:$J,8,0)</f>
        <v>ERROR: attempt to refine root to target precision %1 failed with last working precision %2</v>
      </c>
      <c r="I68" s="27">
        <f>VLOOKUP($A68,'2'!$A:$J,8,0)</f>
        <v>11075530076</v>
      </c>
      <c r="J68" s="27">
        <f>VLOOKUP($A68,'3'!$A:$J,8,0)</f>
        <v>2203798080</v>
      </c>
      <c r="K68" s="27" t="str">
        <f>VLOOKUP($A68,'4'!$A:$J,8,0)</f>
        <v>ERROR: attempt to refine root to target precision %1 failed with last working precision %2</v>
      </c>
      <c r="L68" s="27">
        <f>VLOOKUP($A68,'5'!$A:$J,8,0)</f>
        <v>11033382004</v>
      </c>
      <c r="M68" s="27">
        <f>VLOOKUP($A68,'6'!$A:$J,8,0)</f>
        <v>2242623008</v>
      </c>
      <c r="N68" s="5" t="str">
        <f>IF(MATCH(MIN($B68:$M68),$B68:$M68,0)&gt;6,"QE","RC")</f>
        <v>RC</v>
      </c>
      <c r="O68" s="5">
        <f>MATCH(MIN($B68:$M68),$B68:$M68,0)</f>
        <v>3</v>
      </c>
      <c r="P68" s="5" t="str">
        <f t="shared" ref="P68:P69" si="10">INDEX($B$2:$M$2,MATCH(MIN(B68:M68),B68:M68,0))&amp;", "&amp;COUNTIF(B68:M68,MIN(B68:M68))</f>
        <v>RC3, 1</v>
      </c>
      <c r="Q68" s="11" t="str">
        <f>IF(LEFT(B68,5)="ERROR","1: "&amp;VLOOKUP(B68,$T$31:$U$34,2,0)&amp;". ","")&amp;IF(LEFT(C68,5)="ERROR","2: "&amp;VLOOKUP(C68,$T$31:$U$34,2,0)&amp;". ","")&amp;IF(LEFT(D68,5)="ERROR","3: "&amp;VLOOKUP(D68,$T$31:$U$34,2,0)&amp;". ","")&amp;IF(LEFT(E68,5)="ERROR","4: "&amp;VLOOKUP(E68,$T$31:$U$34,2,0)&amp;". ","")&amp;IF(LEFT(F68,5)="ERROR","5: "&amp;VLOOKUP(F68,$T$31:$U$34,2,0)&amp;". ","")&amp;IF(LEFT(G68,5)="ERROR","6: "&amp;G68,"")</f>
        <v/>
      </c>
      <c r="R68" s="11" t="str">
        <f>IF(LEFT(H68,5)="ERROR","1: "&amp;VLOOKUP(H68,$T$31:$U$34,2,0)&amp;". ","")&amp;IF(LEFT(I68,5)="ERROR","2: "&amp;VLOOKUP(I68,$T$31:$U$34,2,0)&amp;". ","")&amp;IF(LEFT(J68,5)="ERROR","3: "&amp;VLOOKUP(J68,$T$31:$U$34,2,0)&amp;". ","")&amp;IF(LEFT(K68,5)="ERROR","4: "&amp;VLOOKUP(K68,$T$31:$U$34,2,0)&amp;". ","")&amp;IF(LEFT(L68,5)="ERROR","5: "&amp;VLOOKUP(L68,$T$31:$U$34,2,0)&amp;". ","")&amp;IF(LEFT(M68,5)="ERROR","6: "&amp;M68,"")</f>
        <v xml:space="preserve">1: Error: Root refine. 4: Error: Root refine. </v>
      </c>
      <c r="S68" s="12" t="s">
        <v>47</v>
      </c>
      <c r="T68" s="5"/>
    </row>
    <row r="69" spans="1:20">
      <c r="A69">
        <v>132</v>
      </c>
      <c r="B69" s="27" t="str">
        <f>VLOOKUP($A69,'1'!$A:$D,3,0)</f>
        <v>TIME OUT</v>
      </c>
      <c r="C69" s="27">
        <f>VLOOKUP($A69,'2'!$A:$E,3,0)</f>
        <v>3869397816</v>
      </c>
      <c r="D69" s="27">
        <f>VLOOKUP($A69,'3'!$A:$E,3,0)</f>
        <v>1058587152</v>
      </c>
      <c r="E69" s="27" t="str">
        <f>VLOOKUP($A69,'4'!$A:$E,3,0)</f>
        <v>TIME OUT</v>
      </c>
      <c r="F69" s="27">
        <f>VLOOKUP($A69,'5'!$A:$E,3,0)</f>
        <v>4429173089</v>
      </c>
      <c r="G69" s="28">
        <f>VLOOKUP($A69,'6'!$A:$E,3,0)</f>
        <v>1288798984</v>
      </c>
      <c r="H69" s="27" t="str">
        <f>VLOOKUP($A69,'1'!$A:$J,8,0)</f>
        <v>ERROR: attempt to refine root to target precision %1 failed with last working precision %2</v>
      </c>
      <c r="I69" s="27">
        <f>VLOOKUP($A69,'2'!$A:$J,8,0)</f>
        <v>3484084736</v>
      </c>
      <c r="J69" s="27">
        <f>VLOOKUP($A69,'3'!$A:$J,8,0)</f>
        <v>936699749</v>
      </c>
      <c r="K69" s="27" t="str">
        <f>VLOOKUP($A69,'4'!$A:$J,8,0)</f>
        <v>ERROR: attempt to refine root to target precision %1 failed with last working precision %2</v>
      </c>
      <c r="L69" s="27">
        <f>VLOOKUP($A69,'5'!$A:$J,8,0)</f>
        <v>3510761315</v>
      </c>
      <c r="M69" s="27">
        <f>VLOOKUP($A69,'6'!$A:$J,8,0)</f>
        <v>929155138</v>
      </c>
      <c r="N69" s="5" t="str">
        <f>IF(MATCH(MIN($B69:$M69),$B69:$M69,0)&gt;6,"QE","RC")</f>
        <v>QE</v>
      </c>
      <c r="O69" s="5">
        <f>MATCH(MIN($B69:$M69),$B69:$M69,0)</f>
        <v>12</v>
      </c>
      <c r="P69" s="5" t="str">
        <f t="shared" si="10"/>
        <v>QE6, 1</v>
      </c>
      <c r="Q69" s="11" t="str">
        <f>IF(LEFT(B69,5)="ERROR","1: "&amp;VLOOKUP(B69,$T$31:$U$34,2,0)&amp;". ","")&amp;IF(LEFT(C69,5)="ERROR","2: "&amp;VLOOKUP(C69,$T$31:$U$34,2,0)&amp;". ","")&amp;IF(LEFT(D69,5)="ERROR","3: "&amp;VLOOKUP(D69,$T$31:$U$34,2,0)&amp;". ","")&amp;IF(LEFT(E69,5)="ERROR","4: "&amp;VLOOKUP(E69,$T$31:$U$34,2,0)&amp;". ","")&amp;IF(LEFT(F69,5)="ERROR","5: "&amp;VLOOKUP(F69,$T$31:$U$34,2,0)&amp;". ","")&amp;IF(LEFT(G69,5)="ERROR","6: "&amp;G69,"")</f>
        <v/>
      </c>
      <c r="R69" s="11" t="str">
        <f>IF(LEFT(H69,5)="ERROR","1: "&amp;VLOOKUP(H69,$T$31:$U$34,2,0)&amp;". ","")&amp;IF(LEFT(I69,5)="ERROR","2: "&amp;VLOOKUP(I69,$T$31:$U$34,2,0)&amp;". ","")&amp;IF(LEFT(J69,5)="ERROR","3: "&amp;VLOOKUP(J69,$T$31:$U$34,2,0)&amp;". ","")&amp;IF(LEFT(K69,5)="ERROR","4: "&amp;VLOOKUP(K69,$T$31:$U$34,2,0)&amp;". ","")&amp;IF(LEFT(L69,5)="ERROR","5: "&amp;VLOOKUP(L69,$T$31:$U$34,2,0)&amp;". ","")&amp;IF(LEFT(M69,5)="ERROR","6: "&amp;M69,"")</f>
        <v xml:space="preserve">1: Error: Root refine. 4: Error: Root refine. </v>
      </c>
      <c r="S69" s="12" t="s">
        <v>47</v>
      </c>
      <c r="T69" s="5"/>
    </row>
    <row r="70" spans="1:20">
      <c r="T70" s="5"/>
    </row>
  </sheetData>
  <autoFilter ref="A1:AF69" xr:uid="{46F900E8-1872-4480-9B88-8B36733592F2}"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5">
    <mergeCell ref="U18:Z18"/>
    <mergeCell ref="AA18:AF18"/>
    <mergeCell ref="U10:AF10"/>
    <mergeCell ref="U11:Z11"/>
    <mergeCell ref="AA11:AF11"/>
    <mergeCell ref="U16:Z16"/>
    <mergeCell ref="AA16:AF16"/>
    <mergeCell ref="U17:Z17"/>
    <mergeCell ref="AA17:AF17"/>
    <mergeCell ref="B1:G1"/>
    <mergeCell ref="H1:M1"/>
    <mergeCell ref="U3:V3"/>
    <mergeCell ref="U6:AF6"/>
    <mergeCell ref="U7:Z7"/>
    <mergeCell ref="AA7:AF7"/>
  </mergeCells>
  <conditionalFormatting sqref="B3:G69">
    <cfRule type="cellIs" dxfId="6" priority="19" operator="equal">
      <formula>MIN($B3:$G3)</formula>
    </cfRule>
    <cfRule type="cellIs" dxfId="5" priority="20" operator="equal">
      <formula>MAX($B3:$G3)</formula>
    </cfRule>
  </conditionalFormatting>
  <conditionalFormatting sqref="B3:M69">
    <cfRule type="containsText" dxfId="4" priority="4" operator="containsText" text="ERROR">
      <formula>NOT(ISERROR(SEARCH("ERROR",B3)))</formula>
    </cfRule>
    <cfRule type="containsText" dxfId="3" priority="23" operator="containsText" text="TIME OUT">
      <formula>NOT(ISERROR(SEARCH("TIME OUT",B3)))</formula>
    </cfRule>
  </conditionalFormatting>
  <conditionalFormatting sqref="H3:M69">
    <cfRule type="cellIs" dxfId="2" priority="21" operator="equal">
      <formula>MIN($H3:$M3)</formula>
    </cfRule>
    <cfRule type="cellIs" dxfId="1" priority="22" operator="equal">
      <formula>MAX($H3:$M3)</formula>
    </cfRule>
  </conditionalFormatting>
  <conditionalFormatting sqref="U12:AF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AF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:AF16">
    <cfRule type="colorScale" priority="3">
      <colorScale>
        <cfvo type="num" val="0"/>
        <cfvo type="percentile" val="50"/>
        <cfvo type="num" val="1"/>
        <color rgb="FFFF0000"/>
        <color rgb="FFFFEB84"/>
        <color rgb="FF00B050"/>
      </colorScale>
    </cfRule>
  </conditionalFormatting>
  <conditionalFormatting sqref="U17:AF17">
    <cfRule type="colorScale" priority="2">
      <colorScale>
        <cfvo type="num" val="0"/>
        <cfvo type="percentile" val="50"/>
        <cfvo type="num" val="1"/>
        <color rgb="FF92D050"/>
        <color rgb="FFFFEB84"/>
        <color rgb="FFFF0000"/>
      </colorScale>
    </cfRule>
  </conditionalFormatting>
  <conditionalFormatting sqref="U18:AF18">
    <cfRule type="colorScale" priority="1">
      <colorScale>
        <cfvo type="num" val="0"/>
        <cfvo type="percentile" val="50"/>
        <cfvo type="num" val="1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FBE8-4A11-41D7-AECA-E2F578E2DEDC}">
  <dimension ref="A1:Y71"/>
  <sheetViews>
    <sheetView topLeftCell="A43" zoomScale="85" zoomScaleNormal="85" workbookViewId="0">
      <selection activeCell="B49" sqref="B49"/>
    </sheetView>
  </sheetViews>
  <sheetFormatPr defaultRowHeight="15"/>
  <cols>
    <col min="1" max="1" width="11.28515625" bestFit="1" customWidth="1"/>
    <col min="2" max="2" width="19" bestFit="1" customWidth="1"/>
    <col min="3" max="3" width="11.28515625" bestFit="1" customWidth="1"/>
    <col min="4" max="4" width="19" bestFit="1" customWidth="1"/>
    <col min="5" max="5" width="11.28515625" bestFit="1" customWidth="1"/>
    <col min="6" max="6" width="10.85546875" bestFit="1" customWidth="1"/>
    <col min="7" max="7" width="11.28515625" bestFit="1" customWidth="1"/>
    <col min="8" max="8" width="19" bestFit="1" customWidth="1"/>
    <col min="9" max="9" width="11.28515625" bestFit="1" customWidth="1"/>
    <col min="10" max="10" width="19" bestFit="1" customWidth="1"/>
    <col min="11" max="11" width="11.28515625" bestFit="1" customWidth="1"/>
    <col min="12" max="12" width="10.85546875" bestFit="1" customWidth="1"/>
    <col min="14" max="14" width="11.28515625" bestFit="1" customWidth="1"/>
    <col min="15" max="15" width="19" bestFit="1" customWidth="1"/>
    <col min="16" max="16" width="11.28515625" bestFit="1" customWidth="1"/>
    <col min="17" max="17" width="19" bestFit="1" customWidth="1"/>
    <col min="18" max="18" width="11.28515625" bestFit="1" customWidth="1"/>
    <col min="19" max="19" width="19" bestFit="1" customWidth="1"/>
    <col min="20" max="20" width="11.28515625" bestFit="1" customWidth="1"/>
    <col min="21" max="21" width="19" bestFit="1" customWidth="1"/>
    <col min="22" max="22" width="11.28515625" bestFit="1" customWidth="1"/>
    <col min="23" max="23" width="19" bestFit="1" customWidth="1"/>
    <col min="24" max="24" width="11.28515625" bestFit="1" customWidth="1"/>
    <col min="25" max="25" width="11" bestFit="1" customWidth="1"/>
  </cols>
  <sheetData>
    <row r="1" spans="1:25">
      <c r="A1" s="21" t="s">
        <v>68</v>
      </c>
      <c r="B1" t="s">
        <v>110</v>
      </c>
      <c r="C1" s="21" t="s">
        <v>69</v>
      </c>
      <c r="D1" t="s">
        <v>110</v>
      </c>
      <c r="E1" s="21" t="s">
        <v>70</v>
      </c>
      <c r="F1" t="s">
        <v>109</v>
      </c>
      <c r="G1" s="21" t="s">
        <v>71</v>
      </c>
      <c r="H1" t="s">
        <v>110</v>
      </c>
      <c r="I1" s="21" t="s">
        <v>72</v>
      </c>
      <c r="J1" t="s">
        <v>110</v>
      </c>
      <c r="K1" s="21" t="s">
        <v>73</v>
      </c>
      <c r="L1" t="s">
        <v>109</v>
      </c>
      <c r="N1" s="21" t="s">
        <v>74</v>
      </c>
      <c r="O1" t="s">
        <v>110</v>
      </c>
      <c r="P1" s="21" t="s">
        <v>75</v>
      </c>
      <c r="Q1" t="s">
        <v>110</v>
      </c>
      <c r="R1" s="21" t="s">
        <v>76</v>
      </c>
      <c r="S1" t="s">
        <v>110</v>
      </c>
      <c r="T1" s="21" t="s">
        <v>77</v>
      </c>
      <c r="U1" t="s">
        <v>110</v>
      </c>
      <c r="V1" s="21" t="s">
        <v>78</v>
      </c>
      <c r="W1" t="s">
        <v>110</v>
      </c>
      <c r="X1" s="21" t="s">
        <v>79</v>
      </c>
      <c r="Y1" t="s">
        <v>109</v>
      </c>
    </row>
    <row r="3" spans="1:25">
      <c r="A3" s="21" t="s">
        <v>35</v>
      </c>
      <c r="B3" t="s">
        <v>81</v>
      </c>
      <c r="C3" s="21" t="s">
        <v>35</v>
      </c>
      <c r="D3" t="s">
        <v>82</v>
      </c>
      <c r="E3" s="21" t="s">
        <v>35</v>
      </c>
      <c r="F3" t="s">
        <v>83</v>
      </c>
      <c r="G3" s="21" t="s">
        <v>35</v>
      </c>
      <c r="H3" t="s">
        <v>84</v>
      </c>
      <c r="I3" s="21" t="s">
        <v>35</v>
      </c>
      <c r="J3" t="s">
        <v>85</v>
      </c>
      <c r="K3" s="21" t="s">
        <v>35</v>
      </c>
      <c r="L3" t="s">
        <v>86</v>
      </c>
      <c r="N3" s="21" t="s">
        <v>35</v>
      </c>
      <c r="O3" t="s">
        <v>87</v>
      </c>
      <c r="P3" s="21" t="s">
        <v>35</v>
      </c>
      <c r="Q3" t="s">
        <v>88</v>
      </c>
      <c r="R3" s="21" t="s">
        <v>35</v>
      </c>
      <c r="S3" t="s">
        <v>89</v>
      </c>
      <c r="T3" s="21" t="s">
        <v>35</v>
      </c>
      <c r="U3" t="s">
        <v>90</v>
      </c>
      <c r="V3" s="21" t="s">
        <v>35</v>
      </c>
      <c r="W3" t="s">
        <v>91</v>
      </c>
      <c r="X3" s="21" t="s">
        <v>35</v>
      </c>
      <c r="Y3" t="s">
        <v>92</v>
      </c>
    </row>
    <row r="4" spans="1:25">
      <c r="A4" s="12">
        <v>31</v>
      </c>
      <c r="B4">
        <v>1.61E-2</v>
      </c>
      <c r="C4" s="12">
        <v>76</v>
      </c>
      <c r="D4">
        <v>1.5599999999999999E-2</v>
      </c>
      <c r="E4" s="12">
        <v>31</v>
      </c>
      <c r="F4">
        <v>1.5599999999999999E-2</v>
      </c>
      <c r="G4" s="12">
        <v>31</v>
      </c>
      <c r="H4">
        <v>1.5599999999999999E-2</v>
      </c>
      <c r="I4" s="12">
        <v>26</v>
      </c>
      <c r="J4">
        <v>1.5599999999999999E-2</v>
      </c>
      <c r="K4" s="12">
        <v>31</v>
      </c>
      <c r="L4">
        <v>1.4E-2</v>
      </c>
      <c r="N4" s="12">
        <v>76</v>
      </c>
      <c r="O4">
        <v>4.8500000000000001E-2</v>
      </c>
      <c r="P4" s="12">
        <v>76</v>
      </c>
      <c r="Q4">
        <v>4.8500000000000001E-2</v>
      </c>
      <c r="R4" s="12">
        <v>81</v>
      </c>
      <c r="S4">
        <v>4.8399999999999999E-2</v>
      </c>
      <c r="T4" s="12">
        <v>76</v>
      </c>
      <c r="U4">
        <v>5.4600000000000003E-2</v>
      </c>
      <c r="V4" s="12">
        <v>31</v>
      </c>
      <c r="W4">
        <v>5.6599999999999998E-2</v>
      </c>
      <c r="X4" s="12">
        <v>76</v>
      </c>
      <c r="Y4">
        <v>5.5399999999999998E-2</v>
      </c>
    </row>
    <row r="5" spans="1:25">
      <c r="A5" s="12">
        <v>26</v>
      </c>
      <c r="B5">
        <v>1.66E-2</v>
      </c>
      <c r="C5" s="12">
        <v>26</v>
      </c>
      <c r="D5">
        <v>1.5599999999999999E-2</v>
      </c>
      <c r="E5" s="12">
        <v>26</v>
      </c>
      <c r="F5">
        <v>1.5599999999999999E-2</v>
      </c>
      <c r="G5" s="12">
        <v>81</v>
      </c>
      <c r="H5">
        <v>1.5599999999999999E-2</v>
      </c>
      <c r="I5" s="12">
        <v>81</v>
      </c>
      <c r="J5">
        <v>1.5599999999999999E-2</v>
      </c>
      <c r="K5" s="12">
        <v>81</v>
      </c>
      <c r="L5">
        <v>1.5599999999999999E-2</v>
      </c>
      <c r="N5" s="12">
        <v>26</v>
      </c>
      <c r="O5">
        <v>4.8599999999999997E-2</v>
      </c>
      <c r="P5" s="12">
        <v>81</v>
      </c>
      <c r="Q5">
        <v>0.05</v>
      </c>
      <c r="R5" s="12">
        <v>31</v>
      </c>
      <c r="S5">
        <v>4.9000000000000002E-2</v>
      </c>
      <c r="T5" s="12">
        <v>31</v>
      </c>
      <c r="U5">
        <v>5.5100000000000003E-2</v>
      </c>
      <c r="V5" s="12">
        <v>81</v>
      </c>
      <c r="W5">
        <v>5.7099999999999998E-2</v>
      </c>
      <c r="X5" s="12">
        <v>81</v>
      </c>
      <c r="Y5">
        <v>5.5899999999999998E-2</v>
      </c>
    </row>
    <row r="6" spans="1:25">
      <c r="A6" s="12">
        <v>76</v>
      </c>
      <c r="B6">
        <v>1.72E-2</v>
      </c>
      <c r="C6" s="12">
        <v>81</v>
      </c>
      <c r="D6">
        <v>1.5599999999999999E-2</v>
      </c>
      <c r="E6" s="12">
        <v>81</v>
      </c>
      <c r="F6">
        <v>1.72E-2</v>
      </c>
      <c r="G6" s="12">
        <v>26</v>
      </c>
      <c r="H6">
        <v>1.5599999999999999E-2</v>
      </c>
      <c r="I6" s="12">
        <v>31</v>
      </c>
      <c r="J6">
        <v>1.5599999999999999E-2</v>
      </c>
      <c r="K6" s="12">
        <v>76</v>
      </c>
      <c r="L6">
        <v>1.5599999999999999E-2</v>
      </c>
      <c r="N6" s="12">
        <v>31</v>
      </c>
      <c r="O6">
        <v>4.9099999999999998E-2</v>
      </c>
      <c r="P6" s="12">
        <v>31</v>
      </c>
      <c r="Q6">
        <v>5.0900000000000001E-2</v>
      </c>
      <c r="R6" s="12">
        <v>76</v>
      </c>
      <c r="S6">
        <v>4.9599999999999998E-2</v>
      </c>
      <c r="T6" s="12">
        <v>81</v>
      </c>
      <c r="U6">
        <v>5.57E-2</v>
      </c>
      <c r="V6" s="12">
        <v>26</v>
      </c>
      <c r="W6">
        <v>6.3700000000000007E-2</v>
      </c>
      <c r="X6" s="12">
        <v>26</v>
      </c>
      <c r="Y6">
        <v>5.6500000000000002E-2</v>
      </c>
    </row>
    <row r="7" spans="1:25">
      <c r="A7" s="12">
        <v>81</v>
      </c>
      <c r="B7">
        <v>1.72E-2</v>
      </c>
      <c r="C7" s="12">
        <v>31</v>
      </c>
      <c r="D7">
        <v>1.7100000000000001E-2</v>
      </c>
      <c r="E7" s="12">
        <v>76</v>
      </c>
      <c r="F7">
        <v>1.72E-2</v>
      </c>
      <c r="G7" s="12">
        <v>76</v>
      </c>
      <c r="H7">
        <v>1.5599999999999999E-2</v>
      </c>
      <c r="I7" s="12">
        <v>76</v>
      </c>
      <c r="J7">
        <v>1.8700000000000001E-2</v>
      </c>
      <c r="K7" s="12">
        <v>26</v>
      </c>
      <c r="L7">
        <v>1.72E-2</v>
      </c>
      <c r="N7" s="12">
        <v>81</v>
      </c>
      <c r="O7">
        <v>0.05</v>
      </c>
      <c r="P7" s="12">
        <v>26</v>
      </c>
      <c r="Q7">
        <v>5.1299999999999998E-2</v>
      </c>
      <c r="R7" s="12">
        <v>26</v>
      </c>
      <c r="S7">
        <v>5.04E-2</v>
      </c>
      <c r="T7" s="12">
        <v>26</v>
      </c>
      <c r="U7">
        <v>5.5800000000000002E-2</v>
      </c>
      <c r="V7" s="12">
        <v>76</v>
      </c>
      <c r="W7">
        <v>6.6199999999999995E-2</v>
      </c>
      <c r="X7" s="12">
        <v>31</v>
      </c>
      <c r="Y7">
        <v>5.9200000000000003E-2</v>
      </c>
    </row>
    <row r="8" spans="1:25">
      <c r="A8" s="12">
        <v>67</v>
      </c>
      <c r="B8">
        <v>0.20930000000000001</v>
      </c>
      <c r="C8" s="12">
        <v>67</v>
      </c>
      <c r="D8">
        <v>0.21410000000000001</v>
      </c>
      <c r="E8" s="12">
        <v>69</v>
      </c>
      <c r="F8">
        <v>0.2172</v>
      </c>
      <c r="G8" s="12">
        <v>69</v>
      </c>
      <c r="H8">
        <v>9.8400000000000001E-2</v>
      </c>
      <c r="I8" s="12">
        <v>19</v>
      </c>
      <c r="J8">
        <v>0.16569999999999999</v>
      </c>
      <c r="K8" s="12">
        <v>69</v>
      </c>
      <c r="L8">
        <v>0.15629999999999999</v>
      </c>
      <c r="N8" s="12">
        <v>69</v>
      </c>
      <c r="O8">
        <v>0.1986</v>
      </c>
      <c r="P8" s="12">
        <v>69</v>
      </c>
      <c r="Q8">
        <v>0.12180000000000001</v>
      </c>
      <c r="R8" s="12">
        <v>69</v>
      </c>
      <c r="S8">
        <v>0.1227</v>
      </c>
      <c r="T8" s="12">
        <v>67</v>
      </c>
      <c r="U8">
        <v>0.2</v>
      </c>
      <c r="V8" s="12">
        <v>17</v>
      </c>
      <c r="W8">
        <v>0.14050000000000001</v>
      </c>
      <c r="X8" s="12">
        <v>69</v>
      </c>
      <c r="Y8">
        <v>0.13389999999999999</v>
      </c>
    </row>
    <row r="9" spans="1:25">
      <c r="A9" s="12">
        <v>69</v>
      </c>
      <c r="B9">
        <v>0.20930000000000001</v>
      </c>
      <c r="C9" s="12">
        <v>69</v>
      </c>
      <c r="D9">
        <v>0.21560000000000001</v>
      </c>
      <c r="E9" s="12">
        <v>67</v>
      </c>
      <c r="F9">
        <v>0.21870000000000001</v>
      </c>
      <c r="G9" s="12">
        <v>67</v>
      </c>
      <c r="H9">
        <v>0.1062</v>
      </c>
      <c r="I9" s="12">
        <v>17</v>
      </c>
      <c r="J9">
        <v>0.1769</v>
      </c>
      <c r="K9" s="12">
        <v>19</v>
      </c>
      <c r="L9">
        <v>0.16569999999999999</v>
      </c>
      <c r="N9" s="12">
        <v>67</v>
      </c>
      <c r="O9">
        <v>0.2014</v>
      </c>
      <c r="P9" s="12">
        <v>67</v>
      </c>
      <c r="Q9">
        <v>0.1234</v>
      </c>
      <c r="R9" s="12">
        <v>67</v>
      </c>
      <c r="S9">
        <v>0.1231</v>
      </c>
      <c r="T9" s="12">
        <v>69</v>
      </c>
      <c r="U9">
        <v>0.2016</v>
      </c>
      <c r="V9" s="12">
        <v>19</v>
      </c>
      <c r="W9">
        <v>0.1421</v>
      </c>
      <c r="X9" s="12">
        <v>67</v>
      </c>
      <c r="Y9">
        <v>0.1343</v>
      </c>
    </row>
    <row r="10" spans="1:25">
      <c r="A10" s="12">
        <v>19</v>
      </c>
      <c r="B10">
        <v>0.2208</v>
      </c>
      <c r="C10" s="12">
        <v>19</v>
      </c>
      <c r="D10">
        <v>0.25</v>
      </c>
      <c r="E10" s="12">
        <v>17</v>
      </c>
      <c r="F10">
        <v>0.25009999999999999</v>
      </c>
      <c r="G10" s="12">
        <v>19</v>
      </c>
      <c r="H10">
        <v>0.10780000000000001</v>
      </c>
      <c r="I10" s="12">
        <v>69</v>
      </c>
      <c r="J10">
        <v>0.1938</v>
      </c>
      <c r="K10" s="12">
        <v>67</v>
      </c>
      <c r="L10">
        <v>0.16880000000000001</v>
      </c>
      <c r="N10" s="12">
        <v>19</v>
      </c>
      <c r="O10">
        <v>0.2109</v>
      </c>
      <c r="P10" s="12">
        <v>19</v>
      </c>
      <c r="Q10">
        <v>0.12470000000000001</v>
      </c>
      <c r="R10" s="12">
        <v>17</v>
      </c>
      <c r="S10">
        <v>0.13869999999999999</v>
      </c>
      <c r="T10" s="12">
        <v>17</v>
      </c>
      <c r="U10">
        <v>0.21679999999999999</v>
      </c>
      <c r="V10" s="12">
        <v>69</v>
      </c>
      <c r="W10">
        <v>0.15329999999999999</v>
      </c>
      <c r="X10" s="12">
        <v>19</v>
      </c>
      <c r="Y10">
        <v>0.13619999999999999</v>
      </c>
    </row>
    <row r="11" spans="1:25">
      <c r="A11" s="12">
        <v>17</v>
      </c>
      <c r="B11">
        <v>0.22839999999999999</v>
      </c>
      <c r="C11" s="12">
        <v>17</v>
      </c>
      <c r="D11">
        <v>0.25069999999999998</v>
      </c>
      <c r="E11" s="12">
        <v>19</v>
      </c>
      <c r="F11">
        <v>0.25319999999999998</v>
      </c>
      <c r="G11" s="12">
        <v>17</v>
      </c>
      <c r="H11">
        <v>0.1099</v>
      </c>
      <c r="I11" s="12">
        <v>67</v>
      </c>
      <c r="J11">
        <v>0.2079</v>
      </c>
      <c r="K11" s="12">
        <v>17</v>
      </c>
      <c r="L11">
        <v>0.16950000000000001</v>
      </c>
      <c r="N11" s="12">
        <v>17</v>
      </c>
      <c r="O11">
        <v>0.21640000000000001</v>
      </c>
      <c r="P11" s="12">
        <v>17</v>
      </c>
      <c r="Q11">
        <v>0.1401</v>
      </c>
      <c r="R11" s="12">
        <v>19</v>
      </c>
      <c r="S11">
        <v>0.1447</v>
      </c>
      <c r="T11" s="12">
        <v>19</v>
      </c>
      <c r="U11">
        <v>0.2233</v>
      </c>
      <c r="V11" s="12">
        <v>67</v>
      </c>
      <c r="W11">
        <v>0.1741</v>
      </c>
      <c r="X11" s="12">
        <v>17</v>
      </c>
      <c r="Y11">
        <v>0.1384</v>
      </c>
    </row>
    <row r="12" spans="1:25">
      <c r="A12" s="12">
        <v>73</v>
      </c>
      <c r="B12">
        <v>0.39860000000000001</v>
      </c>
      <c r="C12" s="12">
        <v>72</v>
      </c>
      <c r="D12">
        <v>0.40160000000000001</v>
      </c>
      <c r="E12" s="12">
        <v>70</v>
      </c>
      <c r="F12">
        <v>0.40620000000000001</v>
      </c>
      <c r="G12" s="12">
        <v>73</v>
      </c>
      <c r="H12">
        <v>0.2</v>
      </c>
      <c r="I12" s="12">
        <v>22</v>
      </c>
      <c r="J12">
        <v>0.33589999999999998</v>
      </c>
      <c r="K12" s="12">
        <v>72</v>
      </c>
      <c r="L12">
        <v>0.31409999999999999</v>
      </c>
      <c r="N12" s="12">
        <v>72</v>
      </c>
      <c r="O12">
        <v>0.34370000000000001</v>
      </c>
      <c r="P12" s="12">
        <v>70</v>
      </c>
      <c r="Q12">
        <v>0.22650000000000001</v>
      </c>
      <c r="R12" s="12">
        <v>73</v>
      </c>
      <c r="S12">
        <v>0.23039999999999999</v>
      </c>
      <c r="T12" s="12">
        <v>73</v>
      </c>
      <c r="U12">
        <v>0.3468</v>
      </c>
      <c r="V12" s="12">
        <v>22</v>
      </c>
      <c r="W12">
        <v>0.26050000000000001</v>
      </c>
      <c r="X12" s="12">
        <v>73</v>
      </c>
      <c r="Y12">
        <v>0.24909999999999999</v>
      </c>
    </row>
    <row r="13" spans="1:25">
      <c r="A13" s="12">
        <v>70</v>
      </c>
      <c r="B13">
        <v>0.39989999999999998</v>
      </c>
      <c r="C13" s="12">
        <v>73</v>
      </c>
      <c r="D13">
        <v>0.40460000000000002</v>
      </c>
      <c r="E13" s="12">
        <v>73</v>
      </c>
      <c r="F13">
        <v>0.40629999999999999</v>
      </c>
      <c r="G13" s="12">
        <v>72</v>
      </c>
      <c r="H13">
        <v>0.20150000000000001</v>
      </c>
      <c r="I13" s="12">
        <v>23</v>
      </c>
      <c r="J13">
        <v>0.35149999999999998</v>
      </c>
      <c r="K13" s="12">
        <v>22</v>
      </c>
      <c r="L13">
        <v>0.31869999999999998</v>
      </c>
      <c r="N13" s="12">
        <v>70</v>
      </c>
      <c r="O13">
        <v>0.34839999999999999</v>
      </c>
      <c r="P13" s="12">
        <v>72</v>
      </c>
      <c r="Q13">
        <v>0.22670000000000001</v>
      </c>
      <c r="R13" s="12">
        <v>72</v>
      </c>
      <c r="S13">
        <v>0.23069999999999999</v>
      </c>
      <c r="T13" s="12">
        <v>70</v>
      </c>
      <c r="U13">
        <v>0.34839999999999999</v>
      </c>
      <c r="V13" s="12">
        <v>20</v>
      </c>
      <c r="W13">
        <v>0.26679999999999998</v>
      </c>
      <c r="X13" s="12">
        <v>72</v>
      </c>
      <c r="Y13">
        <v>0.25130000000000002</v>
      </c>
    </row>
    <row r="14" spans="1:25">
      <c r="A14" s="12">
        <v>72</v>
      </c>
      <c r="B14">
        <v>0.40010000000000001</v>
      </c>
      <c r="C14" s="12">
        <v>70</v>
      </c>
      <c r="D14">
        <v>0.40629999999999999</v>
      </c>
      <c r="E14" s="12">
        <v>72</v>
      </c>
      <c r="F14">
        <v>0.4078</v>
      </c>
      <c r="G14" s="12">
        <v>23</v>
      </c>
      <c r="H14">
        <v>0.20630000000000001</v>
      </c>
      <c r="I14" s="12">
        <v>20</v>
      </c>
      <c r="J14">
        <v>0.35470000000000002</v>
      </c>
      <c r="K14" s="12">
        <v>73</v>
      </c>
      <c r="L14">
        <v>0.33279999999999998</v>
      </c>
      <c r="N14" s="12">
        <v>73</v>
      </c>
      <c r="O14">
        <v>0.34839999999999999</v>
      </c>
      <c r="P14" s="12">
        <v>73</v>
      </c>
      <c r="Q14">
        <v>0.22670000000000001</v>
      </c>
      <c r="R14" s="12">
        <v>70</v>
      </c>
      <c r="S14">
        <v>0.23139999999999999</v>
      </c>
      <c r="T14" s="12">
        <v>72</v>
      </c>
      <c r="U14">
        <v>0.34849999999999998</v>
      </c>
      <c r="V14" s="12">
        <v>23</v>
      </c>
      <c r="W14">
        <v>0.26989999999999997</v>
      </c>
      <c r="X14" s="12">
        <v>23</v>
      </c>
      <c r="Y14">
        <v>0.25419999999999998</v>
      </c>
    </row>
    <row r="15" spans="1:25">
      <c r="A15" s="12">
        <v>23</v>
      </c>
      <c r="B15">
        <v>0.41470000000000001</v>
      </c>
      <c r="C15" s="12">
        <v>23</v>
      </c>
      <c r="D15">
        <v>0.41410000000000002</v>
      </c>
      <c r="E15" s="12">
        <v>23</v>
      </c>
      <c r="F15">
        <v>0.43440000000000001</v>
      </c>
      <c r="G15" s="12">
        <v>22</v>
      </c>
      <c r="H15">
        <v>0.2094</v>
      </c>
      <c r="I15" s="12">
        <v>72</v>
      </c>
      <c r="J15">
        <v>0.35620000000000002</v>
      </c>
      <c r="K15" s="12">
        <v>70</v>
      </c>
      <c r="L15">
        <v>0.33439999999999998</v>
      </c>
      <c r="N15" s="12">
        <v>23</v>
      </c>
      <c r="O15">
        <v>0.36249999999999999</v>
      </c>
      <c r="P15" s="12">
        <v>22</v>
      </c>
      <c r="Q15">
        <v>0.23350000000000001</v>
      </c>
      <c r="R15" s="12">
        <v>23</v>
      </c>
      <c r="S15">
        <v>0.23749999999999999</v>
      </c>
      <c r="T15" s="12">
        <v>23</v>
      </c>
      <c r="U15">
        <v>0.36470000000000002</v>
      </c>
      <c r="V15" s="12">
        <v>72</v>
      </c>
      <c r="W15">
        <v>0.28239999999999998</v>
      </c>
      <c r="X15" s="12">
        <v>70</v>
      </c>
      <c r="Y15">
        <v>0.25559999999999999</v>
      </c>
    </row>
    <row r="16" spans="1:25">
      <c r="A16" s="12">
        <v>20</v>
      </c>
      <c r="B16">
        <v>0.4274</v>
      </c>
      <c r="C16" s="12">
        <v>20</v>
      </c>
      <c r="D16">
        <v>0.43130000000000002</v>
      </c>
      <c r="E16" s="12">
        <v>20</v>
      </c>
      <c r="F16">
        <v>0.45619999999999999</v>
      </c>
      <c r="G16" s="12">
        <v>70</v>
      </c>
      <c r="H16">
        <v>0.2172</v>
      </c>
      <c r="I16" s="12">
        <v>70</v>
      </c>
      <c r="J16">
        <v>0.3735</v>
      </c>
      <c r="K16" s="12">
        <v>20</v>
      </c>
      <c r="L16">
        <v>0.35149999999999998</v>
      </c>
      <c r="N16" s="12">
        <v>22</v>
      </c>
      <c r="O16">
        <v>0.36480000000000001</v>
      </c>
      <c r="P16" s="12">
        <v>23</v>
      </c>
      <c r="Q16">
        <v>0.23419999999999999</v>
      </c>
      <c r="R16" s="12">
        <v>22</v>
      </c>
      <c r="S16">
        <v>0.24690000000000001</v>
      </c>
      <c r="T16" s="12">
        <v>20</v>
      </c>
      <c r="U16">
        <v>0.37040000000000001</v>
      </c>
      <c r="V16" s="12">
        <v>70</v>
      </c>
      <c r="W16">
        <v>0.2843</v>
      </c>
      <c r="X16" s="12">
        <v>20</v>
      </c>
      <c r="Y16">
        <v>0.25619999999999998</v>
      </c>
    </row>
    <row r="17" spans="1:25">
      <c r="A17" s="12">
        <v>22</v>
      </c>
      <c r="B17">
        <v>0.42799999999999999</v>
      </c>
      <c r="C17" s="12">
        <v>22</v>
      </c>
      <c r="D17">
        <v>0.43440000000000001</v>
      </c>
      <c r="E17" s="12">
        <v>22</v>
      </c>
      <c r="F17">
        <v>0.57189999999999996</v>
      </c>
      <c r="G17" s="12">
        <v>20</v>
      </c>
      <c r="H17">
        <v>0.2344</v>
      </c>
      <c r="I17" s="12">
        <v>29</v>
      </c>
      <c r="J17">
        <v>0.375</v>
      </c>
      <c r="K17" s="12">
        <v>23</v>
      </c>
      <c r="L17">
        <v>0.35780000000000001</v>
      </c>
      <c r="N17" s="12">
        <v>20</v>
      </c>
      <c r="O17">
        <v>0.37990000000000002</v>
      </c>
      <c r="P17" s="12">
        <v>20</v>
      </c>
      <c r="Q17">
        <v>0.24709999999999999</v>
      </c>
      <c r="R17" s="12">
        <v>20</v>
      </c>
      <c r="S17">
        <v>0.26960000000000001</v>
      </c>
      <c r="T17" s="12">
        <v>22</v>
      </c>
      <c r="U17">
        <v>0.37990000000000002</v>
      </c>
      <c r="V17" s="12">
        <v>73</v>
      </c>
      <c r="W17">
        <v>0.28560000000000002</v>
      </c>
      <c r="X17" s="12">
        <v>22</v>
      </c>
      <c r="Y17">
        <v>0.2722</v>
      </c>
    </row>
    <row r="18" spans="1:25">
      <c r="A18" s="12">
        <v>84</v>
      </c>
      <c r="B18">
        <v>16.042899999999999</v>
      </c>
      <c r="C18" s="12">
        <v>84</v>
      </c>
      <c r="D18">
        <v>18.604700000000001</v>
      </c>
      <c r="E18" s="12">
        <v>29</v>
      </c>
      <c r="F18">
        <v>3.8984000000000001</v>
      </c>
      <c r="G18" s="12">
        <v>77</v>
      </c>
      <c r="H18">
        <v>0.4546</v>
      </c>
      <c r="I18" s="12">
        <v>27</v>
      </c>
      <c r="J18">
        <v>0.38900000000000001</v>
      </c>
      <c r="K18" s="12">
        <v>29</v>
      </c>
      <c r="L18">
        <v>0.58120000000000005</v>
      </c>
      <c r="N18" s="12" t="s">
        <v>80</v>
      </c>
      <c r="O18">
        <v>3.1711999999999998</v>
      </c>
      <c r="P18" s="12">
        <v>132</v>
      </c>
      <c r="Q18">
        <v>43.664400000000001</v>
      </c>
      <c r="R18" s="12">
        <v>78</v>
      </c>
      <c r="S18">
        <v>3.5829</v>
      </c>
      <c r="T18" s="12" t="s">
        <v>80</v>
      </c>
      <c r="U18">
        <v>3.2215999999999996</v>
      </c>
      <c r="V18" s="12">
        <v>82</v>
      </c>
      <c r="W18">
        <v>1.0608</v>
      </c>
      <c r="X18" s="12">
        <v>29</v>
      </c>
      <c r="Y18">
        <v>1.0783</v>
      </c>
    </row>
    <row r="19" spans="1:25">
      <c r="A19" s="12">
        <v>79</v>
      </c>
      <c r="B19">
        <v>16.0458</v>
      </c>
      <c r="C19" s="12">
        <v>80</v>
      </c>
      <c r="D19">
        <v>18.638999999999999</v>
      </c>
      <c r="E19" s="12">
        <v>79</v>
      </c>
      <c r="F19">
        <v>3.9108999999999998</v>
      </c>
      <c r="G19" s="12">
        <v>32</v>
      </c>
      <c r="H19">
        <v>0.4703</v>
      </c>
      <c r="I19" s="12">
        <v>73</v>
      </c>
      <c r="J19">
        <v>0.3906</v>
      </c>
      <c r="K19" s="12">
        <v>79</v>
      </c>
      <c r="L19">
        <v>0.58599999999999997</v>
      </c>
      <c r="P19" s="12">
        <v>129</v>
      </c>
      <c r="Q19">
        <v>45.384900000000002</v>
      </c>
      <c r="R19" s="12">
        <v>79</v>
      </c>
      <c r="S19">
        <v>3.5928</v>
      </c>
      <c r="V19" s="12">
        <v>33</v>
      </c>
      <c r="W19">
        <v>1.08</v>
      </c>
      <c r="X19" s="12">
        <v>79</v>
      </c>
      <c r="Y19">
        <v>1.0794999999999999</v>
      </c>
    </row>
    <row r="20" spans="1:25">
      <c r="A20" s="12">
        <v>78</v>
      </c>
      <c r="B20">
        <v>16.047999999999998</v>
      </c>
      <c r="C20" s="12">
        <v>75</v>
      </c>
      <c r="D20">
        <v>18.643699999999999</v>
      </c>
      <c r="E20" s="12">
        <v>78</v>
      </c>
      <c r="F20">
        <v>3.9171999999999998</v>
      </c>
      <c r="G20" s="12">
        <v>82</v>
      </c>
      <c r="H20">
        <v>0.4718</v>
      </c>
      <c r="I20" s="12">
        <v>77</v>
      </c>
      <c r="J20">
        <v>0.39850000000000002</v>
      </c>
      <c r="K20" s="12">
        <v>78</v>
      </c>
      <c r="L20">
        <v>0.66869999999999996</v>
      </c>
      <c r="P20" s="12">
        <v>48</v>
      </c>
      <c r="Q20">
        <v>101.00069999999999</v>
      </c>
      <c r="R20" s="12">
        <v>28</v>
      </c>
      <c r="S20">
        <v>3.6352000000000002</v>
      </c>
      <c r="V20" s="12">
        <v>32</v>
      </c>
      <c r="W20">
        <v>1.0807</v>
      </c>
      <c r="X20" s="12">
        <v>28</v>
      </c>
      <c r="Y20">
        <v>1.0831</v>
      </c>
    </row>
    <row r="21" spans="1:25">
      <c r="A21" s="12">
        <v>83</v>
      </c>
      <c r="B21">
        <v>16.0913</v>
      </c>
      <c r="C21" s="12">
        <v>79</v>
      </c>
      <c r="D21">
        <v>18.654699999999998</v>
      </c>
      <c r="E21" s="12">
        <v>28</v>
      </c>
      <c r="F21">
        <v>3.9468999999999999</v>
      </c>
      <c r="G21" s="12">
        <v>27</v>
      </c>
      <c r="H21">
        <v>0.48280000000000001</v>
      </c>
      <c r="I21" s="12">
        <v>80</v>
      </c>
      <c r="J21">
        <v>0.40629999999999999</v>
      </c>
      <c r="K21" s="12">
        <v>28</v>
      </c>
      <c r="L21">
        <v>0.67349999999999999</v>
      </c>
      <c r="P21" s="12">
        <v>45</v>
      </c>
      <c r="Q21">
        <v>101.4207</v>
      </c>
      <c r="R21" s="12">
        <v>29</v>
      </c>
      <c r="S21">
        <v>3.6734</v>
      </c>
      <c r="V21" s="12">
        <v>80</v>
      </c>
      <c r="W21">
        <v>1.0833999999999999</v>
      </c>
      <c r="X21" s="12">
        <v>78</v>
      </c>
      <c r="Y21">
        <v>1.0920000000000001</v>
      </c>
    </row>
    <row r="22" spans="1:25">
      <c r="A22" s="12">
        <v>77</v>
      </c>
      <c r="B22">
        <v>16.0929</v>
      </c>
      <c r="C22" s="12">
        <v>77</v>
      </c>
      <c r="D22">
        <v>18.664000000000001</v>
      </c>
      <c r="E22" s="12">
        <v>80</v>
      </c>
      <c r="F22">
        <v>4.9859999999999998</v>
      </c>
      <c r="G22" s="12">
        <v>79</v>
      </c>
      <c r="H22">
        <v>0.4859</v>
      </c>
      <c r="I22" s="12">
        <v>25</v>
      </c>
      <c r="J22">
        <v>0.41560000000000002</v>
      </c>
      <c r="K22" s="12">
        <v>77</v>
      </c>
      <c r="L22">
        <v>0.74529999999999996</v>
      </c>
      <c r="P22" s="12">
        <v>131</v>
      </c>
      <c r="Q22">
        <v>155.61779999999999</v>
      </c>
      <c r="R22" s="12">
        <v>84</v>
      </c>
      <c r="S22">
        <v>4.5602</v>
      </c>
      <c r="V22" s="12">
        <v>34</v>
      </c>
      <c r="W22">
        <v>1.0864</v>
      </c>
      <c r="X22" s="12">
        <v>75</v>
      </c>
      <c r="Y22">
        <v>1.3347</v>
      </c>
    </row>
    <row r="23" spans="1:25">
      <c r="A23" s="12">
        <v>80</v>
      </c>
      <c r="B23">
        <v>16.108699999999999</v>
      </c>
      <c r="C23" s="12">
        <v>82</v>
      </c>
      <c r="D23">
        <v>18.7484</v>
      </c>
      <c r="E23" s="12">
        <v>75</v>
      </c>
      <c r="F23">
        <v>4.9936999999999996</v>
      </c>
      <c r="G23" s="12">
        <v>75</v>
      </c>
      <c r="H23">
        <v>0.48749999999999999</v>
      </c>
      <c r="I23" s="12">
        <v>30</v>
      </c>
      <c r="J23">
        <v>0.41570000000000001</v>
      </c>
      <c r="K23" s="12">
        <v>80</v>
      </c>
      <c r="L23">
        <v>0.75780000000000003</v>
      </c>
      <c r="P23" s="12">
        <v>128</v>
      </c>
      <c r="Q23">
        <v>156.52440000000001</v>
      </c>
      <c r="R23" s="12">
        <v>34</v>
      </c>
      <c r="S23">
        <v>4.5865999999999998</v>
      </c>
      <c r="V23" s="12">
        <v>84</v>
      </c>
      <c r="W23">
        <v>1.0912999999999999</v>
      </c>
      <c r="X23" s="12">
        <v>77</v>
      </c>
      <c r="Y23">
        <v>1.3431999999999999</v>
      </c>
    </row>
    <row r="24" spans="1:25">
      <c r="A24" s="12">
        <v>75</v>
      </c>
      <c r="B24">
        <v>16.161799999999999</v>
      </c>
      <c r="C24" s="12">
        <v>30</v>
      </c>
      <c r="D24">
        <v>18.762499999999999</v>
      </c>
      <c r="E24" s="12">
        <v>84</v>
      </c>
      <c r="F24">
        <v>5</v>
      </c>
      <c r="G24" s="12">
        <v>29</v>
      </c>
      <c r="H24">
        <v>0.48749999999999999</v>
      </c>
      <c r="I24" s="12">
        <v>79</v>
      </c>
      <c r="J24">
        <v>0.41710000000000003</v>
      </c>
      <c r="K24" s="12">
        <v>75</v>
      </c>
      <c r="L24">
        <v>0.76249999999999996</v>
      </c>
      <c r="P24" s="12" t="s">
        <v>80</v>
      </c>
      <c r="Q24">
        <v>605.7183</v>
      </c>
      <c r="R24" s="12">
        <v>77</v>
      </c>
      <c r="S24">
        <v>4.5999999999999996</v>
      </c>
      <c r="V24" s="12">
        <v>29</v>
      </c>
      <c r="W24">
        <v>1.0916999999999999</v>
      </c>
      <c r="X24" s="12">
        <v>80</v>
      </c>
      <c r="Y24">
        <v>1.3491</v>
      </c>
    </row>
    <row r="25" spans="1:25">
      <c r="A25" s="12">
        <v>29</v>
      </c>
      <c r="B25">
        <v>16.169799999999999</v>
      </c>
      <c r="C25" s="12">
        <v>32</v>
      </c>
      <c r="D25">
        <v>18.778199999999998</v>
      </c>
      <c r="E25" s="12">
        <v>83</v>
      </c>
      <c r="F25">
        <v>5.0141</v>
      </c>
      <c r="G25" s="12">
        <v>84</v>
      </c>
      <c r="H25">
        <v>0.49840000000000001</v>
      </c>
      <c r="I25" s="12">
        <v>83</v>
      </c>
      <c r="J25">
        <v>0.4234</v>
      </c>
      <c r="K25" s="12">
        <v>27</v>
      </c>
      <c r="L25">
        <v>0.76559999999999995</v>
      </c>
      <c r="R25" s="12">
        <v>33</v>
      </c>
      <c r="S25">
        <v>4.6025999999999998</v>
      </c>
      <c r="V25" s="12">
        <v>30</v>
      </c>
      <c r="W25">
        <v>1.0962000000000001</v>
      </c>
      <c r="X25" s="12">
        <v>34</v>
      </c>
      <c r="Y25">
        <v>1.3532999999999999</v>
      </c>
    </row>
    <row r="26" spans="1:25">
      <c r="A26" s="12">
        <v>33</v>
      </c>
      <c r="B26">
        <v>16.183199999999999</v>
      </c>
      <c r="C26" s="12">
        <v>78</v>
      </c>
      <c r="D26">
        <v>18.834299999999999</v>
      </c>
      <c r="E26" s="12">
        <v>33</v>
      </c>
      <c r="F26">
        <v>5.0233999999999996</v>
      </c>
      <c r="G26" s="12">
        <v>80</v>
      </c>
      <c r="H26">
        <v>0.5</v>
      </c>
      <c r="I26" s="12">
        <v>33</v>
      </c>
      <c r="J26">
        <v>0.42349999999999999</v>
      </c>
      <c r="K26" s="12">
        <v>30</v>
      </c>
      <c r="L26">
        <v>0.77180000000000004</v>
      </c>
      <c r="R26" s="12">
        <v>82</v>
      </c>
      <c r="S26">
        <v>4.6154000000000002</v>
      </c>
      <c r="V26" s="12">
        <v>83</v>
      </c>
      <c r="W26">
        <v>1.0973999999999999</v>
      </c>
      <c r="X26" s="12">
        <v>33</v>
      </c>
      <c r="Y26">
        <v>1.3535999999999999</v>
      </c>
    </row>
    <row r="27" spans="1:25">
      <c r="A27" s="12">
        <v>34</v>
      </c>
      <c r="B27">
        <v>16.210899999999999</v>
      </c>
      <c r="C27" s="12">
        <v>34</v>
      </c>
      <c r="D27">
        <v>18.848400000000002</v>
      </c>
      <c r="E27" s="12">
        <v>77</v>
      </c>
      <c r="F27">
        <v>5.0250000000000004</v>
      </c>
      <c r="G27" s="12">
        <v>30</v>
      </c>
      <c r="H27">
        <v>0.50470000000000004</v>
      </c>
      <c r="I27" s="12">
        <v>28</v>
      </c>
      <c r="J27">
        <v>0.43120000000000003</v>
      </c>
      <c r="K27" s="12">
        <v>25</v>
      </c>
      <c r="L27">
        <v>0.77500000000000002</v>
      </c>
      <c r="R27" s="12">
        <v>27</v>
      </c>
      <c r="S27">
        <v>4.6288999999999998</v>
      </c>
      <c r="V27" s="12">
        <v>27</v>
      </c>
      <c r="W27">
        <v>1.1046</v>
      </c>
      <c r="X27" s="12">
        <v>30</v>
      </c>
      <c r="Y27">
        <v>1.3625</v>
      </c>
    </row>
    <row r="28" spans="1:25">
      <c r="A28" s="12">
        <v>28</v>
      </c>
      <c r="B28">
        <v>16.2376</v>
      </c>
      <c r="C28" s="12">
        <v>33</v>
      </c>
      <c r="D28">
        <v>18.853100000000001</v>
      </c>
      <c r="E28" s="12">
        <v>27</v>
      </c>
      <c r="F28">
        <v>5.0484999999999998</v>
      </c>
      <c r="G28" s="12">
        <v>78</v>
      </c>
      <c r="H28">
        <v>0.50929999999999997</v>
      </c>
      <c r="I28" s="12">
        <v>32</v>
      </c>
      <c r="J28">
        <v>0.4375</v>
      </c>
      <c r="K28" s="12">
        <v>83</v>
      </c>
      <c r="L28">
        <v>0.80779999999999996</v>
      </c>
      <c r="R28" s="12">
        <v>80</v>
      </c>
      <c r="S28">
        <v>4.6401000000000003</v>
      </c>
      <c r="V28" s="12">
        <v>25</v>
      </c>
      <c r="W28">
        <v>1.1274</v>
      </c>
      <c r="X28" s="12">
        <v>84</v>
      </c>
      <c r="Y28">
        <v>1.3651</v>
      </c>
    </row>
    <row r="29" spans="1:25">
      <c r="A29" s="12">
        <v>82</v>
      </c>
      <c r="B29">
        <v>16.247499999999999</v>
      </c>
      <c r="C29" s="12">
        <v>83</v>
      </c>
      <c r="D29">
        <v>18.8703</v>
      </c>
      <c r="E29" s="12">
        <v>82</v>
      </c>
      <c r="F29">
        <v>5.0719000000000003</v>
      </c>
      <c r="G29" s="12">
        <v>34</v>
      </c>
      <c r="H29">
        <v>0.51090000000000002</v>
      </c>
      <c r="I29" s="12">
        <v>84</v>
      </c>
      <c r="J29">
        <v>0.44059999999999999</v>
      </c>
      <c r="K29" s="12">
        <v>33</v>
      </c>
      <c r="L29">
        <v>0.8125</v>
      </c>
      <c r="R29" s="12">
        <v>30</v>
      </c>
      <c r="S29">
        <v>4.6417999999999999</v>
      </c>
      <c r="V29" s="12">
        <v>28</v>
      </c>
      <c r="W29">
        <v>1.1323000000000001</v>
      </c>
      <c r="X29" s="12">
        <v>32</v>
      </c>
      <c r="Y29">
        <v>1.3676999999999999</v>
      </c>
    </row>
    <row r="30" spans="1:25">
      <c r="A30" s="12">
        <v>32</v>
      </c>
      <c r="B30">
        <v>16.254300000000001</v>
      </c>
      <c r="C30" s="12">
        <v>28</v>
      </c>
      <c r="D30">
        <v>18.948399999999999</v>
      </c>
      <c r="E30" s="12">
        <v>34</v>
      </c>
      <c r="F30">
        <v>5.0734000000000004</v>
      </c>
      <c r="G30" s="12">
        <v>25</v>
      </c>
      <c r="H30">
        <v>0.5141</v>
      </c>
      <c r="I30" s="12">
        <v>34</v>
      </c>
      <c r="J30">
        <v>0.45</v>
      </c>
      <c r="K30" s="12">
        <v>32</v>
      </c>
      <c r="L30">
        <v>0.83279999999999998</v>
      </c>
      <c r="R30" s="12">
        <v>83</v>
      </c>
      <c r="S30">
        <v>4.6714000000000002</v>
      </c>
      <c r="V30" s="12">
        <v>79</v>
      </c>
      <c r="W30">
        <v>1.1389</v>
      </c>
      <c r="X30" s="12">
        <v>27</v>
      </c>
      <c r="Y30">
        <v>1.3728</v>
      </c>
    </row>
    <row r="31" spans="1:25">
      <c r="A31" s="12">
        <v>30</v>
      </c>
      <c r="B31">
        <v>16.358699999999999</v>
      </c>
      <c r="C31" s="12">
        <v>27</v>
      </c>
      <c r="D31">
        <v>18.984400000000001</v>
      </c>
      <c r="E31" s="12">
        <v>32</v>
      </c>
      <c r="F31">
        <v>5.0843999999999996</v>
      </c>
      <c r="G31" s="12">
        <v>83</v>
      </c>
      <c r="H31">
        <v>0.52029999999999998</v>
      </c>
      <c r="I31" s="12">
        <v>75</v>
      </c>
      <c r="J31">
        <v>0.4516</v>
      </c>
      <c r="K31" s="12">
        <v>82</v>
      </c>
      <c r="L31">
        <v>0.83289999999999997</v>
      </c>
      <c r="R31" s="12">
        <v>75</v>
      </c>
      <c r="S31">
        <v>4.6749999999999998</v>
      </c>
      <c r="V31" s="12">
        <v>77</v>
      </c>
      <c r="W31">
        <v>1.1819</v>
      </c>
      <c r="X31" s="12">
        <v>83</v>
      </c>
      <c r="Y31">
        <v>1.3738999999999999</v>
      </c>
    </row>
    <row r="32" spans="1:25">
      <c r="A32" s="12">
        <v>25</v>
      </c>
      <c r="B32">
        <v>16.6554</v>
      </c>
      <c r="C32" s="12">
        <v>25</v>
      </c>
      <c r="D32">
        <v>19.1234</v>
      </c>
      <c r="E32" s="12">
        <v>30</v>
      </c>
      <c r="F32">
        <v>5.1265999999999998</v>
      </c>
      <c r="G32" s="12">
        <v>33</v>
      </c>
      <c r="H32">
        <v>0.52810000000000001</v>
      </c>
      <c r="I32" s="12">
        <v>82</v>
      </c>
      <c r="J32">
        <v>0.4546</v>
      </c>
      <c r="K32" s="12">
        <v>34</v>
      </c>
      <c r="L32">
        <v>0.85</v>
      </c>
      <c r="R32" s="12">
        <v>25</v>
      </c>
      <c r="S32">
        <v>4.7055999999999996</v>
      </c>
      <c r="V32" s="12">
        <v>75</v>
      </c>
      <c r="W32">
        <v>1.1998</v>
      </c>
      <c r="X32" s="12">
        <v>82</v>
      </c>
      <c r="Y32">
        <v>1.3746</v>
      </c>
    </row>
    <row r="33" spans="1:25">
      <c r="A33" s="12">
        <v>27</v>
      </c>
      <c r="B33">
        <v>16.904699999999998</v>
      </c>
      <c r="C33" s="12">
        <v>29</v>
      </c>
      <c r="D33">
        <v>19.459399999999999</v>
      </c>
      <c r="E33" s="12">
        <v>25</v>
      </c>
      <c r="F33">
        <v>5.2766000000000002</v>
      </c>
      <c r="G33" s="12">
        <v>28</v>
      </c>
      <c r="H33">
        <v>0.62339999999999995</v>
      </c>
      <c r="I33" s="12">
        <v>78</v>
      </c>
      <c r="J33">
        <v>0.45629999999999998</v>
      </c>
      <c r="K33" s="12">
        <v>84</v>
      </c>
      <c r="L33">
        <v>0.85940000000000005</v>
      </c>
      <c r="R33" s="12">
        <v>32</v>
      </c>
      <c r="S33">
        <v>5.1158000000000001</v>
      </c>
      <c r="V33" s="12">
        <v>78</v>
      </c>
      <c r="W33">
        <v>1.2217</v>
      </c>
      <c r="X33" s="12">
        <v>25</v>
      </c>
      <c r="Y33">
        <v>1.4083000000000001</v>
      </c>
    </row>
    <row r="34" spans="1:25">
      <c r="A34" s="12">
        <v>40</v>
      </c>
      <c r="B34">
        <v>43.8675</v>
      </c>
      <c r="C34" s="12">
        <v>49</v>
      </c>
      <c r="D34">
        <v>22.464099999999998</v>
      </c>
      <c r="E34" s="12">
        <v>90</v>
      </c>
      <c r="F34">
        <v>6.6718999999999999</v>
      </c>
      <c r="G34" s="12">
        <v>40</v>
      </c>
      <c r="H34">
        <v>0.8609</v>
      </c>
      <c r="I34" s="12">
        <v>43</v>
      </c>
      <c r="J34">
        <v>0.72499999999999998</v>
      </c>
      <c r="K34" s="12">
        <v>43</v>
      </c>
      <c r="L34">
        <v>1.1313</v>
      </c>
      <c r="R34" s="12">
        <v>88</v>
      </c>
      <c r="S34">
        <v>6.3517000000000001</v>
      </c>
      <c r="V34" s="12">
        <v>41</v>
      </c>
      <c r="W34">
        <v>1.9683999999999999</v>
      </c>
      <c r="X34" s="12">
        <v>38</v>
      </c>
      <c r="Y34">
        <v>1.8797999999999999</v>
      </c>
    </row>
    <row r="35" spans="1:25">
      <c r="A35" s="12">
        <v>41</v>
      </c>
      <c r="B35">
        <v>44.006700000000002</v>
      </c>
      <c r="C35" s="12">
        <v>46</v>
      </c>
      <c r="D35">
        <v>23.1812</v>
      </c>
      <c r="E35" s="12">
        <v>93</v>
      </c>
      <c r="F35">
        <v>6.6952999999999996</v>
      </c>
      <c r="G35" s="12">
        <v>41</v>
      </c>
      <c r="H35">
        <v>0.87660000000000005</v>
      </c>
      <c r="I35" s="12">
        <v>38</v>
      </c>
      <c r="J35">
        <v>0.72970000000000002</v>
      </c>
      <c r="K35" s="12">
        <v>38</v>
      </c>
      <c r="L35">
        <v>1.1561999999999999</v>
      </c>
      <c r="R35" s="12">
        <v>90</v>
      </c>
      <c r="S35">
        <v>6.3533999999999997</v>
      </c>
      <c r="V35" s="12">
        <v>40</v>
      </c>
      <c r="W35">
        <v>2.0510000000000002</v>
      </c>
      <c r="X35" s="12">
        <v>43</v>
      </c>
      <c r="Y35">
        <v>1.8996999999999999</v>
      </c>
    </row>
    <row r="36" spans="1:25">
      <c r="A36" s="12">
        <v>38</v>
      </c>
      <c r="B36">
        <v>46.436399999999999</v>
      </c>
      <c r="C36" s="12">
        <v>132</v>
      </c>
      <c r="D36">
        <v>45.831299999999999</v>
      </c>
      <c r="E36" s="12">
        <v>103</v>
      </c>
      <c r="F36">
        <v>6.7718999999999996</v>
      </c>
      <c r="G36" s="12">
        <v>43</v>
      </c>
      <c r="H36">
        <v>0.9516</v>
      </c>
      <c r="I36" s="12">
        <v>36</v>
      </c>
      <c r="J36">
        <v>0.7641</v>
      </c>
      <c r="K36" s="12">
        <v>36</v>
      </c>
      <c r="L36">
        <v>1.1780999999999999</v>
      </c>
      <c r="R36" s="12">
        <v>92</v>
      </c>
      <c r="S36">
        <v>6.3613</v>
      </c>
      <c r="V36" s="12">
        <v>46</v>
      </c>
      <c r="W36">
        <v>2.536</v>
      </c>
      <c r="X36" s="12">
        <v>36</v>
      </c>
      <c r="Y36">
        <v>1.9138999999999999</v>
      </c>
    </row>
    <row r="37" spans="1:25">
      <c r="A37" s="12">
        <v>36</v>
      </c>
      <c r="B37">
        <v>46.563800000000001</v>
      </c>
      <c r="C37" s="12">
        <v>129</v>
      </c>
      <c r="D37">
        <v>45.85</v>
      </c>
      <c r="E37" s="12">
        <v>88</v>
      </c>
      <c r="F37">
        <v>6.7718999999999996</v>
      </c>
      <c r="G37" s="12">
        <v>38</v>
      </c>
      <c r="H37">
        <v>0.95630000000000004</v>
      </c>
      <c r="I37" s="12">
        <v>40</v>
      </c>
      <c r="J37">
        <v>0.78129999999999999</v>
      </c>
      <c r="K37" s="12">
        <v>49</v>
      </c>
      <c r="L37">
        <v>1.325</v>
      </c>
      <c r="R37" s="12">
        <v>103</v>
      </c>
      <c r="S37">
        <v>6.3909000000000002</v>
      </c>
      <c r="V37" s="12">
        <v>43</v>
      </c>
      <c r="W37">
        <v>2.6644999999999999</v>
      </c>
      <c r="X37" s="12">
        <v>90</v>
      </c>
      <c r="Y37">
        <v>2.2204000000000002</v>
      </c>
    </row>
    <row r="38" spans="1:25">
      <c r="A38" s="12">
        <v>43</v>
      </c>
      <c r="B38">
        <v>46.583500000000001</v>
      </c>
      <c r="C38" s="12">
        <v>40</v>
      </c>
      <c r="D38">
        <v>51.151600000000002</v>
      </c>
      <c r="E38" s="12">
        <v>43</v>
      </c>
      <c r="F38">
        <v>6.8061999999999996</v>
      </c>
      <c r="G38" s="12">
        <v>36</v>
      </c>
      <c r="H38">
        <v>1.0046999999999999</v>
      </c>
      <c r="I38" s="12">
        <v>41</v>
      </c>
      <c r="J38">
        <v>0.78439999999999999</v>
      </c>
      <c r="K38" s="12">
        <v>86</v>
      </c>
      <c r="L38">
        <v>1.3514999999999999</v>
      </c>
      <c r="R38" s="12">
        <v>93</v>
      </c>
      <c r="S38">
        <v>6.4455999999999998</v>
      </c>
      <c r="V38" s="12">
        <v>49</v>
      </c>
      <c r="W38">
        <v>2.6913999999999998</v>
      </c>
      <c r="X38" s="12">
        <v>86</v>
      </c>
      <c r="Y38">
        <v>2.2210000000000001</v>
      </c>
    </row>
    <row r="39" spans="1:25">
      <c r="A39" s="12">
        <v>92</v>
      </c>
      <c r="B39">
        <v>139.6566</v>
      </c>
      <c r="C39" s="12">
        <v>43</v>
      </c>
      <c r="D39">
        <v>51.610900000000001</v>
      </c>
      <c r="E39" s="12">
        <v>92</v>
      </c>
      <c r="F39">
        <v>6.8562000000000003</v>
      </c>
      <c r="G39" s="12">
        <v>90</v>
      </c>
      <c r="H39">
        <v>1.2546999999999999</v>
      </c>
      <c r="I39" s="12">
        <v>90</v>
      </c>
      <c r="J39">
        <v>0.82030000000000003</v>
      </c>
      <c r="K39" s="12">
        <v>90</v>
      </c>
      <c r="L39">
        <v>1.3531</v>
      </c>
      <c r="R39" s="12">
        <v>86</v>
      </c>
      <c r="S39">
        <v>6.4634999999999998</v>
      </c>
      <c r="V39" s="12">
        <v>36</v>
      </c>
      <c r="W39">
        <v>2.7061000000000002</v>
      </c>
      <c r="X39" s="12">
        <v>49</v>
      </c>
      <c r="Y39">
        <v>2.2254999999999998</v>
      </c>
    </row>
    <row r="40" spans="1:25">
      <c r="A40" s="12">
        <v>90</v>
      </c>
      <c r="B40">
        <v>139.72909999999999</v>
      </c>
      <c r="C40" s="12">
        <v>38</v>
      </c>
      <c r="D40">
        <v>52.171900000000001</v>
      </c>
      <c r="E40" s="12">
        <v>86</v>
      </c>
      <c r="F40">
        <v>6.8563000000000001</v>
      </c>
      <c r="G40" s="12">
        <v>93</v>
      </c>
      <c r="H40">
        <v>1.2797000000000001</v>
      </c>
      <c r="I40" s="12">
        <v>88</v>
      </c>
      <c r="J40">
        <v>0.82650000000000001</v>
      </c>
      <c r="K40" s="12">
        <v>40</v>
      </c>
      <c r="L40">
        <v>1.3641000000000001</v>
      </c>
      <c r="R40" s="12">
        <v>112</v>
      </c>
      <c r="S40">
        <v>6.5331999999999999</v>
      </c>
      <c r="V40" s="12">
        <v>38</v>
      </c>
      <c r="W40">
        <v>2.8723999999999998</v>
      </c>
      <c r="X40" s="12">
        <v>40</v>
      </c>
      <c r="Y40">
        <v>2.2416</v>
      </c>
    </row>
    <row r="41" spans="1:25">
      <c r="A41" s="12">
        <v>93</v>
      </c>
      <c r="B41">
        <v>139.94110000000001</v>
      </c>
      <c r="C41" s="12">
        <v>41</v>
      </c>
      <c r="D41">
        <v>52.378100000000003</v>
      </c>
      <c r="E41" s="12">
        <v>38</v>
      </c>
      <c r="F41">
        <v>6.9733999999999998</v>
      </c>
      <c r="G41" s="12">
        <v>88</v>
      </c>
      <c r="H41">
        <v>1.3514999999999999</v>
      </c>
      <c r="I41" s="12">
        <v>86</v>
      </c>
      <c r="J41">
        <v>0.84060000000000001</v>
      </c>
      <c r="K41" s="12">
        <v>88</v>
      </c>
      <c r="L41">
        <v>1.3812</v>
      </c>
      <c r="R41" s="12">
        <v>106</v>
      </c>
      <c r="S41">
        <v>6.5505000000000004</v>
      </c>
      <c r="V41" s="12">
        <v>93</v>
      </c>
      <c r="W41">
        <v>3.9203000000000001</v>
      </c>
      <c r="X41" s="12">
        <v>41</v>
      </c>
      <c r="Y41">
        <v>2.2562000000000002</v>
      </c>
    </row>
    <row r="42" spans="1:25">
      <c r="A42" s="12">
        <v>86</v>
      </c>
      <c r="B42">
        <v>149.89930000000001</v>
      </c>
      <c r="C42" s="12">
        <v>36</v>
      </c>
      <c r="D42">
        <v>52.676600000000001</v>
      </c>
      <c r="E42" s="12">
        <v>36</v>
      </c>
      <c r="F42">
        <v>6.9813000000000001</v>
      </c>
      <c r="G42" s="12">
        <v>86</v>
      </c>
      <c r="H42">
        <v>1.4234</v>
      </c>
      <c r="I42" s="12">
        <v>93</v>
      </c>
      <c r="J42">
        <v>0.84219999999999995</v>
      </c>
      <c r="K42" s="12">
        <v>41</v>
      </c>
      <c r="L42">
        <v>1.3953</v>
      </c>
      <c r="R42" s="12">
        <v>43</v>
      </c>
      <c r="S42">
        <v>6.6997</v>
      </c>
      <c r="V42" s="12">
        <v>90</v>
      </c>
      <c r="W42">
        <v>3.9285999999999999</v>
      </c>
      <c r="X42" s="12">
        <v>93</v>
      </c>
      <c r="Y42">
        <v>2.2875000000000001</v>
      </c>
    </row>
    <row r="43" spans="1:25">
      <c r="A43" s="12">
        <v>88</v>
      </c>
      <c r="B43">
        <v>151.25280000000001</v>
      </c>
      <c r="C43" s="12">
        <v>90</v>
      </c>
      <c r="D43">
        <v>80.082800000000006</v>
      </c>
      <c r="E43" s="12">
        <v>106</v>
      </c>
      <c r="F43">
        <v>7.0171999999999999</v>
      </c>
      <c r="G43" s="12">
        <v>49</v>
      </c>
      <c r="H43">
        <v>1.9328000000000001</v>
      </c>
      <c r="I43" s="12">
        <v>46</v>
      </c>
      <c r="J43">
        <v>0.92179999999999995</v>
      </c>
      <c r="K43" s="12">
        <v>93</v>
      </c>
      <c r="L43">
        <v>1.4016</v>
      </c>
      <c r="R43" s="12">
        <v>38</v>
      </c>
      <c r="S43">
        <v>6.76</v>
      </c>
      <c r="V43" s="12">
        <v>88</v>
      </c>
      <c r="W43">
        <v>4.5255999999999998</v>
      </c>
      <c r="X43" s="12">
        <v>88</v>
      </c>
      <c r="Y43">
        <v>2.2888000000000002</v>
      </c>
    </row>
    <row r="44" spans="1:25">
      <c r="A44" s="12">
        <v>103</v>
      </c>
      <c r="B44">
        <v>151.83189999999999</v>
      </c>
      <c r="C44" s="12">
        <v>93</v>
      </c>
      <c r="D44">
        <v>80.6203</v>
      </c>
      <c r="E44" s="12">
        <v>112</v>
      </c>
      <c r="F44">
        <v>7.0781999999999998</v>
      </c>
      <c r="G44" s="12">
        <v>46</v>
      </c>
      <c r="H44">
        <v>2.0186999999999999</v>
      </c>
      <c r="I44" s="12">
        <v>49</v>
      </c>
      <c r="J44">
        <v>1.014</v>
      </c>
      <c r="K44" s="12">
        <v>46</v>
      </c>
      <c r="L44">
        <v>1.4672000000000001</v>
      </c>
      <c r="R44" s="12">
        <v>36</v>
      </c>
      <c r="S44">
        <v>6.8158000000000003</v>
      </c>
      <c r="V44" s="12">
        <v>86</v>
      </c>
      <c r="W44">
        <v>4.5427</v>
      </c>
      <c r="X44" s="12">
        <v>46</v>
      </c>
      <c r="Y44">
        <v>2.4173</v>
      </c>
    </row>
    <row r="45" spans="1:25">
      <c r="A45" s="12">
        <v>112</v>
      </c>
      <c r="B45">
        <v>219.36670000000001</v>
      </c>
      <c r="C45" s="12">
        <v>88</v>
      </c>
      <c r="D45">
        <v>80.671899999999994</v>
      </c>
      <c r="E45" s="12">
        <v>46</v>
      </c>
      <c r="F45">
        <v>7.5688000000000004</v>
      </c>
      <c r="G45" s="12">
        <v>48</v>
      </c>
      <c r="H45">
        <v>3.5297000000000001</v>
      </c>
      <c r="I45" s="12">
        <v>45</v>
      </c>
      <c r="J45">
        <v>2.0125000000000002</v>
      </c>
      <c r="K45" s="12">
        <v>45</v>
      </c>
      <c r="L45">
        <v>3.0125000000000002</v>
      </c>
      <c r="R45" s="12">
        <v>46</v>
      </c>
      <c r="S45">
        <v>7.2263999999999999</v>
      </c>
      <c r="V45" s="12">
        <v>45</v>
      </c>
      <c r="W45">
        <v>7.8000999999999996</v>
      </c>
      <c r="X45" s="12">
        <v>92</v>
      </c>
      <c r="Y45">
        <v>6.3103999999999996</v>
      </c>
    </row>
    <row r="46" spans="1:25">
      <c r="A46" s="12">
        <v>98</v>
      </c>
      <c r="B46">
        <v>245.60929999999999</v>
      </c>
      <c r="C46" s="12">
        <v>86</v>
      </c>
      <c r="D46">
        <v>81.003100000000003</v>
      </c>
      <c r="E46" s="12">
        <v>49</v>
      </c>
      <c r="F46">
        <v>7.5968</v>
      </c>
      <c r="G46" s="12">
        <v>45</v>
      </c>
      <c r="H46">
        <v>3.5531999999999999</v>
      </c>
      <c r="I46" s="12">
        <v>48</v>
      </c>
      <c r="J46">
        <v>2.3828</v>
      </c>
      <c r="K46" s="12">
        <v>48</v>
      </c>
      <c r="L46">
        <v>3.2046999999999999</v>
      </c>
      <c r="R46" s="12">
        <v>49</v>
      </c>
      <c r="S46">
        <v>7.2660999999999998</v>
      </c>
      <c r="V46" s="12">
        <v>48</v>
      </c>
      <c r="W46">
        <v>9.9434000000000005</v>
      </c>
      <c r="X46" s="12">
        <v>103</v>
      </c>
      <c r="Y46">
        <v>6.3973000000000004</v>
      </c>
    </row>
    <row r="47" spans="1:25">
      <c r="A47" s="12">
        <v>101</v>
      </c>
      <c r="B47">
        <v>246.68190000000001</v>
      </c>
      <c r="C47" s="12">
        <v>103</v>
      </c>
      <c r="D47">
        <v>81.114099999999993</v>
      </c>
      <c r="E47" s="12">
        <v>41</v>
      </c>
      <c r="F47">
        <v>8.4421999999999997</v>
      </c>
      <c r="G47" s="12">
        <v>103</v>
      </c>
      <c r="H47">
        <v>220.12190000000001</v>
      </c>
      <c r="I47" s="12">
        <v>132</v>
      </c>
      <c r="J47">
        <v>51.774999999999999</v>
      </c>
      <c r="K47" s="12">
        <v>92</v>
      </c>
      <c r="L47">
        <v>8.3000000000000007</v>
      </c>
      <c r="R47" s="12">
        <v>41</v>
      </c>
      <c r="S47">
        <v>7.8570000000000002</v>
      </c>
      <c r="V47" s="12">
        <v>132</v>
      </c>
      <c r="W47">
        <v>43.883299999999998</v>
      </c>
      <c r="X47" s="12">
        <v>112</v>
      </c>
      <c r="Y47">
        <v>6.649</v>
      </c>
    </row>
    <row r="48" spans="1:25">
      <c r="A48" s="12">
        <v>99</v>
      </c>
      <c r="B48">
        <v>246.70349999999999</v>
      </c>
      <c r="C48" s="12">
        <v>92</v>
      </c>
      <c r="D48">
        <v>81.174999999999997</v>
      </c>
      <c r="E48" s="12">
        <v>40</v>
      </c>
      <c r="F48">
        <v>8.6187000000000005</v>
      </c>
      <c r="G48" s="12">
        <v>112</v>
      </c>
      <c r="H48">
        <v>347.08280000000002</v>
      </c>
      <c r="I48" s="12">
        <v>129</v>
      </c>
      <c r="J48">
        <v>52.426600000000001</v>
      </c>
      <c r="K48" s="12">
        <v>103</v>
      </c>
      <c r="L48">
        <v>8.3234999999999992</v>
      </c>
      <c r="R48" s="12">
        <v>40</v>
      </c>
      <c r="S48">
        <v>7.9222999999999999</v>
      </c>
      <c r="V48" s="12">
        <v>129</v>
      </c>
      <c r="W48">
        <v>45.303800000000003</v>
      </c>
      <c r="X48" s="12">
        <v>106</v>
      </c>
      <c r="Y48">
        <v>6.6676000000000002</v>
      </c>
    </row>
    <row r="49" spans="1:25">
      <c r="A49" s="12" t="s">
        <v>80</v>
      </c>
      <c r="B49">
        <v>2321.3472000000002</v>
      </c>
      <c r="C49" s="12">
        <v>48</v>
      </c>
      <c r="D49">
        <v>81.595299999999995</v>
      </c>
      <c r="E49" s="12">
        <v>94</v>
      </c>
      <c r="F49">
        <v>9.0124999999999993</v>
      </c>
      <c r="G49" s="12">
        <v>106</v>
      </c>
      <c r="H49">
        <v>347.6078</v>
      </c>
      <c r="I49" s="12">
        <v>92</v>
      </c>
      <c r="J49">
        <v>89.751599999999996</v>
      </c>
      <c r="K49" s="12">
        <v>112</v>
      </c>
      <c r="L49">
        <v>8.6593999999999998</v>
      </c>
      <c r="R49" s="12">
        <v>99</v>
      </c>
      <c r="S49">
        <v>8.3064</v>
      </c>
      <c r="V49" s="12">
        <v>131</v>
      </c>
      <c r="W49">
        <v>154.6217</v>
      </c>
      <c r="X49" s="12">
        <v>45</v>
      </c>
      <c r="Y49">
        <v>7.6894999999999998</v>
      </c>
    </row>
    <row r="50" spans="1:25">
      <c r="C50" s="12">
        <v>45</v>
      </c>
      <c r="D50">
        <v>82.393799999999999</v>
      </c>
      <c r="E50" s="12">
        <v>99</v>
      </c>
      <c r="F50">
        <v>9.1219000000000001</v>
      </c>
      <c r="G50" s="12" t="s">
        <v>80</v>
      </c>
      <c r="H50">
        <v>945.60940000000005</v>
      </c>
      <c r="I50" s="12">
        <v>103</v>
      </c>
      <c r="J50">
        <v>91.165599999999998</v>
      </c>
      <c r="K50" s="12">
        <v>106</v>
      </c>
      <c r="L50">
        <v>8.7608999999999995</v>
      </c>
      <c r="R50" s="12">
        <v>98</v>
      </c>
      <c r="S50">
        <v>8.3442000000000007</v>
      </c>
      <c r="V50" s="12">
        <v>128</v>
      </c>
      <c r="W50">
        <v>155.48929999999999</v>
      </c>
      <c r="X50" s="12">
        <v>48</v>
      </c>
      <c r="Y50">
        <v>7.6959999999999997</v>
      </c>
    </row>
    <row r="51" spans="1:25">
      <c r="C51" s="12">
        <v>112</v>
      </c>
      <c r="D51">
        <v>89.335899999999995</v>
      </c>
      <c r="E51" s="12">
        <v>96</v>
      </c>
      <c r="F51">
        <v>9.1531000000000002</v>
      </c>
      <c r="I51" s="12">
        <v>106</v>
      </c>
      <c r="J51">
        <v>98.334299999999999</v>
      </c>
      <c r="K51" s="12">
        <v>96</v>
      </c>
      <c r="L51">
        <v>11.112500000000001</v>
      </c>
      <c r="R51" s="12">
        <v>94</v>
      </c>
      <c r="S51">
        <v>8.3475000000000001</v>
      </c>
      <c r="V51" s="12" t="s">
        <v>80</v>
      </c>
      <c r="W51">
        <v>471.82620000000003</v>
      </c>
      <c r="X51" s="12">
        <v>96</v>
      </c>
      <c r="Y51">
        <v>8.3819999999999997</v>
      </c>
    </row>
    <row r="52" spans="1:25">
      <c r="C52" s="12">
        <v>106</v>
      </c>
      <c r="D52">
        <v>91.573400000000007</v>
      </c>
      <c r="E52" s="12">
        <v>98</v>
      </c>
      <c r="F52">
        <v>9.2015999999999991</v>
      </c>
      <c r="I52" s="12">
        <v>112</v>
      </c>
      <c r="J52">
        <v>98.498500000000007</v>
      </c>
      <c r="K52" s="12">
        <v>101</v>
      </c>
      <c r="L52">
        <v>11.2844</v>
      </c>
      <c r="R52" s="12">
        <v>101</v>
      </c>
      <c r="S52">
        <v>8.4065999999999992</v>
      </c>
      <c r="X52" s="12">
        <v>94</v>
      </c>
      <c r="Y52">
        <v>8.3977000000000004</v>
      </c>
    </row>
    <row r="53" spans="1:25">
      <c r="C53" s="12">
        <v>128</v>
      </c>
      <c r="D53">
        <v>129.63749999999999</v>
      </c>
      <c r="E53" s="12">
        <v>101</v>
      </c>
      <c r="F53">
        <v>9.2453000000000003</v>
      </c>
      <c r="I53" s="12">
        <v>128</v>
      </c>
      <c r="J53">
        <v>144.62809999999999</v>
      </c>
      <c r="K53" s="12">
        <v>94</v>
      </c>
      <c r="L53">
        <v>11.324999999999999</v>
      </c>
      <c r="R53" s="12">
        <v>96</v>
      </c>
      <c r="S53">
        <v>8.4602000000000004</v>
      </c>
      <c r="X53" s="12">
        <v>98</v>
      </c>
      <c r="Y53">
        <v>8.4398</v>
      </c>
    </row>
    <row r="54" spans="1:25">
      <c r="C54" s="12">
        <v>131</v>
      </c>
      <c r="D54">
        <v>132.69059999999999</v>
      </c>
      <c r="E54" s="12">
        <v>108</v>
      </c>
      <c r="F54">
        <v>10.0625</v>
      </c>
      <c r="I54" s="12">
        <v>131</v>
      </c>
      <c r="J54">
        <v>146.17339999999999</v>
      </c>
      <c r="K54" s="12">
        <v>98</v>
      </c>
      <c r="L54">
        <v>11.6203</v>
      </c>
      <c r="R54" s="12">
        <v>108</v>
      </c>
      <c r="S54">
        <v>9.4285999999999994</v>
      </c>
      <c r="X54" s="12">
        <v>101</v>
      </c>
      <c r="Y54">
        <v>8.4400999999999993</v>
      </c>
    </row>
    <row r="55" spans="1:25">
      <c r="C55" s="12">
        <v>101</v>
      </c>
      <c r="D55">
        <v>145.9829</v>
      </c>
      <c r="E55" s="12">
        <v>119</v>
      </c>
      <c r="F55">
        <v>10.1172</v>
      </c>
      <c r="I55" s="12">
        <v>94</v>
      </c>
      <c r="J55">
        <v>160.2047</v>
      </c>
      <c r="K55" s="12">
        <v>109</v>
      </c>
      <c r="L55">
        <v>12.2218</v>
      </c>
      <c r="R55" s="12">
        <v>119</v>
      </c>
      <c r="S55">
        <v>9.4536999999999995</v>
      </c>
      <c r="X55" s="12">
        <v>99</v>
      </c>
      <c r="Y55">
        <v>8.4847999999999999</v>
      </c>
    </row>
    <row r="56" spans="1:25">
      <c r="C56" s="12">
        <v>94</v>
      </c>
      <c r="D56">
        <v>147.45779999999999</v>
      </c>
      <c r="E56" s="12">
        <v>105</v>
      </c>
      <c r="F56">
        <v>10.1829</v>
      </c>
      <c r="I56" s="12">
        <v>96</v>
      </c>
      <c r="J56">
        <v>162.71719999999999</v>
      </c>
      <c r="K56" s="12">
        <v>119</v>
      </c>
      <c r="L56">
        <v>12.2437</v>
      </c>
      <c r="R56" s="12">
        <v>109</v>
      </c>
      <c r="S56">
        <v>9.4770000000000003</v>
      </c>
      <c r="X56" s="12">
        <v>115</v>
      </c>
      <c r="Y56">
        <v>9.3895999999999997</v>
      </c>
    </row>
    <row r="57" spans="1:25">
      <c r="C57" s="12">
        <v>98</v>
      </c>
      <c r="D57">
        <v>147.56870000000001</v>
      </c>
      <c r="E57" s="12">
        <v>109</v>
      </c>
      <c r="F57">
        <v>10.198399999999999</v>
      </c>
      <c r="I57" s="12">
        <v>101</v>
      </c>
      <c r="J57">
        <v>163.13749999999999</v>
      </c>
      <c r="K57" s="12">
        <v>115</v>
      </c>
      <c r="L57">
        <v>12.259399999999999</v>
      </c>
      <c r="R57" s="12">
        <v>105</v>
      </c>
      <c r="S57">
        <v>9.5449000000000002</v>
      </c>
      <c r="X57" s="12">
        <v>119</v>
      </c>
      <c r="Y57">
        <v>9.4</v>
      </c>
    </row>
    <row r="58" spans="1:25">
      <c r="C58" s="12">
        <v>99</v>
      </c>
      <c r="D58">
        <v>148.6328</v>
      </c>
      <c r="E58" s="12">
        <v>114</v>
      </c>
      <c r="F58">
        <v>10.3344</v>
      </c>
      <c r="I58" s="12">
        <v>98</v>
      </c>
      <c r="J58">
        <v>165.28899999999999</v>
      </c>
      <c r="K58" s="12">
        <v>105</v>
      </c>
      <c r="L58">
        <v>12.267200000000001</v>
      </c>
      <c r="R58" s="12">
        <v>115</v>
      </c>
      <c r="S58">
        <v>9.5645000000000007</v>
      </c>
      <c r="X58" s="12">
        <v>114</v>
      </c>
      <c r="Y58">
        <v>9.4693000000000005</v>
      </c>
    </row>
    <row r="59" spans="1:25">
      <c r="C59" s="12">
        <v>96</v>
      </c>
      <c r="D59">
        <v>149.33279999999999</v>
      </c>
      <c r="E59" s="12">
        <v>115</v>
      </c>
      <c r="F59">
        <v>10.390599999999999</v>
      </c>
      <c r="I59" s="12">
        <v>99</v>
      </c>
      <c r="J59">
        <v>172.94380000000001</v>
      </c>
      <c r="K59" s="12">
        <v>114</v>
      </c>
      <c r="L59">
        <v>12.323399999999999</v>
      </c>
      <c r="R59" s="12">
        <v>114</v>
      </c>
      <c r="S59">
        <v>9.6237999999999992</v>
      </c>
      <c r="X59" s="12">
        <v>108</v>
      </c>
      <c r="Y59">
        <v>9.4707000000000008</v>
      </c>
    </row>
    <row r="60" spans="1:25">
      <c r="C60" s="12">
        <v>105</v>
      </c>
      <c r="D60">
        <v>219.52969999999999</v>
      </c>
      <c r="E60" s="12">
        <v>132</v>
      </c>
      <c r="F60">
        <v>11.4953</v>
      </c>
      <c r="I60" s="12">
        <v>109</v>
      </c>
      <c r="J60">
        <v>235.5609</v>
      </c>
      <c r="K60" s="12">
        <v>108</v>
      </c>
      <c r="L60">
        <v>12.4125</v>
      </c>
      <c r="R60" s="12">
        <v>129</v>
      </c>
      <c r="S60">
        <v>10.9787</v>
      </c>
      <c r="X60" s="12">
        <v>109</v>
      </c>
      <c r="Y60">
        <v>9.5609999999999999</v>
      </c>
    </row>
    <row r="61" spans="1:25">
      <c r="C61" s="12">
        <v>119</v>
      </c>
      <c r="D61">
        <v>221.3562</v>
      </c>
      <c r="E61" s="12">
        <v>129</v>
      </c>
      <c r="F61">
        <v>11.5985</v>
      </c>
      <c r="I61" s="12">
        <v>105</v>
      </c>
      <c r="J61">
        <v>236.76560000000001</v>
      </c>
      <c r="K61" s="12">
        <v>99</v>
      </c>
      <c r="L61">
        <v>12.953200000000001</v>
      </c>
      <c r="R61" s="12">
        <v>132</v>
      </c>
      <c r="S61">
        <v>10.992699999999999</v>
      </c>
      <c r="X61" s="12">
        <v>105</v>
      </c>
      <c r="Y61">
        <v>9.5617999999999999</v>
      </c>
    </row>
    <row r="62" spans="1:25">
      <c r="C62" s="12">
        <v>108</v>
      </c>
      <c r="D62">
        <v>224.70939999999999</v>
      </c>
      <c r="E62" s="12">
        <v>118</v>
      </c>
      <c r="F62">
        <v>13.446899999999999</v>
      </c>
      <c r="I62" s="12">
        <v>108</v>
      </c>
      <c r="J62">
        <v>237.3</v>
      </c>
      <c r="K62" s="12">
        <v>129</v>
      </c>
      <c r="L62">
        <v>14.3453</v>
      </c>
      <c r="R62" s="12">
        <v>126</v>
      </c>
      <c r="S62">
        <v>12.3704</v>
      </c>
      <c r="X62" s="12">
        <v>129</v>
      </c>
      <c r="Y62">
        <v>11.0084</v>
      </c>
    </row>
    <row r="63" spans="1:25">
      <c r="C63" s="12">
        <v>109</v>
      </c>
      <c r="D63">
        <v>224.75620000000001</v>
      </c>
      <c r="E63" s="12">
        <v>125</v>
      </c>
      <c r="F63">
        <v>13.4984</v>
      </c>
      <c r="I63" s="12">
        <v>114</v>
      </c>
      <c r="J63">
        <v>238.19069999999999</v>
      </c>
      <c r="K63" s="12">
        <v>132</v>
      </c>
      <c r="L63">
        <v>14.3985</v>
      </c>
      <c r="R63" s="12">
        <v>125</v>
      </c>
      <c r="S63">
        <v>12.424300000000001</v>
      </c>
      <c r="X63" s="12">
        <v>132</v>
      </c>
      <c r="Y63">
        <v>11.017799999999999</v>
      </c>
    </row>
    <row r="64" spans="1:25">
      <c r="C64" s="12">
        <v>114</v>
      </c>
      <c r="D64">
        <v>225.1266</v>
      </c>
      <c r="E64" s="12">
        <v>121</v>
      </c>
      <c r="F64">
        <v>13.5313</v>
      </c>
      <c r="I64" s="12">
        <v>119</v>
      </c>
      <c r="J64">
        <v>238.6078</v>
      </c>
      <c r="K64" s="12">
        <v>123</v>
      </c>
      <c r="L64">
        <v>16.423500000000001</v>
      </c>
      <c r="R64" s="12">
        <v>118</v>
      </c>
      <c r="S64">
        <v>12.510199999999999</v>
      </c>
      <c r="X64" s="12">
        <v>126</v>
      </c>
      <c r="Y64">
        <v>12.415900000000001</v>
      </c>
    </row>
    <row r="65" spans="3:25">
      <c r="C65" s="12">
        <v>115</v>
      </c>
      <c r="D65">
        <v>229.31569999999999</v>
      </c>
      <c r="E65" s="12">
        <v>126</v>
      </c>
      <c r="F65">
        <v>13.607799999999999</v>
      </c>
      <c r="I65" s="12">
        <v>115</v>
      </c>
      <c r="J65">
        <v>238.64529999999999</v>
      </c>
      <c r="K65" s="12">
        <v>125</v>
      </c>
      <c r="L65">
        <v>16.473400000000002</v>
      </c>
      <c r="R65" s="12">
        <v>121</v>
      </c>
      <c r="S65">
        <v>12.557</v>
      </c>
      <c r="X65" s="12">
        <v>125</v>
      </c>
      <c r="Y65">
        <v>12.4191</v>
      </c>
    </row>
    <row r="66" spans="3:25">
      <c r="C66" s="12" t="s">
        <v>80</v>
      </c>
      <c r="D66">
        <v>3877.8816999999999</v>
      </c>
      <c r="E66" s="12">
        <v>123</v>
      </c>
      <c r="F66">
        <v>13.6625</v>
      </c>
      <c r="I66" s="12" t="s">
        <v>80</v>
      </c>
      <c r="J66">
        <v>3045.3189000000002</v>
      </c>
      <c r="K66" s="12">
        <v>126</v>
      </c>
      <c r="L66">
        <v>16.476600000000001</v>
      </c>
      <c r="R66" s="12">
        <v>123</v>
      </c>
      <c r="S66">
        <v>12.6286</v>
      </c>
      <c r="X66" s="12">
        <v>118</v>
      </c>
      <c r="Y66">
        <v>12.4376</v>
      </c>
    </row>
    <row r="67" spans="3:25">
      <c r="E67" s="12">
        <v>48</v>
      </c>
      <c r="F67">
        <v>18.259399999999999</v>
      </c>
      <c r="K67" s="12">
        <v>121</v>
      </c>
      <c r="L67">
        <v>16.5656</v>
      </c>
      <c r="R67" s="12">
        <v>128</v>
      </c>
      <c r="S67">
        <v>28.084299999999999</v>
      </c>
      <c r="X67" s="12">
        <v>123</v>
      </c>
      <c r="Y67">
        <v>12.457599999999999</v>
      </c>
    </row>
    <row r="68" spans="3:25">
      <c r="E68" s="12">
        <v>45</v>
      </c>
      <c r="F68">
        <v>18.278199999999998</v>
      </c>
      <c r="K68" s="12">
        <v>118</v>
      </c>
      <c r="L68">
        <v>16.587499999999999</v>
      </c>
      <c r="R68" s="12">
        <v>131</v>
      </c>
      <c r="S68">
        <v>28.3124</v>
      </c>
      <c r="X68" s="12">
        <v>121</v>
      </c>
      <c r="Y68">
        <v>12.4582</v>
      </c>
    </row>
    <row r="69" spans="3:25">
      <c r="E69" s="12">
        <v>128</v>
      </c>
      <c r="F69">
        <v>23.176600000000001</v>
      </c>
      <c r="K69" s="12">
        <v>131</v>
      </c>
      <c r="L69">
        <v>28.263999999999999</v>
      </c>
      <c r="R69" s="12" t="s">
        <v>80</v>
      </c>
      <c r="S69">
        <v>414.51420000000002</v>
      </c>
      <c r="X69" s="12">
        <v>128</v>
      </c>
      <c r="Y69">
        <v>28.264099999999999</v>
      </c>
    </row>
    <row r="70" spans="3:25">
      <c r="E70" s="12">
        <v>131</v>
      </c>
      <c r="F70">
        <v>23.265599999999999</v>
      </c>
      <c r="K70" s="12">
        <v>128</v>
      </c>
      <c r="L70">
        <v>28.548500000000001</v>
      </c>
      <c r="X70" s="12">
        <v>131</v>
      </c>
      <c r="Y70">
        <v>28.362500000000001</v>
      </c>
    </row>
    <row r="71" spans="3:25">
      <c r="E71" s="12" t="s">
        <v>80</v>
      </c>
      <c r="F71">
        <v>468.6318</v>
      </c>
      <c r="K71" s="12" t="s">
        <v>80</v>
      </c>
      <c r="L71">
        <v>369.68670000000003</v>
      </c>
      <c r="X71" s="12" t="s">
        <v>80</v>
      </c>
      <c r="Y71">
        <v>328.09960000000007</v>
      </c>
    </row>
  </sheetData>
  <conditionalFormatting sqref="A4:A70 C4:C70 E4:E70 G4:G70 I4:I70 K4:K70 N4:N70 P4:P70 R4:R70 T4:T70 V4:V70 X4:X7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27E-57D1-4D36-8096-9DD55CE387D0}">
  <dimension ref="A1:BF70"/>
  <sheetViews>
    <sheetView topLeftCell="AG2" zoomScale="85" zoomScaleNormal="85" workbookViewId="0">
      <selection activeCell="BF70" sqref="BF2:BF70"/>
    </sheetView>
  </sheetViews>
  <sheetFormatPr defaultRowHeight="15"/>
  <cols>
    <col min="1" max="1" width="4.42578125" customWidth="1"/>
    <col min="2" max="7" width="10.85546875" bestFit="1" customWidth="1"/>
    <col min="8" max="13" width="11" bestFit="1" customWidth="1"/>
    <col min="15" max="15" width="8.42578125" customWidth="1"/>
  </cols>
  <sheetData>
    <row r="1" spans="1:58">
      <c r="B1" s="35" t="s">
        <v>93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35" t="s">
        <v>95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S1" s="33" t="s">
        <v>142</v>
      </c>
      <c r="AT1" s="33"/>
      <c r="AU1" s="33"/>
      <c r="AV1" s="33"/>
      <c r="AW1" s="5"/>
      <c r="AX1" s="33" t="s">
        <v>141</v>
      </c>
      <c r="AY1" s="33"/>
      <c r="AZ1" s="33"/>
      <c r="BA1" s="33"/>
      <c r="BB1" s="5"/>
    </row>
    <row r="2" spans="1:58"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75</v>
      </c>
      <c r="J2" s="8" t="s">
        <v>76</v>
      </c>
      <c r="K2" s="8" t="s">
        <v>77</v>
      </c>
      <c r="L2" s="8" t="s">
        <v>78</v>
      </c>
      <c r="M2" s="8" t="s">
        <v>79</v>
      </c>
      <c r="N2" s="8" t="s">
        <v>94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94</v>
      </c>
      <c r="AD2" s="29" t="s">
        <v>136</v>
      </c>
      <c r="AE2" s="29" t="s">
        <v>136</v>
      </c>
      <c r="AF2" s="29" t="s">
        <v>136</v>
      </c>
      <c r="AG2" s="29" t="s">
        <v>136</v>
      </c>
      <c r="AH2" s="29" t="s">
        <v>136</v>
      </c>
      <c r="AI2" s="29" t="s">
        <v>136</v>
      </c>
      <c r="AJ2" s="29" t="s">
        <v>136</v>
      </c>
      <c r="AK2" s="29" t="s">
        <v>136</v>
      </c>
      <c r="AL2" s="29" t="s">
        <v>136</v>
      </c>
      <c r="AM2" s="29" t="s">
        <v>136</v>
      </c>
      <c r="AN2" s="29" t="s">
        <v>136</v>
      </c>
      <c r="AO2" s="29" t="s">
        <v>136</v>
      </c>
      <c r="AP2" s="29" t="s">
        <v>136</v>
      </c>
      <c r="AS2" s="8" t="s">
        <v>137</v>
      </c>
      <c r="AT2" s="8" t="s">
        <v>138</v>
      </c>
      <c r="AU2" s="8" t="s">
        <v>139</v>
      </c>
      <c r="AV2" s="8" t="s">
        <v>140</v>
      </c>
      <c r="AW2" s="8"/>
      <c r="AX2" s="8" t="s">
        <v>137</v>
      </c>
      <c r="AY2" s="8" t="s">
        <v>138</v>
      </c>
      <c r="AZ2" s="8" t="s">
        <v>139</v>
      </c>
      <c r="BA2" s="8" t="s">
        <v>140</v>
      </c>
      <c r="BB2" s="8"/>
      <c r="BC2" s="29" t="s">
        <v>143</v>
      </c>
      <c r="BD2" s="29" t="s">
        <v>143</v>
      </c>
      <c r="BE2" s="29" t="s">
        <v>143</v>
      </c>
      <c r="BF2" s="29" t="s">
        <v>143</v>
      </c>
    </row>
    <row r="3" spans="1:58">
      <c r="A3">
        <v>1</v>
      </c>
      <c r="B3">
        <f>IF(OR(Sorting!B4=0,Sorting!A4="Grand Total"),NA(),Sorting!B4)</f>
        <v>1.61E-2</v>
      </c>
      <c r="C3">
        <f>IF(OR(Sorting!D4=0,Sorting!C4="Grand Total"),NA(),Sorting!D4)</f>
        <v>1.5599999999999999E-2</v>
      </c>
      <c r="D3">
        <f>IF(OR(Sorting!F4=0,Sorting!E4="Grand Total"),NA(),Sorting!F4)</f>
        <v>1.5599999999999999E-2</v>
      </c>
      <c r="E3">
        <f>IF(OR(Sorting!H4=0,Sorting!G4="Grand Total"),NA(),Sorting!H4)</f>
        <v>1.5599999999999999E-2</v>
      </c>
      <c r="F3">
        <f>IF(OR(Sorting!J4=0,Sorting!I4="Grand Total"),NA(),Sorting!J4)</f>
        <v>1.5599999999999999E-2</v>
      </c>
      <c r="G3">
        <f>IF(OR(Sorting!L4=0,Sorting!K4="Grand Total"),NA(),Sorting!L4)</f>
        <v>1.4E-2</v>
      </c>
      <c r="H3">
        <f>IF(OR(Sorting!O4=0,Sorting!N4="Grand Total"),NA(),Sorting!O4)</f>
        <v>4.8500000000000001E-2</v>
      </c>
      <c r="I3">
        <f>IF(OR(Sorting!Q4=0,Sorting!P4="Grand Total"),NA(),Sorting!Q4)</f>
        <v>4.8500000000000001E-2</v>
      </c>
      <c r="J3">
        <f>IF(OR(Sorting!S4=0,Sorting!R4="Grand Total"),NA(),Sorting!S4)</f>
        <v>4.8399999999999999E-2</v>
      </c>
      <c r="K3">
        <f>IF(OR(Sorting!U4=0,Sorting!T4="Grand Total"),NA(),Sorting!U4)</f>
        <v>5.4600000000000003E-2</v>
      </c>
      <c r="L3">
        <f>IF(OR(Sorting!W4=0,Sorting!V4="Grand Total"),NA(),Sorting!W4)</f>
        <v>5.6599999999999998E-2</v>
      </c>
      <c r="M3">
        <f>IF(OR(Sorting!Y4=0,Sorting!X4="Grand Total"),NA(),Sorting!Y4)</f>
        <v>5.5399999999999998E-2</v>
      </c>
      <c r="N3">
        <f>MIN(_xlfn.IFNA(B3,99999),_xlfn.IFNA(C3,99999),_xlfn.IFNA(D3,99999),_xlfn.IFNA(E3,99999),_xlfn.IFNA(F3,99999),_xlfn.IFNA(G3,99999),_xlfn.IFNA(H3,99999),_xlfn.IFNA(I3,99999),_xlfn.IFNA(J3,99999),_xlfn.IFNA(K3,99999),_xlfn.IFNA(L3,99999),_xlfn.IFNA(M3,99999))</f>
        <v>1.4E-2</v>
      </c>
      <c r="O3">
        <v>1</v>
      </c>
      <c r="P3">
        <f>LOG10(SUM(B$3:B3))</f>
        <v>-1.7931741239681502</v>
      </c>
      <c r="Q3">
        <f>LOG10(SUM(C$3:C3))</f>
        <v>-1.8068754016455384</v>
      </c>
      <c r="R3">
        <f>LOG10(SUM(D$3:D3))</f>
        <v>-1.8068754016455384</v>
      </c>
      <c r="S3">
        <f>LOG10(SUM(E$3:E3))</f>
        <v>-1.8068754016455384</v>
      </c>
      <c r="T3">
        <f>LOG10(SUM(F$3:F3))</f>
        <v>-1.8068754016455384</v>
      </c>
      <c r="U3">
        <f>LOG10(SUM(G$3:G3))</f>
        <v>-1.853871964321762</v>
      </c>
      <c r="V3">
        <f>LOG10(SUM(H$3:H3))</f>
        <v>-1.3142582613977363</v>
      </c>
      <c r="W3">
        <f>LOG10(SUM(I$3:I3))</f>
        <v>-1.3142582613977363</v>
      </c>
      <c r="X3">
        <f>LOG10(SUM(J$3:J3))</f>
        <v>-1.3151546383555874</v>
      </c>
      <c r="Y3">
        <f>LOG10(SUM(K$3:K3))</f>
        <v>-1.2628073572952627</v>
      </c>
      <c r="Z3">
        <f>LOG10(SUM(L$3:L3))</f>
        <v>-1.2471835688117285</v>
      </c>
      <c r="AA3">
        <f>LOG10(SUM(M$3:M3))</f>
        <v>-1.2564902352715703</v>
      </c>
      <c r="AB3">
        <f>LOG10(SUM(N$3:N3))</f>
        <v>-1.853871964321762</v>
      </c>
      <c r="AD3" t="str">
        <f>_xlfn.IFNA("("&amp;$O3&amp;","&amp;P3&amp;")","")</f>
        <v>(1,-1.79317412396815)</v>
      </c>
      <c r="AE3" t="str">
        <f t="shared" ref="AE3:AP18" si="0">_xlfn.IFNA("("&amp;$O3&amp;","&amp;Q3&amp;")","")</f>
        <v>(1,-1.80687540164554)</v>
      </c>
      <c r="AF3" t="str">
        <f t="shared" si="0"/>
        <v>(1,-1.80687540164554)</v>
      </c>
      <c r="AG3" t="str">
        <f t="shared" si="0"/>
        <v>(1,-1.80687540164554)</v>
      </c>
      <c r="AH3" t="str">
        <f t="shared" si="0"/>
        <v>(1,-1.80687540164554)</v>
      </c>
      <c r="AI3" t="str">
        <f t="shared" si="0"/>
        <v>(1,-1.85387196432176)</v>
      </c>
      <c r="AJ3" t="str">
        <f t="shared" si="0"/>
        <v>(1,-1.31425826139774)</v>
      </c>
      <c r="AK3" t="str">
        <f t="shared" si="0"/>
        <v>(1,-1.31425826139774)</v>
      </c>
      <c r="AL3" t="str">
        <f t="shared" si="0"/>
        <v>(1,-1.31515463835559)</v>
      </c>
      <c r="AM3" t="str">
        <f t="shared" si="0"/>
        <v>(1,-1.26280735729526)</v>
      </c>
      <c r="AN3" t="str">
        <f t="shared" si="0"/>
        <v>(1,-1.24718356881173)</v>
      </c>
      <c r="AO3" t="str">
        <f t="shared" si="0"/>
        <v>(1,-1.25649023527157)</v>
      </c>
      <c r="AP3" t="str">
        <f t="shared" si="0"/>
        <v>(1,-1.85387196432176)</v>
      </c>
      <c r="AS3">
        <f>MIN(_xlfn.IFNA(B3,99999),_xlfn.IFNA(C3,99999),_xlfn.IFNA(D3,99999),_xlfn.IFNA(H3,99999),_xlfn.IFNA(I3,99999),_xlfn.IFNA(J3,99999))</f>
        <v>1.5599999999999999E-2</v>
      </c>
      <c r="AT3">
        <f>MIN(_xlfn.IFNA(E3,99999),_xlfn.IFNA(F3,99999),_xlfn.IFNA(G3,99999),_xlfn.IFNA(K3,99999),_xlfn.IFNA(L3,99999),_xlfn.IFNA(M3,99999))</f>
        <v>1.4E-2</v>
      </c>
      <c r="AU3">
        <f>MIN(_xlfn.IFNA(B3,99999),_xlfn.IFNA(C3,99999),_xlfn.IFNA(D3,99999),_xlfn.IFNA(E3,99999),_xlfn.IFNA(F3,99999),_xlfn.IFNA(G3,99999))</f>
        <v>1.4E-2</v>
      </c>
      <c r="AV3">
        <f>MIN(_xlfn.IFNA(H3,99999),_xlfn.IFNA(I3,99999),_xlfn.IFNA(J3,99999),_xlfn.IFNA(K3,99999),_xlfn.IFNA(L3,99999),_xlfn.IFNA(M3,99999))</f>
        <v>4.8399999999999999E-2</v>
      </c>
      <c r="AX3">
        <f>LOG10(SUM(AS$3:AS3))</f>
        <v>-1.8068754016455384</v>
      </c>
      <c r="AY3">
        <f>LOG10(SUM(AT$3:AT3))</f>
        <v>-1.853871964321762</v>
      </c>
      <c r="AZ3">
        <f>LOG10(SUM(AU$3:AU3))</f>
        <v>-1.853871964321762</v>
      </c>
      <c r="BA3">
        <f>LOG10(SUM(AV$3:AV3))</f>
        <v>-1.3151546383555874</v>
      </c>
      <c r="BC3" t="str">
        <f>_xlfn.IFNA("("&amp;$O3&amp;","&amp;AX3&amp;")","")</f>
        <v>(1,-1.80687540164554)</v>
      </c>
      <c r="BD3" t="str">
        <f t="shared" ref="BD3:BF3" si="1">_xlfn.IFNA("("&amp;$O3&amp;","&amp;AY3&amp;")","")</f>
        <v>(1,-1.85387196432176)</v>
      </c>
      <c r="BE3" t="str">
        <f t="shared" si="1"/>
        <v>(1,-1.85387196432176)</v>
      </c>
      <c r="BF3" t="str">
        <f t="shared" si="1"/>
        <v>(1,-1.31515463835559)</v>
      </c>
    </row>
    <row r="4" spans="1:58">
      <c r="A4">
        <v>2</v>
      </c>
      <c r="B4">
        <f>IF(OR(Sorting!B5=0,Sorting!A5="Grand Total"),NA(),Sorting!B5)</f>
        <v>1.66E-2</v>
      </c>
      <c r="C4">
        <f>IF(OR(Sorting!D5=0,Sorting!C5="Grand Total"),NA(),Sorting!D5)</f>
        <v>1.5599999999999999E-2</v>
      </c>
      <c r="D4">
        <f>IF(OR(Sorting!F5=0,Sorting!E5="Grand Total"),NA(),Sorting!F5)</f>
        <v>1.5599999999999999E-2</v>
      </c>
      <c r="E4">
        <f>IF(OR(Sorting!H5=0,Sorting!G5="Grand Total"),NA(),Sorting!H5)</f>
        <v>1.5599999999999999E-2</v>
      </c>
      <c r="F4">
        <f>IF(OR(Sorting!J5=0,Sorting!I5="Grand Total"),NA(),Sorting!J5)</f>
        <v>1.5599999999999999E-2</v>
      </c>
      <c r="G4">
        <f>IF(OR(Sorting!L5=0,Sorting!K5="Grand Total"),NA(),Sorting!L5)</f>
        <v>1.5599999999999999E-2</v>
      </c>
      <c r="H4">
        <f>IF(OR(Sorting!O5=0,Sorting!N5="Grand Total"),NA(),Sorting!O5)</f>
        <v>4.8599999999999997E-2</v>
      </c>
      <c r="I4">
        <f>IF(OR(Sorting!Q5=0,Sorting!P5="Grand Total"),NA(),Sorting!Q5)</f>
        <v>0.05</v>
      </c>
      <c r="J4">
        <f>IF(OR(Sorting!S5=0,Sorting!R5="Grand Total"),NA(),Sorting!S5)</f>
        <v>4.9000000000000002E-2</v>
      </c>
      <c r="K4">
        <f>IF(OR(Sorting!U5=0,Sorting!T5="Grand Total"),NA(),Sorting!U5)</f>
        <v>5.5100000000000003E-2</v>
      </c>
      <c r="L4">
        <f>IF(OR(Sorting!W5=0,Sorting!V5="Grand Total"),NA(),Sorting!W5)</f>
        <v>5.7099999999999998E-2</v>
      </c>
      <c r="M4">
        <f>IF(OR(Sorting!Y5=0,Sorting!X5="Grand Total"),NA(),Sorting!Y5)</f>
        <v>5.5899999999999998E-2</v>
      </c>
      <c r="N4">
        <f t="shared" ref="N4:N67" si="2">MIN(_xlfn.IFNA(B4,99999),_xlfn.IFNA(C4,99999),_xlfn.IFNA(D4,99999),_xlfn.IFNA(E4,99999),_xlfn.IFNA(F4,99999),_xlfn.IFNA(G4,99999),_xlfn.IFNA(H4,99999),_xlfn.IFNA(I4,99999),_xlfn.IFNA(J4,99999),_xlfn.IFNA(K4,99999),_xlfn.IFNA(L4,99999),_xlfn.IFNA(M4,99999))</f>
        <v>1.5599999999999999E-2</v>
      </c>
      <c r="O4">
        <v>2</v>
      </c>
      <c r="P4">
        <f>IF(OR(LOG10(SUM(B$3:B4))=P3,P3=""),NA(),LOG10(SUM(B$3:B4)))</f>
        <v>-1.485452247339714</v>
      </c>
      <c r="Q4">
        <f>IF(OR(LOG10(SUM(C$3:C4))=Q3,Q3=""),NA(),LOG10(SUM(C$3:C4)))</f>
        <v>-1.5058454059815571</v>
      </c>
      <c r="R4">
        <f>IF(OR(LOG10(SUM(D$3:D4))=R3,R3=""),NA(),LOG10(SUM(D$3:D4)))</f>
        <v>-1.5058454059815571</v>
      </c>
      <c r="S4">
        <f>IF(OR(LOG10(SUM(E$3:E4))=S3,S3=""),NA(),LOG10(SUM(E$3:E4)))</f>
        <v>-1.5058454059815571</v>
      </c>
      <c r="T4">
        <f>IF(OR(LOG10(SUM(F$3:F4))=T3,T3=""),NA(),LOG10(SUM(F$3:F4)))</f>
        <v>-1.5058454059815571</v>
      </c>
      <c r="U4">
        <f>IF(OR(LOG10(SUM(G$3:G4))=U3,U3=""),NA(),LOG10(SUM(G$3:G4)))</f>
        <v>-1.5287082889410615</v>
      </c>
      <c r="V4">
        <f>IF(OR(LOG10(SUM(H$3:H4))=V3,V3=""),NA(),LOG10(SUM(H$3:H4)))</f>
        <v>-1.0127807700919951</v>
      </c>
      <c r="W4">
        <f>IF(OR(LOG10(SUM(I$3:I4))=W3,W3=""),NA(),LOG10(SUM(I$3:I4)))</f>
        <v>-1.0065637695023884</v>
      </c>
      <c r="X4">
        <f>IF(OR(LOG10(SUM(J$3:J4))=X3,X3=""),NA(),LOG10(SUM(J$3:J4)))</f>
        <v>-1.0114410431213845</v>
      </c>
      <c r="Y4">
        <f>IF(OR(LOG10(SUM(K$3:K4))=Y3,Y3=""),NA(),LOG10(SUM(K$3:K4)))</f>
        <v>-0.95979337242528884</v>
      </c>
      <c r="Z4">
        <f>IF(OR(LOG10(SUM(L$3:L4))=Z3,Z3=""),NA(),LOG10(SUM(L$3:L4)))</f>
        <v>-0.94423953531226523</v>
      </c>
      <c r="AA4">
        <f>IF(OR(LOG10(SUM(M$3:M4))=AA3,AA3=""),NA(),LOG10(SUM(M$3:M4)))</f>
        <v>-0.95350483566529165</v>
      </c>
      <c r="AB4">
        <f>IF(OR(LOG10(SUM(N$3:N4))=AB3,AB3=""),NA(),LOG10(SUM(N$3:N4)))</f>
        <v>-1.5287082889410615</v>
      </c>
      <c r="AD4" t="str">
        <f t="shared" ref="AD4:AP37" si="3">_xlfn.IFNA("("&amp;$O4&amp;","&amp;P4&amp;")","")</f>
        <v>(2,-1.48545224733971)</v>
      </c>
      <c r="AE4" t="str">
        <f t="shared" si="0"/>
        <v>(2,-1.50584540598156)</v>
      </c>
      <c r="AF4" t="str">
        <f t="shared" si="0"/>
        <v>(2,-1.50584540598156)</v>
      </c>
      <c r="AG4" t="str">
        <f t="shared" si="0"/>
        <v>(2,-1.50584540598156)</v>
      </c>
      <c r="AH4" t="str">
        <f t="shared" si="0"/>
        <v>(2,-1.50584540598156)</v>
      </c>
      <c r="AI4" t="str">
        <f t="shared" si="0"/>
        <v>(2,-1.52870828894106)</v>
      </c>
      <c r="AJ4" t="str">
        <f t="shared" si="0"/>
        <v>(2,-1.012780770092)</v>
      </c>
      <c r="AK4" t="str">
        <f t="shared" si="0"/>
        <v>(2,-1.00656376950239)</v>
      </c>
      <c r="AL4" t="str">
        <f t="shared" si="0"/>
        <v>(2,-1.01144104312138)</v>
      </c>
      <c r="AM4" t="str">
        <f t="shared" si="0"/>
        <v>(2,-0.959793372425289)</v>
      </c>
      <c r="AN4" t="str">
        <f t="shared" si="0"/>
        <v>(2,-0.944239535312265)</v>
      </c>
      <c r="AO4" t="str">
        <f t="shared" si="0"/>
        <v>(2,-0.953504835665292)</v>
      </c>
      <c r="AP4" t="str">
        <f t="shared" si="0"/>
        <v>(2,-1.52870828894106)</v>
      </c>
      <c r="AS4">
        <f t="shared" ref="AS4:AS67" si="4">MIN(_xlfn.IFNA(B4,99999),_xlfn.IFNA(C4,99999),_xlfn.IFNA(D4,99999),_xlfn.IFNA(H4,99999),_xlfn.IFNA(I4,99999),_xlfn.IFNA(J4,99999))</f>
        <v>1.5599999999999999E-2</v>
      </c>
      <c r="AT4">
        <f t="shared" ref="AT4:AT67" si="5">MIN(_xlfn.IFNA(E4,99999),_xlfn.IFNA(F4,99999),_xlfn.IFNA(G4,99999),_xlfn.IFNA(K4,99999),_xlfn.IFNA(L4,99999),_xlfn.IFNA(M4,99999))</f>
        <v>1.5599999999999999E-2</v>
      </c>
      <c r="AU4">
        <f t="shared" ref="AU4:AU67" si="6">MIN(_xlfn.IFNA(B4,99999),_xlfn.IFNA(C4,99999),_xlfn.IFNA(D4,99999),_xlfn.IFNA(E4,99999),_xlfn.IFNA(F4,99999),_xlfn.IFNA(G4,99999))</f>
        <v>1.5599999999999999E-2</v>
      </c>
      <c r="AV4">
        <f t="shared" ref="AV4:AV67" si="7">MIN(_xlfn.IFNA(H4,99999),_xlfn.IFNA(I4,99999),_xlfn.IFNA(J4,99999),_xlfn.IFNA(K4,99999),_xlfn.IFNA(L4,99999),_xlfn.IFNA(M4,99999))</f>
        <v>4.8599999999999997E-2</v>
      </c>
      <c r="AX4">
        <f>LOG10(SUM(AS$3:AS4))</f>
        <v>-1.5058454059815571</v>
      </c>
      <c r="AY4">
        <f>LOG10(SUM(AT$3:AT4))</f>
        <v>-1.5287082889410615</v>
      </c>
      <c r="AZ4">
        <f>LOG10(SUM(AU$3:AU4))</f>
        <v>-1.5287082889410615</v>
      </c>
      <c r="BA4">
        <f>LOG10(SUM(AV$3:AV4))</f>
        <v>-1.0132282657337552</v>
      </c>
      <c r="BC4" t="str">
        <f t="shared" ref="BC4:BC67" si="8">_xlfn.IFNA("("&amp;$O4&amp;","&amp;AX4&amp;")","")</f>
        <v>(2,-1.50584540598156)</v>
      </c>
      <c r="BD4" t="str">
        <f t="shared" ref="BD4:BD67" si="9">_xlfn.IFNA("("&amp;$O4&amp;","&amp;AY4&amp;")","")</f>
        <v>(2,-1.52870828894106)</v>
      </c>
      <c r="BE4" t="str">
        <f t="shared" ref="BE4:BE67" si="10">_xlfn.IFNA("("&amp;$O4&amp;","&amp;AZ4&amp;")","")</f>
        <v>(2,-1.52870828894106)</v>
      </c>
      <c r="BF4" t="str">
        <f t="shared" ref="BF4:BF67" si="11">_xlfn.IFNA("("&amp;$O4&amp;","&amp;BA4&amp;")","")</f>
        <v>(2,-1.01322826573376)</v>
      </c>
    </row>
    <row r="5" spans="1:58">
      <c r="A5">
        <v>3</v>
      </c>
      <c r="B5">
        <f>IF(OR(Sorting!B6=0,Sorting!A6="Grand Total"),NA(),Sorting!B6)</f>
        <v>1.72E-2</v>
      </c>
      <c r="C5">
        <f>IF(OR(Sorting!D6=0,Sorting!C6="Grand Total"),NA(),Sorting!D6)</f>
        <v>1.5599999999999999E-2</v>
      </c>
      <c r="D5">
        <f>IF(OR(Sorting!F6=0,Sorting!E6="Grand Total"),NA(),Sorting!F6)</f>
        <v>1.72E-2</v>
      </c>
      <c r="E5">
        <f>IF(OR(Sorting!H6=0,Sorting!G6="Grand Total"),NA(),Sorting!H6)</f>
        <v>1.5599999999999999E-2</v>
      </c>
      <c r="F5">
        <f>IF(OR(Sorting!J6=0,Sorting!I6="Grand Total"),NA(),Sorting!J6)</f>
        <v>1.5599999999999999E-2</v>
      </c>
      <c r="G5">
        <f>IF(OR(Sorting!L6=0,Sorting!K6="Grand Total"),NA(),Sorting!L6)</f>
        <v>1.5599999999999999E-2</v>
      </c>
      <c r="H5">
        <f>IF(OR(Sorting!O6=0,Sorting!N6="Grand Total"),NA(),Sorting!O6)</f>
        <v>4.9099999999999998E-2</v>
      </c>
      <c r="I5">
        <f>IF(OR(Sorting!Q6=0,Sorting!P6="Grand Total"),NA(),Sorting!Q6)</f>
        <v>5.0900000000000001E-2</v>
      </c>
      <c r="J5">
        <f>IF(OR(Sorting!S6=0,Sorting!R6="Grand Total"),NA(),Sorting!S6)</f>
        <v>4.9599999999999998E-2</v>
      </c>
      <c r="K5">
        <f>IF(OR(Sorting!U6=0,Sorting!T6="Grand Total"),NA(),Sorting!U6)</f>
        <v>5.57E-2</v>
      </c>
      <c r="L5">
        <f>IF(OR(Sorting!W6=0,Sorting!V6="Grand Total"),NA(),Sorting!W6)</f>
        <v>6.3700000000000007E-2</v>
      </c>
      <c r="M5">
        <f>IF(OR(Sorting!Y6=0,Sorting!X6="Grand Total"),NA(),Sorting!Y6)</f>
        <v>5.6500000000000002E-2</v>
      </c>
      <c r="N5">
        <f t="shared" si="2"/>
        <v>1.5599999999999999E-2</v>
      </c>
      <c r="O5">
        <v>3</v>
      </c>
      <c r="P5">
        <f>IF(OR(LOG10(SUM(B$3:B5))=P4,P4=""),NA(),LOG10(SUM(B$3:B5)))</f>
        <v>-1.30189945437661</v>
      </c>
      <c r="Q5">
        <f>IF(OR(LOG10(SUM(C$3:C5))=Q4,Q4=""),NA(),LOG10(SUM(C$3:C5)))</f>
        <v>-1.329754146925876</v>
      </c>
      <c r="R5">
        <f>IF(OR(LOG10(SUM(D$3:D5))=R4,R4=""),NA(),LOG10(SUM(D$3:D5)))</f>
        <v>-1.3151546383555874</v>
      </c>
      <c r="S5">
        <f>IF(OR(LOG10(SUM(E$3:E5))=S4,S4=""),NA(),LOG10(SUM(E$3:E5)))</f>
        <v>-1.329754146925876</v>
      </c>
      <c r="T5">
        <f>IF(OR(LOG10(SUM(F$3:F5))=T4,T4=""),NA(),LOG10(SUM(F$3:F5)))</f>
        <v>-1.329754146925876</v>
      </c>
      <c r="U5">
        <f>IF(OR(LOG10(SUM(G$3:G5))=U4,U4=""),NA(),LOG10(SUM(G$3:G5)))</f>
        <v>-1.3448615651886178</v>
      </c>
      <c r="V5">
        <f>IF(OR(LOG10(SUM(H$3:H5))=V4,V4=""),NA(),LOG10(SUM(H$3:H5)))</f>
        <v>-0.83505262737815833</v>
      </c>
      <c r="W5">
        <f>IF(OR(LOG10(SUM(I$3:I5))=W4,W4=""),NA(),LOG10(SUM(I$3:I5)))</f>
        <v>-0.82564940252062002</v>
      </c>
      <c r="X5">
        <f>IF(OR(LOG10(SUM(J$3:J5))=X4,X4=""),NA(),LOG10(SUM(J$3:J5)))</f>
        <v>-0.83268266525182388</v>
      </c>
      <c r="Y5">
        <f>IF(OR(LOG10(SUM(K$3:K5))=Y4,Y4=""),NA(),LOG10(SUM(K$3:K5)))</f>
        <v>-0.78146449478347213</v>
      </c>
      <c r="Z5">
        <f>IF(OR(LOG10(SUM(L$3:L5))=Z4,Z4=""),NA(),LOG10(SUM(L$3:L5)))</f>
        <v>-0.7510463845042924</v>
      </c>
      <c r="AA5">
        <f>IF(OR(LOG10(SUM(M$3:M5))=AA4,AA4=""),NA(),LOG10(SUM(M$3:M5)))</f>
        <v>-0.77520804350731853</v>
      </c>
      <c r="AB5">
        <f>IF(OR(LOG10(SUM(N$3:N5))=AB4,AB4=""),NA(),LOG10(SUM(N$3:N5)))</f>
        <v>-1.3448615651886178</v>
      </c>
      <c r="AD5" t="str">
        <f t="shared" si="3"/>
        <v>(3,-1.30189945437661)</v>
      </c>
      <c r="AE5" t="str">
        <f t="shared" si="0"/>
        <v>(3,-1.32975414692588)</v>
      </c>
      <c r="AF5" t="str">
        <f t="shared" si="0"/>
        <v>(3,-1.31515463835559)</v>
      </c>
      <c r="AG5" t="str">
        <f t="shared" si="0"/>
        <v>(3,-1.32975414692588)</v>
      </c>
      <c r="AH5" t="str">
        <f t="shared" si="0"/>
        <v>(3,-1.32975414692588)</v>
      </c>
      <c r="AI5" t="str">
        <f t="shared" si="0"/>
        <v>(3,-1.34486156518862)</v>
      </c>
      <c r="AJ5" t="str">
        <f t="shared" si="0"/>
        <v>(3,-0.835052627378158)</v>
      </c>
      <c r="AK5" t="str">
        <f t="shared" si="0"/>
        <v>(3,-0.82564940252062)</v>
      </c>
      <c r="AL5" t="str">
        <f t="shared" si="0"/>
        <v>(3,-0.832682665251824)</v>
      </c>
      <c r="AM5" t="str">
        <f t="shared" si="0"/>
        <v>(3,-0.781464494783472)</v>
      </c>
      <c r="AN5" t="str">
        <f t="shared" si="0"/>
        <v>(3,-0.751046384504292)</v>
      </c>
      <c r="AO5" t="str">
        <f t="shared" si="0"/>
        <v>(3,-0.775208043507319)</v>
      </c>
      <c r="AP5" t="str">
        <f t="shared" si="0"/>
        <v>(3,-1.34486156518862)</v>
      </c>
      <c r="AS5">
        <f t="shared" si="4"/>
        <v>1.5599999999999999E-2</v>
      </c>
      <c r="AT5">
        <f t="shared" si="5"/>
        <v>1.5599999999999999E-2</v>
      </c>
      <c r="AU5">
        <f t="shared" si="6"/>
        <v>1.5599999999999999E-2</v>
      </c>
      <c r="AV5">
        <f t="shared" si="7"/>
        <v>4.9099999999999998E-2</v>
      </c>
      <c r="AX5">
        <f>LOG10(SUM(AS$3:AS5))</f>
        <v>-1.329754146925876</v>
      </c>
      <c r="AY5">
        <f>LOG10(SUM(AT$3:AT5))</f>
        <v>-1.3448615651886178</v>
      </c>
      <c r="AZ5">
        <f>LOG10(SUM(AU$3:AU5))</f>
        <v>-1.3448615651886178</v>
      </c>
      <c r="BA5">
        <f>LOG10(SUM(AV$3:AV5))</f>
        <v>-0.83534978406570326</v>
      </c>
      <c r="BC5" t="str">
        <f t="shared" si="8"/>
        <v>(3,-1.32975414692588)</v>
      </c>
      <c r="BD5" t="str">
        <f t="shared" si="9"/>
        <v>(3,-1.34486156518862)</v>
      </c>
      <c r="BE5" t="str">
        <f t="shared" si="10"/>
        <v>(3,-1.34486156518862)</v>
      </c>
      <c r="BF5" t="str">
        <f t="shared" si="11"/>
        <v>(3,-0.835349784065703)</v>
      </c>
    </row>
    <row r="6" spans="1:58">
      <c r="A6">
        <v>4</v>
      </c>
      <c r="B6">
        <f>IF(OR(Sorting!B7=0,Sorting!A7="Grand Total"),NA(),Sorting!B7)</f>
        <v>1.72E-2</v>
      </c>
      <c r="C6">
        <f>IF(OR(Sorting!D7=0,Sorting!C7="Grand Total"),NA(),Sorting!D7)</f>
        <v>1.7100000000000001E-2</v>
      </c>
      <c r="D6">
        <f>IF(OR(Sorting!F7=0,Sorting!E7="Grand Total"),NA(),Sorting!F7)</f>
        <v>1.72E-2</v>
      </c>
      <c r="E6">
        <f>IF(OR(Sorting!H7=0,Sorting!G7="Grand Total"),NA(),Sorting!H7)</f>
        <v>1.5599999999999999E-2</v>
      </c>
      <c r="F6">
        <f>IF(OR(Sorting!J7=0,Sorting!I7="Grand Total"),NA(),Sorting!J7)</f>
        <v>1.8700000000000001E-2</v>
      </c>
      <c r="G6">
        <f>IF(OR(Sorting!L7=0,Sorting!K7="Grand Total"),NA(),Sorting!L7)</f>
        <v>1.72E-2</v>
      </c>
      <c r="H6">
        <f>IF(OR(Sorting!O7=0,Sorting!N7="Grand Total"),NA(),Sorting!O7)</f>
        <v>0.05</v>
      </c>
      <c r="I6">
        <f>IF(OR(Sorting!Q7=0,Sorting!P7="Grand Total"),NA(),Sorting!Q7)</f>
        <v>5.1299999999999998E-2</v>
      </c>
      <c r="J6">
        <f>IF(OR(Sorting!S7=0,Sorting!R7="Grand Total"),NA(),Sorting!S7)</f>
        <v>5.04E-2</v>
      </c>
      <c r="K6">
        <f>IF(OR(Sorting!U7=0,Sorting!T7="Grand Total"),NA(),Sorting!U7)</f>
        <v>5.5800000000000002E-2</v>
      </c>
      <c r="L6">
        <f>IF(OR(Sorting!W7=0,Sorting!V7="Grand Total"),NA(),Sorting!W7)</f>
        <v>6.6199999999999995E-2</v>
      </c>
      <c r="M6">
        <f>IF(OR(Sorting!Y7=0,Sorting!X7="Grand Total"),NA(),Sorting!Y7)</f>
        <v>5.9200000000000003E-2</v>
      </c>
      <c r="N6">
        <f t="shared" si="2"/>
        <v>1.5599999999999999E-2</v>
      </c>
      <c r="O6">
        <v>4</v>
      </c>
      <c r="P6">
        <f>IF(OR(LOG10(SUM(B$3:B6))=P5,P5=""),NA(),LOG10(SUM(B$3:B6)))</f>
        <v>-1.1732774798310079</v>
      </c>
      <c r="Q6">
        <f>IF(OR(LOG10(SUM(C$3:C6))=Q5,Q5=""),NA(),LOG10(SUM(C$3:C6)))</f>
        <v>-1.1944991418415998</v>
      </c>
      <c r="R6">
        <f>IF(OR(LOG10(SUM(D$3:D6))=R5,R5=""),NA(),LOG10(SUM(D$3:D6)))</f>
        <v>-1.1830961606243398</v>
      </c>
      <c r="S6">
        <f>IF(OR(LOG10(SUM(E$3:E6))=S5,S5=""),NA(),LOG10(SUM(E$3:E6)))</f>
        <v>-1.2048154103175761</v>
      </c>
      <c r="T6">
        <f>IF(OR(LOG10(SUM(F$3:F6))=T5,T5=""),NA(),LOG10(SUM(F$3:F6)))</f>
        <v>-1.1837587000082168</v>
      </c>
      <c r="U6">
        <f>IF(OR(LOG10(SUM(G$3:G6))=U5,U5=""),NA(),LOG10(SUM(G$3:G6)))</f>
        <v>-1.2048154103175759</v>
      </c>
      <c r="V6">
        <f>IF(OR(LOG10(SUM(H$3:H6))=V5,V5=""),NA(),LOG10(SUM(H$3:H6)))</f>
        <v>-0.70730099695607029</v>
      </c>
      <c r="W6">
        <f>IF(OR(LOG10(SUM(I$3:I6))=W5,W5=""),NA(),LOG10(SUM(I$3:I6)))</f>
        <v>-0.69745262751251447</v>
      </c>
      <c r="X6">
        <f>IF(OR(LOG10(SUM(J$3:J6))=X5,X5=""),NA(),LOG10(SUM(J$3:J6)))</f>
        <v>-0.70465285166638214</v>
      </c>
      <c r="Y6">
        <f>IF(OR(LOG10(SUM(K$3:K6))=Y5,Y5=""),NA(),LOG10(SUM(K$3:K6)))</f>
        <v>-0.6552148773673393</v>
      </c>
      <c r="Z6">
        <f>IF(OR(LOG10(SUM(L$3:L6))=Z5,Z5=""),NA(),LOG10(SUM(L$3:L6)))</f>
        <v>-0.61332271603916233</v>
      </c>
      <c r="AA6">
        <f>IF(OR(LOG10(SUM(M$3:M6))=AA5,AA5=""),NA(),LOG10(SUM(M$3:M6)))</f>
        <v>-0.64397414280687726</v>
      </c>
      <c r="AB6">
        <f>IF(OR(LOG10(SUM(N$3:N6))=AB5,AB5=""),NA(),LOG10(SUM(N$3:N6)))</f>
        <v>-1.2160964207272651</v>
      </c>
      <c r="AD6" t="str">
        <f t="shared" si="3"/>
        <v>(4,-1.17327747983101)</v>
      </c>
      <c r="AE6" t="str">
        <f t="shared" si="0"/>
        <v>(4,-1.1944991418416)</v>
      </c>
      <c r="AF6" t="str">
        <f t="shared" si="0"/>
        <v>(4,-1.18309616062434)</v>
      </c>
      <c r="AG6" t="str">
        <f t="shared" si="0"/>
        <v>(4,-1.20481541031758)</v>
      </c>
      <c r="AH6" t="str">
        <f t="shared" si="0"/>
        <v>(4,-1.18375870000822)</v>
      </c>
      <c r="AI6" t="str">
        <f t="shared" si="0"/>
        <v>(4,-1.20481541031758)</v>
      </c>
      <c r="AJ6" t="str">
        <f t="shared" si="0"/>
        <v>(4,-0.70730099695607)</v>
      </c>
      <c r="AK6" t="str">
        <f t="shared" si="0"/>
        <v>(4,-0.697452627512514)</v>
      </c>
      <c r="AL6" t="str">
        <f t="shared" si="0"/>
        <v>(4,-0.704652851666382)</v>
      </c>
      <c r="AM6" t="str">
        <f t="shared" si="0"/>
        <v>(4,-0.655214877367339)</v>
      </c>
      <c r="AN6" t="str">
        <f t="shared" si="0"/>
        <v>(4,-0.613322716039162)</v>
      </c>
      <c r="AO6" t="str">
        <f t="shared" si="0"/>
        <v>(4,-0.643974142806877)</v>
      </c>
      <c r="AP6" t="str">
        <f t="shared" si="0"/>
        <v>(4,-1.21609642072727)</v>
      </c>
      <c r="AS6">
        <f t="shared" si="4"/>
        <v>1.7100000000000001E-2</v>
      </c>
      <c r="AT6">
        <f t="shared" si="5"/>
        <v>1.5599999999999999E-2</v>
      </c>
      <c r="AU6">
        <f t="shared" si="6"/>
        <v>1.5599999999999999E-2</v>
      </c>
      <c r="AV6">
        <f t="shared" si="7"/>
        <v>0.05</v>
      </c>
      <c r="AX6">
        <f>LOG10(SUM(AS$3:AS6))</f>
        <v>-1.1944991418415998</v>
      </c>
      <c r="AY6">
        <f>LOG10(SUM(AT$3:AT6))</f>
        <v>-1.2160964207272651</v>
      </c>
      <c r="AZ6">
        <f>LOG10(SUM(AU$3:AU6))</f>
        <v>-1.2160964207272651</v>
      </c>
      <c r="BA6">
        <f>LOG10(SUM(AV$3:AV6))</f>
        <v>-0.70752240633221597</v>
      </c>
      <c r="BC6" t="str">
        <f t="shared" si="8"/>
        <v>(4,-1.1944991418416)</v>
      </c>
      <c r="BD6" t="str">
        <f t="shared" si="9"/>
        <v>(4,-1.21609642072727)</v>
      </c>
      <c r="BE6" t="str">
        <f t="shared" si="10"/>
        <v>(4,-1.21609642072727)</v>
      </c>
      <c r="BF6" t="str">
        <f t="shared" si="11"/>
        <v>(4,-0.707522406332216)</v>
      </c>
    </row>
    <row r="7" spans="1:58">
      <c r="A7">
        <v>5</v>
      </c>
      <c r="B7">
        <f>IF(OR(Sorting!B8=0,Sorting!A8="Grand Total"),NA(),Sorting!B8)</f>
        <v>0.20930000000000001</v>
      </c>
      <c r="C7">
        <f>IF(OR(Sorting!D8=0,Sorting!C8="Grand Total"),NA(),Sorting!D8)</f>
        <v>0.21410000000000001</v>
      </c>
      <c r="D7">
        <f>IF(OR(Sorting!F8=0,Sorting!E8="Grand Total"),NA(),Sorting!F8)</f>
        <v>0.2172</v>
      </c>
      <c r="E7">
        <f>IF(OR(Sorting!H8=0,Sorting!G8="Grand Total"),NA(),Sorting!H8)</f>
        <v>9.8400000000000001E-2</v>
      </c>
      <c r="F7">
        <f>IF(OR(Sorting!J8=0,Sorting!I8="Grand Total"),NA(),Sorting!J8)</f>
        <v>0.16569999999999999</v>
      </c>
      <c r="G7">
        <f>IF(OR(Sorting!L8=0,Sorting!K8="Grand Total"),NA(),Sorting!L8)</f>
        <v>0.15629999999999999</v>
      </c>
      <c r="H7">
        <f>IF(OR(Sorting!O8=0,Sorting!N8="Grand Total"),NA(),Sorting!O8)</f>
        <v>0.1986</v>
      </c>
      <c r="I7">
        <f>IF(OR(Sorting!Q8=0,Sorting!P8="Grand Total"),NA(),Sorting!Q8)</f>
        <v>0.12180000000000001</v>
      </c>
      <c r="J7">
        <f>IF(OR(Sorting!S8=0,Sorting!R8="Grand Total"),NA(),Sorting!S8)</f>
        <v>0.1227</v>
      </c>
      <c r="K7">
        <f>IF(OR(Sorting!U8=0,Sorting!T8="Grand Total"),NA(),Sorting!U8)</f>
        <v>0.2</v>
      </c>
      <c r="L7">
        <f>IF(OR(Sorting!W8=0,Sorting!V8="Grand Total"),NA(),Sorting!W8)</f>
        <v>0.14050000000000001</v>
      </c>
      <c r="M7">
        <f>IF(OR(Sorting!Y8=0,Sorting!X8="Grand Total"),NA(),Sorting!Y8)</f>
        <v>0.13389999999999999</v>
      </c>
      <c r="N7">
        <f t="shared" si="2"/>
        <v>9.8400000000000001E-2</v>
      </c>
      <c r="O7">
        <v>5</v>
      </c>
      <c r="P7">
        <f>IF(OR(LOG10(SUM(B$3:B7))=P6,P6=""),NA(),LOG10(SUM(B$3:B7)))</f>
        <v>-0.5584619612978392</v>
      </c>
      <c r="Q7">
        <f>IF(OR(LOG10(SUM(C$3:C7))=Q6,Q6=""),NA(),LOG10(SUM(C$3:C7)))</f>
        <v>-0.55595520408192367</v>
      </c>
      <c r="R7">
        <f>IF(OR(LOG10(SUM(D$3:D7))=R6,R6=""),NA(),LOG10(SUM(D$3:D7)))</f>
        <v>-0.54852059487513816</v>
      </c>
      <c r="S7">
        <f>IF(OR(LOG10(SUM(E$3:E7))=S6,S6=""),NA(),LOG10(SUM(E$3:E7)))</f>
        <v>-0.79371395558756752</v>
      </c>
      <c r="T7">
        <f>IF(OR(LOG10(SUM(F$3:F7))=T6,T6=""),NA(),LOG10(SUM(F$3:F7)))</f>
        <v>-0.63601217025150858</v>
      </c>
      <c r="U7">
        <f>IF(OR(LOG10(SUM(G$3:G7))=U6,U6=""),NA(),LOG10(SUM(G$3:G7)))</f>
        <v>-0.6601512169623629</v>
      </c>
      <c r="V7">
        <f>IF(OR(LOG10(SUM(H$3:H7))=V6,V6=""),NA(),LOG10(SUM(H$3:H7)))</f>
        <v>-0.40362285600240089</v>
      </c>
      <c r="W7">
        <f>IF(OR(LOG10(SUM(I$3:I7))=W6,W6=""),NA(),LOG10(SUM(I$3:I7)))</f>
        <v>-0.49147028102871343</v>
      </c>
      <c r="X7">
        <f>IF(OR(LOG10(SUM(J$3:J7))=X6,X6=""),NA(),LOG10(SUM(J$3:J7)))</f>
        <v>-0.49471432585586766</v>
      </c>
      <c r="Y7">
        <f>IF(OR(LOG10(SUM(K$3:K7))=Y6,Y6=""),NA(),LOG10(SUM(K$3:K7)))</f>
        <v>-0.37551163748655109</v>
      </c>
      <c r="Z7">
        <f>IF(OR(LOG10(SUM(L$3:L7))=Z6,Z6=""),NA(),LOG10(SUM(L$3:L7)))</f>
        <v>-0.41555569283482385</v>
      </c>
      <c r="AA7">
        <f>IF(OR(LOG10(SUM(M$3:M7))=AA6,AA6=""),NA(),LOG10(SUM(M$3:M7)))</f>
        <v>-0.4426131179404928</v>
      </c>
      <c r="AB7">
        <f>IF(OR(LOG10(SUM(N$3:N7))=AB6,AB6=""),NA(),LOG10(SUM(N$3:N7)))</f>
        <v>-0.79805693659834975</v>
      </c>
      <c r="AD7" t="str">
        <f t="shared" si="3"/>
        <v>(5,-0.558461961297839)</v>
      </c>
      <c r="AE7" t="str">
        <f t="shared" si="0"/>
        <v>(5,-0.555955204081924)</v>
      </c>
      <c r="AF7" t="str">
        <f t="shared" si="0"/>
        <v>(5,-0.548520594875138)</v>
      </c>
      <c r="AG7" t="str">
        <f t="shared" si="0"/>
        <v>(5,-0.793713955587568)</v>
      </c>
      <c r="AH7" t="str">
        <f t="shared" si="0"/>
        <v>(5,-0.636012170251509)</v>
      </c>
      <c r="AI7" t="str">
        <f t="shared" si="0"/>
        <v>(5,-0.660151216962363)</v>
      </c>
      <c r="AJ7" t="str">
        <f t="shared" si="0"/>
        <v>(5,-0.403622856002401)</v>
      </c>
      <c r="AK7" t="str">
        <f t="shared" si="0"/>
        <v>(5,-0.491470281028713)</v>
      </c>
      <c r="AL7" t="str">
        <f t="shared" si="0"/>
        <v>(5,-0.494714325855868)</v>
      </c>
      <c r="AM7" t="str">
        <f t="shared" si="0"/>
        <v>(5,-0.375511637486551)</v>
      </c>
      <c r="AN7" t="str">
        <f t="shared" si="0"/>
        <v>(5,-0.415555692834824)</v>
      </c>
      <c r="AO7" t="str">
        <f t="shared" si="0"/>
        <v>(5,-0.442613117940493)</v>
      </c>
      <c r="AP7" t="str">
        <f t="shared" si="0"/>
        <v>(5,-0.79805693659835)</v>
      </c>
      <c r="AS7">
        <f t="shared" si="4"/>
        <v>0.12180000000000001</v>
      </c>
      <c r="AT7">
        <f t="shared" si="5"/>
        <v>9.8400000000000001E-2</v>
      </c>
      <c r="AU7">
        <f t="shared" si="6"/>
        <v>9.8400000000000001E-2</v>
      </c>
      <c r="AV7">
        <f t="shared" si="7"/>
        <v>0.12180000000000001</v>
      </c>
      <c r="AX7">
        <f>LOG10(SUM(AS$3:AS7))</f>
        <v>-0.73118809626021952</v>
      </c>
      <c r="AY7">
        <f>LOG10(SUM(AT$3:AT7))</f>
        <v>-0.79805693659834975</v>
      </c>
      <c r="AZ7">
        <f>LOG10(SUM(AU$3:AU7))</f>
        <v>-0.79805693659834975</v>
      </c>
      <c r="BA7">
        <f>LOG10(SUM(AV$3:AV7))</f>
        <v>-0.49770947208522709</v>
      </c>
      <c r="BC7" t="str">
        <f t="shared" si="8"/>
        <v>(5,-0.73118809626022)</v>
      </c>
      <c r="BD7" t="str">
        <f t="shared" si="9"/>
        <v>(5,-0.79805693659835)</v>
      </c>
      <c r="BE7" t="str">
        <f t="shared" si="10"/>
        <v>(5,-0.79805693659835)</v>
      </c>
      <c r="BF7" t="str">
        <f t="shared" si="11"/>
        <v>(5,-0.497709472085227)</v>
      </c>
    </row>
    <row r="8" spans="1:58">
      <c r="A8">
        <v>6</v>
      </c>
      <c r="B8">
        <f>IF(OR(Sorting!B9=0,Sorting!A9="Grand Total"),NA(),Sorting!B9)</f>
        <v>0.20930000000000001</v>
      </c>
      <c r="C8">
        <f>IF(OR(Sorting!D9=0,Sorting!C9="Grand Total"),NA(),Sorting!D9)</f>
        <v>0.21560000000000001</v>
      </c>
      <c r="D8">
        <f>IF(OR(Sorting!F9=0,Sorting!E9="Grand Total"),NA(),Sorting!F9)</f>
        <v>0.21870000000000001</v>
      </c>
      <c r="E8">
        <f>IF(OR(Sorting!H9=0,Sorting!G9="Grand Total"),NA(),Sorting!H9)</f>
        <v>0.1062</v>
      </c>
      <c r="F8">
        <f>IF(OR(Sorting!J9=0,Sorting!I9="Grand Total"),NA(),Sorting!J9)</f>
        <v>0.1769</v>
      </c>
      <c r="G8">
        <f>IF(OR(Sorting!L9=0,Sorting!K9="Grand Total"),NA(),Sorting!L9)</f>
        <v>0.16569999999999999</v>
      </c>
      <c r="H8">
        <f>IF(OR(Sorting!O9=0,Sorting!N9="Grand Total"),NA(),Sorting!O9)</f>
        <v>0.2014</v>
      </c>
      <c r="I8">
        <f>IF(OR(Sorting!Q9=0,Sorting!P9="Grand Total"),NA(),Sorting!Q9)</f>
        <v>0.1234</v>
      </c>
      <c r="J8">
        <f>IF(OR(Sorting!S9=0,Sorting!R9="Grand Total"),NA(),Sorting!S9)</f>
        <v>0.1231</v>
      </c>
      <c r="K8">
        <f>IF(OR(Sorting!U9=0,Sorting!T9="Grand Total"),NA(),Sorting!U9)</f>
        <v>0.2016</v>
      </c>
      <c r="L8">
        <f>IF(OR(Sorting!W9=0,Sorting!V9="Grand Total"),NA(),Sorting!W9)</f>
        <v>0.1421</v>
      </c>
      <c r="M8">
        <f>IF(OR(Sorting!Y9=0,Sorting!X9="Grand Total"),NA(),Sorting!Y9)</f>
        <v>0.1343</v>
      </c>
      <c r="N8">
        <f t="shared" si="2"/>
        <v>0.1062</v>
      </c>
      <c r="O8">
        <v>6</v>
      </c>
      <c r="P8">
        <f>IF(OR(LOG10(SUM(B$3:B8))=P7,P7=""),NA(),LOG10(SUM(B$3:B8)))</f>
        <v>-0.31363189652696383</v>
      </c>
      <c r="Q8">
        <f>IF(OR(LOG10(SUM(C$3:C8))=Q7,Q7=""),NA(),LOG10(SUM(C$3:C8)))</f>
        <v>-0.30662484897481468</v>
      </c>
      <c r="R8">
        <f>IF(OR(LOG10(SUM(D$3:D8))=R7,R7=""),NA(),LOG10(SUM(D$3:D8)))</f>
        <v>-0.29972906264356303</v>
      </c>
      <c r="S8">
        <f>IF(OR(LOG10(SUM(E$3:E8))=S7,S7=""),NA(),LOG10(SUM(E$3:E8)))</f>
        <v>-0.57348873863542471</v>
      </c>
      <c r="T8">
        <f>IF(OR(LOG10(SUM(F$3:F8))=T7,T7=""),NA(),LOG10(SUM(F$3:F8)))</f>
        <v>-0.38923340522672906</v>
      </c>
      <c r="U8">
        <f>IF(OR(LOG10(SUM(G$3:G8))=U7,U7=""),NA(),LOG10(SUM(G$3:G8)))</f>
        <v>-0.41521662100349227</v>
      </c>
      <c r="V8">
        <f>IF(OR(LOG10(SUM(H$3:H8))=V7,V7=""),NA(),LOG10(SUM(H$3:H8)))</f>
        <v>-0.22460802830338808</v>
      </c>
      <c r="W8">
        <f>IF(OR(LOG10(SUM(I$3:I8))=W7,W7=""),NA(),LOG10(SUM(I$3:I8)))</f>
        <v>-0.35076252765039273</v>
      </c>
      <c r="X8">
        <f>IF(OR(LOG10(SUM(J$3:J8))=X7,X7=""),NA(),LOG10(SUM(J$3:J8)))</f>
        <v>-0.35340024827962668</v>
      </c>
      <c r="Y8">
        <f>IF(OR(LOG10(SUM(K$3:K8))=Y7,Y7=""),NA(),LOG10(SUM(K$3:K8)))</f>
        <v>-0.20565139610391731</v>
      </c>
      <c r="Z8">
        <f>IF(OR(LOG10(SUM(L$3:L8))=Z7,Z7=""),NA(),LOG10(SUM(L$3:L8)))</f>
        <v>-0.27884915625031587</v>
      </c>
      <c r="AA8">
        <f>IF(OR(LOG10(SUM(M$3:M8))=AA7,AA7=""),NA(),LOG10(SUM(M$3:M8)))</f>
        <v>-0.30521936398793847</v>
      </c>
      <c r="AB8">
        <f>IF(OR(LOG10(SUM(N$3:N8))=AB7,AB7=""),NA(),LOG10(SUM(N$3:N8)))</f>
        <v>-0.57609908147158329</v>
      </c>
      <c r="AD8" t="str">
        <f t="shared" si="3"/>
        <v>(6,-0.313631896526964)</v>
      </c>
      <c r="AE8" t="str">
        <f t="shared" si="0"/>
        <v>(6,-0.306624848974815)</v>
      </c>
      <c r="AF8" t="str">
        <f t="shared" si="0"/>
        <v>(6,-0.299729062643563)</v>
      </c>
      <c r="AG8" t="str">
        <f t="shared" si="0"/>
        <v>(6,-0.573488738635425)</v>
      </c>
      <c r="AH8" t="str">
        <f t="shared" si="0"/>
        <v>(6,-0.389233405226729)</v>
      </c>
      <c r="AI8" t="str">
        <f t="shared" si="0"/>
        <v>(6,-0.415216621003492)</v>
      </c>
      <c r="AJ8" t="str">
        <f t="shared" si="0"/>
        <v>(6,-0.224608028303388)</v>
      </c>
      <c r="AK8" t="str">
        <f t="shared" si="0"/>
        <v>(6,-0.350762527650393)</v>
      </c>
      <c r="AL8" t="str">
        <f t="shared" si="0"/>
        <v>(6,-0.353400248279627)</v>
      </c>
      <c r="AM8" t="str">
        <f t="shared" si="0"/>
        <v>(6,-0.205651396103917)</v>
      </c>
      <c r="AN8" t="str">
        <f t="shared" si="0"/>
        <v>(6,-0.278849156250316)</v>
      </c>
      <c r="AO8" t="str">
        <f t="shared" si="0"/>
        <v>(6,-0.305219363987938)</v>
      </c>
      <c r="AP8" t="str">
        <f t="shared" si="0"/>
        <v>(6,-0.576099081471583)</v>
      </c>
      <c r="AS8">
        <f t="shared" si="4"/>
        <v>0.1231</v>
      </c>
      <c r="AT8">
        <f t="shared" si="5"/>
        <v>0.1062</v>
      </c>
      <c r="AU8">
        <f t="shared" si="6"/>
        <v>0.1062</v>
      </c>
      <c r="AV8">
        <f t="shared" si="7"/>
        <v>0.1231</v>
      </c>
      <c r="AX8">
        <f>LOG10(SUM(AS$3:AS8))</f>
        <v>-0.51032270833630144</v>
      </c>
      <c r="AY8">
        <f>LOG10(SUM(AT$3:AT8))</f>
        <v>-0.57609908147158329</v>
      </c>
      <c r="AZ8">
        <f>LOG10(SUM(AU$3:AU8))</f>
        <v>-0.57609908147158329</v>
      </c>
      <c r="BA8">
        <f>LOG10(SUM(AV$3:AV8))</f>
        <v>-0.35556141053216145</v>
      </c>
      <c r="BC8" t="str">
        <f t="shared" si="8"/>
        <v>(6,-0.510322708336301)</v>
      </c>
      <c r="BD8" t="str">
        <f t="shared" si="9"/>
        <v>(6,-0.576099081471583)</v>
      </c>
      <c r="BE8" t="str">
        <f t="shared" si="10"/>
        <v>(6,-0.576099081471583)</v>
      </c>
      <c r="BF8" t="str">
        <f t="shared" si="11"/>
        <v>(6,-0.355561410532161)</v>
      </c>
    </row>
    <row r="9" spans="1:58">
      <c r="A9">
        <v>7</v>
      </c>
      <c r="B9">
        <f>IF(OR(Sorting!B10=0,Sorting!A10="Grand Total"),NA(),Sorting!B10)</f>
        <v>0.2208</v>
      </c>
      <c r="C9">
        <f>IF(OR(Sorting!D10=0,Sorting!C10="Grand Total"),NA(),Sorting!D10)</f>
        <v>0.25</v>
      </c>
      <c r="D9">
        <f>IF(OR(Sorting!F10=0,Sorting!E10="Grand Total"),NA(),Sorting!F10)</f>
        <v>0.25009999999999999</v>
      </c>
      <c r="E9">
        <f>IF(OR(Sorting!H10=0,Sorting!G10="Grand Total"),NA(),Sorting!H10)</f>
        <v>0.10780000000000001</v>
      </c>
      <c r="F9">
        <f>IF(OR(Sorting!J10=0,Sorting!I10="Grand Total"),NA(),Sorting!J10)</f>
        <v>0.1938</v>
      </c>
      <c r="G9">
        <f>IF(OR(Sorting!L10=0,Sorting!K10="Grand Total"),NA(),Sorting!L10)</f>
        <v>0.16880000000000001</v>
      </c>
      <c r="H9">
        <f>IF(OR(Sorting!O10=0,Sorting!N10="Grand Total"),NA(),Sorting!O10)</f>
        <v>0.2109</v>
      </c>
      <c r="I9">
        <f>IF(OR(Sorting!Q10=0,Sorting!P10="Grand Total"),NA(),Sorting!Q10)</f>
        <v>0.12470000000000001</v>
      </c>
      <c r="J9">
        <f>IF(OR(Sorting!S10=0,Sorting!R10="Grand Total"),NA(),Sorting!S10)</f>
        <v>0.13869999999999999</v>
      </c>
      <c r="K9">
        <f>IF(OR(Sorting!U10=0,Sorting!T10="Grand Total"),NA(),Sorting!U10)</f>
        <v>0.21679999999999999</v>
      </c>
      <c r="L9">
        <f>IF(OR(Sorting!W10=0,Sorting!V10="Grand Total"),NA(),Sorting!W10)</f>
        <v>0.15329999999999999</v>
      </c>
      <c r="M9">
        <f>IF(OR(Sorting!Y10=0,Sorting!X10="Grand Total"),NA(),Sorting!Y10)</f>
        <v>0.13619999999999999</v>
      </c>
      <c r="N9">
        <f t="shared" si="2"/>
        <v>0.10780000000000001</v>
      </c>
      <c r="O9">
        <v>7</v>
      </c>
      <c r="P9">
        <f>IF(OR(LOG10(SUM(B$3:B9))=P8,P8=""),NA(),LOG10(SUM(B$3:B9)))</f>
        <v>-0.15088783381542256</v>
      </c>
      <c r="Q9">
        <f>IF(OR(LOG10(SUM(C$3:C9))=Q8,Q8=""),NA(),LOG10(SUM(C$3:C9)))</f>
        <v>-0.128660618900139</v>
      </c>
      <c r="R9">
        <f>IF(OR(LOG10(SUM(D$3:D9))=R8,R8=""),NA(),LOG10(SUM(D$3:D9)))</f>
        <v>-0.12401322857151198</v>
      </c>
      <c r="S9">
        <f>IF(OR(LOG10(SUM(E$3:E9))=S8,S8=""),NA(),LOG10(SUM(E$3:E9)))</f>
        <v>-0.42620041778425932</v>
      </c>
      <c r="T9">
        <f>IF(OR(LOG10(SUM(F$3:F9))=T8,T8=""),NA(),LOG10(SUM(F$3:F9)))</f>
        <v>-0.2204756566752101</v>
      </c>
      <c r="U9">
        <f>IF(OR(LOG10(SUM(G$3:G9))=U8,U8=""),NA(),LOG10(SUM(G$3:G9)))</f>
        <v>-0.25711782856272708</v>
      </c>
      <c r="V9">
        <f>IF(OR(LOG10(SUM(H$3:H9))=V8,V8=""),NA(),LOG10(SUM(H$3:H9)))</f>
        <v>-9.3072652691044186E-2</v>
      </c>
      <c r="W9">
        <f>IF(OR(LOG10(SUM(I$3:I9))=W8,W8=""),NA(),LOG10(SUM(I$3:I9)))</f>
        <v>-0.24366823267894244</v>
      </c>
      <c r="X9">
        <f>IF(OR(LOG10(SUM(J$3:J9))=X8,X8=""),NA(),LOG10(SUM(J$3:J9)))</f>
        <v>-0.23515164280658923</v>
      </c>
      <c r="Y9">
        <f>IF(OR(LOG10(SUM(K$3:K9))=Y8,Y8=""),NA(),LOG10(SUM(K$3:K9)))</f>
        <v>-7.5927570089637159E-2</v>
      </c>
      <c r="Z9">
        <f>IF(OR(LOG10(SUM(L$3:L9))=Z8,Z8=""),NA(),LOG10(SUM(L$3:L9)))</f>
        <v>-0.1678105389314869</v>
      </c>
      <c r="AA9">
        <f>IF(OR(LOG10(SUM(M$3:M9))=AA8,AA8=""),NA(),LOG10(SUM(M$3:M9)))</f>
        <v>-0.19969542244380148</v>
      </c>
      <c r="AB9">
        <f>IF(OR(LOG10(SUM(N$3:N9))=AB8,AB8=""),NA(),LOG10(SUM(N$3:N9)))</f>
        <v>-0.42805836492553762</v>
      </c>
      <c r="AD9" t="str">
        <f t="shared" si="3"/>
        <v>(7,-0.150887833815423)</v>
      </c>
      <c r="AE9" t="str">
        <f t="shared" si="0"/>
        <v>(7,-0.128660618900139)</v>
      </c>
      <c r="AF9" t="str">
        <f t="shared" si="0"/>
        <v>(7,-0.124013228571512)</v>
      </c>
      <c r="AG9" t="str">
        <f t="shared" si="0"/>
        <v>(7,-0.426200417784259)</v>
      </c>
      <c r="AH9" t="str">
        <f t="shared" si="0"/>
        <v>(7,-0.22047565667521)</v>
      </c>
      <c r="AI9" t="str">
        <f t="shared" si="0"/>
        <v>(7,-0.257117828562727)</v>
      </c>
      <c r="AJ9" t="str">
        <f t="shared" si="0"/>
        <v>(7,-0.0930726526910442)</v>
      </c>
      <c r="AK9" t="str">
        <f t="shared" si="0"/>
        <v>(7,-0.243668232678942)</v>
      </c>
      <c r="AL9" t="str">
        <f t="shared" si="0"/>
        <v>(7,-0.235151642806589)</v>
      </c>
      <c r="AM9" t="str">
        <f t="shared" si="0"/>
        <v>(7,-0.0759275700896372)</v>
      </c>
      <c r="AN9" t="str">
        <f t="shared" si="0"/>
        <v>(7,-0.167810538931487)</v>
      </c>
      <c r="AO9" t="str">
        <f t="shared" si="0"/>
        <v>(7,-0.199695422443801)</v>
      </c>
      <c r="AP9" t="str">
        <f t="shared" si="0"/>
        <v>(7,-0.428058364925538)</v>
      </c>
      <c r="AS9">
        <f t="shared" si="4"/>
        <v>0.12470000000000001</v>
      </c>
      <c r="AT9">
        <f t="shared" si="5"/>
        <v>0.10780000000000001</v>
      </c>
      <c r="AU9">
        <f t="shared" si="6"/>
        <v>0.10780000000000001</v>
      </c>
      <c r="AV9">
        <f t="shared" si="7"/>
        <v>0.12470000000000001</v>
      </c>
      <c r="AX9">
        <f>LOG10(SUM(AS$3:AS9))</f>
        <v>-0.36301089818777088</v>
      </c>
      <c r="AY9">
        <f>LOG10(SUM(AT$3:AT9))</f>
        <v>-0.42805836492553762</v>
      </c>
      <c r="AZ9">
        <f>LOG10(SUM(AU$3:AU9))</f>
        <v>-0.42805836492553762</v>
      </c>
      <c r="BA9">
        <f>LOG10(SUM(AV$3:AV9))</f>
        <v>-0.2474138212595908</v>
      </c>
      <c r="BC9" t="str">
        <f t="shared" si="8"/>
        <v>(7,-0.363010898187771)</v>
      </c>
      <c r="BD9" t="str">
        <f t="shared" si="9"/>
        <v>(7,-0.428058364925538)</v>
      </c>
      <c r="BE9" t="str">
        <f t="shared" si="10"/>
        <v>(7,-0.428058364925538)</v>
      </c>
      <c r="BF9" t="str">
        <f t="shared" si="11"/>
        <v>(7,-0.247413821259591)</v>
      </c>
    </row>
    <row r="10" spans="1:58">
      <c r="A10">
        <v>8</v>
      </c>
      <c r="B10">
        <f>IF(OR(Sorting!B11=0,Sorting!A11="Grand Total"),NA(),Sorting!B11)</f>
        <v>0.22839999999999999</v>
      </c>
      <c r="C10">
        <f>IF(OR(Sorting!D11=0,Sorting!C11="Grand Total"),NA(),Sorting!D11)</f>
        <v>0.25069999999999998</v>
      </c>
      <c r="D10">
        <f>IF(OR(Sorting!F11=0,Sorting!E11="Grand Total"),NA(),Sorting!F11)</f>
        <v>0.25319999999999998</v>
      </c>
      <c r="E10">
        <f>IF(OR(Sorting!H11=0,Sorting!G11="Grand Total"),NA(),Sorting!H11)</f>
        <v>0.1099</v>
      </c>
      <c r="F10">
        <f>IF(OR(Sorting!J11=0,Sorting!I11="Grand Total"),NA(),Sorting!J11)</f>
        <v>0.2079</v>
      </c>
      <c r="G10">
        <f>IF(OR(Sorting!L11=0,Sorting!K11="Grand Total"),NA(),Sorting!L11)</f>
        <v>0.16950000000000001</v>
      </c>
      <c r="H10">
        <f>IF(OR(Sorting!O11=0,Sorting!N11="Grand Total"),NA(),Sorting!O11)</f>
        <v>0.21640000000000001</v>
      </c>
      <c r="I10">
        <f>IF(OR(Sorting!Q11=0,Sorting!P11="Grand Total"),NA(),Sorting!Q11)</f>
        <v>0.1401</v>
      </c>
      <c r="J10">
        <f>IF(OR(Sorting!S11=0,Sorting!R11="Grand Total"),NA(),Sorting!S11)</f>
        <v>0.1447</v>
      </c>
      <c r="K10">
        <f>IF(OR(Sorting!U11=0,Sorting!T11="Grand Total"),NA(),Sorting!U11)</f>
        <v>0.2233</v>
      </c>
      <c r="L10">
        <f>IF(OR(Sorting!W11=0,Sorting!V11="Grand Total"),NA(),Sorting!W11)</f>
        <v>0.1741</v>
      </c>
      <c r="M10">
        <f>IF(OR(Sorting!Y11=0,Sorting!X11="Grand Total"),NA(),Sorting!Y11)</f>
        <v>0.1384</v>
      </c>
      <c r="N10">
        <f t="shared" si="2"/>
        <v>0.1099</v>
      </c>
      <c r="O10">
        <v>8</v>
      </c>
      <c r="P10">
        <f>IF(OR(LOG10(SUM(B$3:B10))=P9,P9=""),NA(),LOG10(SUM(B$3:B10)))</f>
        <v>-2.9234840219232266E-2</v>
      </c>
      <c r="Q10">
        <f>IF(OR(LOG10(SUM(C$3:C10))=Q9,Q9=""),NA(),LOG10(SUM(C$3:C10)))</f>
        <v>-2.4825605852751751E-3</v>
      </c>
      <c r="R10">
        <f>IF(OR(LOG10(SUM(D$3:D10))=R9,R9=""),NA(),LOG10(SUM(D$3:D10)))</f>
        <v>2.0796263931208716E-3</v>
      </c>
      <c r="S10">
        <f>IF(OR(LOG10(SUM(E$3:E10))=S9,S9=""),NA(),LOG10(SUM(E$3:E10)))</f>
        <v>-0.31452698027724074</v>
      </c>
      <c r="T10">
        <f>IF(OR(LOG10(SUM(F$3:F10))=T9,T9=""),NA(),LOG10(SUM(F$3:F10)))</f>
        <v>-9.1622227567605422E-2</v>
      </c>
      <c r="U10">
        <f>IF(OR(LOG10(SUM(G$3:G10))=U9,U9=""),NA(),LOG10(SUM(G$3:G10)))</f>
        <v>-0.14104194528199424</v>
      </c>
      <c r="V10">
        <f>IF(OR(LOG10(SUM(H$3:H10))=V9,V9=""),NA(),LOG10(SUM(H$3:H10)))</f>
        <v>1.0087846998524407E-2</v>
      </c>
      <c r="W10">
        <f>IF(OR(LOG10(SUM(I$3:I10))=W9,W9=""),NA(),LOG10(SUM(I$3:I10)))</f>
        <v>-0.14831368455757249</v>
      </c>
      <c r="X10">
        <f>IF(OR(LOG10(SUM(J$3:J10))=X9,X9=""),NA(),LOG10(SUM(J$3:J10)))</f>
        <v>-0.13870460647330418</v>
      </c>
      <c r="Y10">
        <f>IF(OR(LOG10(SUM(K$3:K10))=Y9,Y9=""),NA(),LOG10(SUM(K$3:K10)))</f>
        <v>2.6492407052839655E-2</v>
      </c>
      <c r="Z10">
        <f>IF(OR(LOG10(SUM(L$3:L10))=Z9,Z9=""),NA(),LOG10(SUM(L$3:L10)))</f>
        <v>-6.8745593583586506E-2</v>
      </c>
      <c r="AA10">
        <f>IF(OR(LOG10(SUM(M$3:M10))=AA9,AA9=""),NA(),LOG10(SUM(M$3:M10)))</f>
        <v>-0.1136220932414279</v>
      </c>
      <c r="AB10">
        <f>IF(OR(LOG10(SUM(N$3:N10))=AB9,AB9=""),NA(),LOG10(SUM(N$3:N10)))</f>
        <v>-0.31596296251348022</v>
      </c>
      <c r="AD10" t="str">
        <f t="shared" si="3"/>
        <v>(8,-0.0292348402192323)</v>
      </c>
      <c r="AE10" t="str">
        <f t="shared" si="0"/>
        <v>(8,-0.00248256058527518)</v>
      </c>
      <c r="AF10" t="str">
        <f t="shared" si="0"/>
        <v>(8,0.00207962639312087)</v>
      </c>
      <c r="AG10" t="str">
        <f t="shared" si="0"/>
        <v>(8,-0.314526980277241)</v>
      </c>
      <c r="AH10" t="str">
        <f t="shared" si="0"/>
        <v>(8,-0.0916222275676054)</v>
      </c>
      <c r="AI10" t="str">
        <f t="shared" si="0"/>
        <v>(8,-0.141041945281994)</v>
      </c>
      <c r="AJ10" t="str">
        <f t="shared" si="0"/>
        <v>(8,0.0100878469985244)</v>
      </c>
      <c r="AK10" t="str">
        <f t="shared" si="0"/>
        <v>(8,-0.148313684557572)</v>
      </c>
      <c r="AL10" t="str">
        <f t="shared" si="0"/>
        <v>(8,-0.138704606473304)</v>
      </c>
      <c r="AM10" t="str">
        <f t="shared" si="0"/>
        <v>(8,0.0264924070528397)</v>
      </c>
      <c r="AN10" t="str">
        <f t="shared" si="0"/>
        <v>(8,-0.0687455935835865)</v>
      </c>
      <c r="AO10" t="str">
        <f t="shared" si="0"/>
        <v>(8,-0.113622093241428)</v>
      </c>
      <c r="AP10" t="str">
        <f t="shared" si="0"/>
        <v>(8,-0.31596296251348)</v>
      </c>
      <c r="AS10">
        <f t="shared" si="4"/>
        <v>0.1401</v>
      </c>
      <c r="AT10">
        <f t="shared" si="5"/>
        <v>0.1099</v>
      </c>
      <c r="AU10">
        <f t="shared" si="6"/>
        <v>0.1099</v>
      </c>
      <c r="AV10">
        <f t="shared" si="7"/>
        <v>0.1384</v>
      </c>
      <c r="AX10">
        <f>LOG10(SUM(AS$3:AS10))</f>
        <v>-0.24139085734025628</v>
      </c>
      <c r="AY10">
        <f>LOG10(SUM(AT$3:AT10))</f>
        <v>-0.31596296251348022</v>
      </c>
      <c r="AZ10">
        <f>LOG10(SUM(AU$3:AU10))</f>
        <v>-0.31596296251348022</v>
      </c>
      <c r="BA10">
        <f>LOG10(SUM(AV$3:AV10))</f>
        <v>-0.15236565568174501</v>
      </c>
      <c r="BC10" t="str">
        <f t="shared" si="8"/>
        <v>(8,-0.241390857340256)</v>
      </c>
      <c r="BD10" t="str">
        <f t="shared" si="9"/>
        <v>(8,-0.31596296251348)</v>
      </c>
      <c r="BE10" t="str">
        <f t="shared" si="10"/>
        <v>(8,-0.31596296251348)</v>
      </c>
      <c r="BF10" t="str">
        <f t="shared" si="11"/>
        <v>(8,-0.152365655681745)</v>
      </c>
    </row>
    <row r="11" spans="1:58">
      <c r="A11">
        <v>9</v>
      </c>
      <c r="B11">
        <f>IF(OR(Sorting!B12=0,Sorting!A12="Grand Total"),NA(),Sorting!B12)</f>
        <v>0.39860000000000001</v>
      </c>
      <c r="C11">
        <f>IF(OR(Sorting!D12=0,Sorting!C12="Grand Total"),NA(),Sorting!D12)</f>
        <v>0.40160000000000001</v>
      </c>
      <c r="D11">
        <f>IF(OR(Sorting!F12=0,Sorting!E12="Grand Total"),NA(),Sorting!F12)</f>
        <v>0.40620000000000001</v>
      </c>
      <c r="E11">
        <f>IF(OR(Sorting!H12=0,Sorting!G12="Grand Total"),NA(),Sorting!H12)</f>
        <v>0.2</v>
      </c>
      <c r="F11">
        <f>IF(OR(Sorting!J12=0,Sorting!I12="Grand Total"),NA(),Sorting!J12)</f>
        <v>0.33589999999999998</v>
      </c>
      <c r="G11">
        <f>IF(OR(Sorting!L12=0,Sorting!K12="Grand Total"),NA(),Sorting!L12)</f>
        <v>0.31409999999999999</v>
      </c>
      <c r="H11">
        <f>IF(OR(Sorting!O12=0,Sorting!N12="Grand Total"),NA(),Sorting!O12)</f>
        <v>0.34370000000000001</v>
      </c>
      <c r="I11">
        <f>IF(OR(Sorting!Q12=0,Sorting!P12="Grand Total"),NA(),Sorting!Q12)</f>
        <v>0.22650000000000001</v>
      </c>
      <c r="J11">
        <f>IF(OR(Sorting!S12=0,Sorting!R12="Grand Total"),NA(),Sorting!S12)</f>
        <v>0.23039999999999999</v>
      </c>
      <c r="K11">
        <f>IF(OR(Sorting!U12=0,Sorting!T12="Grand Total"),NA(),Sorting!U12)</f>
        <v>0.3468</v>
      </c>
      <c r="L11">
        <f>IF(OR(Sorting!W12=0,Sorting!V12="Grand Total"),NA(),Sorting!W12)</f>
        <v>0.26050000000000001</v>
      </c>
      <c r="M11">
        <f>IF(OR(Sorting!Y12=0,Sorting!X12="Grand Total"),NA(),Sorting!Y12)</f>
        <v>0.24909999999999999</v>
      </c>
      <c r="N11">
        <f t="shared" si="2"/>
        <v>0.2</v>
      </c>
      <c r="O11">
        <v>9</v>
      </c>
      <c r="P11">
        <f>IF(OR(LOG10(SUM(B$3:B11))=P10,P10=""),NA(),LOG10(SUM(B$3:B11)))</f>
        <v>0.12499302002589498</v>
      </c>
      <c r="Q11">
        <f>IF(OR(LOG10(SUM(C$3:C11))=Q10,Q10=""),NA(),LOG10(SUM(C$3:C11)))</f>
        <v>0.1448543072529298</v>
      </c>
      <c r="R11">
        <f>IF(OR(LOG10(SUM(D$3:D11))=R10,R10=""),NA(),LOG10(SUM(D$3:D11)))</f>
        <v>0.14952701375434785</v>
      </c>
      <c r="S11">
        <f>IF(OR(LOG10(SUM(E$3:E11))=S10,S10=""),NA(),LOG10(SUM(E$3:E11)))</f>
        <v>-0.16449967213268116</v>
      </c>
      <c r="T11">
        <f>IF(OR(LOG10(SUM(F$3:F11))=T10,T10=""),NA(),LOG10(SUM(F$3:F11)))</f>
        <v>5.9070913092980251E-2</v>
      </c>
      <c r="U11">
        <f>IF(OR(LOG10(SUM(G$3:G11))=U10,U10=""),NA(),LOG10(SUM(G$3:G11)))</f>
        <v>1.5694988526518093E-2</v>
      </c>
      <c r="V11">
        <f>IF(OR(LOG10(SUM(H$3:H11))=V10,V10=""),NA(),LOG10(SUM(H$3:H11)))</f>
        <v>0.13583204971268042</v>
      </c>
      <c r="W11">
        <f>IF(OR(LOG10(SUM(I$3:I11))=W10,W10=""),NA(),LOG10(SUM(I$3:I11)))</f>
        <v>-2.8167720075074829E-2</v>
      </c>
      <c r="X11">
        <f>IF(OR(LOG10(SUM(J$3:J11))=X10,X10=""),NA(),LOG10(SUM(J$3:J11)))</f>
        <v>-1.9088062223156503E-2</v>
      </c>
      <c r="Y11">
        <f>IF(OR(LOG10(SUM(K$3:K11))=Y10,Y10=""),NA(),LOG10(SUM(K$3:K11)))</f>
        <v>0.14912669974261428</v>
      </c>
      <c r="Z11">
        <f>IF(OR(LOG10(SUM(L$3:L11))=Z10,Z10=""),NA(),LOG10(SUM(L$3:L11)))</f>
        <v>4.6924174230034969E-2</v>
      </c>
      <c r="AA11">
        <f>IF(OR(LOG10(SUM(M$3:M11))=AA10,AA10=""),NA(),LOG10(SUM(M$3:M11)))</f>
        <v>8.1315622406624034E-3</v>
      </c>
      <c r="AB11">
        <f>IF(OR(LOG10(SUM(N$3:N11))=AB10,AB10=""),NA(),LOG10(SUM(N$3:N11)))</f>
        <v>-0.16551571466519474</v>
      </c>
      <c r="AD11" t="str">
        <f t="shared" si="3"/>
        <v>(9,0.124993020025895)</v>
      </c>
      <c r="AE11" t="str">
        <f t="shared" si="0"/>
        <v>(9,0.14485430725293)</v>
      </c>
      <c r="AF11" t="str">
        <f t="shared" si="0"/>
        <v>(9,0.149527013754348)</v>
      </c>
      <c r="AG11" t="str">
        <f t="shared" si="0"/>
        <v>(9,-0.164499672132681)</v>
      </c>
      <c r="AH11" t="str">
        <f t="shared" si="0"/>
        <v>(9,0.0590709130929803)</v>
      </c>
      <c r="AI11" t="str">
        <f t="shared" si="0"/>
        <v>(9,0.0156949885265181)</v>
      </c>
      <c r="AJ11" t="str">
        <f t="shared" si="0"/>
        <v>(9,0.13583204971268)</v>
      </c>
      <c r="AK11" t="str">
        <f t="shared" si="0"/>
        <v>(9,-0.0281677200750748)</v>
      </c>
      <c r="AL11" t="str">
        <f t="shared" si="0"/>
        <v>(9,-0.0190880622231565)</v>
      </c>
      <c r="AM11" t="str">
        <f t="shared" si="0"/>
        <v>(9,0.149126699742614)</v>
      </c>
      <c r="AN11" t="str">
        <f t="shared" si="0"/>
        <v>(9,0.046924174230035)</v>
      </c>
      <c r="AO11" t="str">
        <f t="shared" si="0"/>
        <v>(9,0.0081315622406624)</v>
      </c>
      <c r="AP11" t="str">
        <f t="shared" si="0"/>
        <v>(9,-0.165515714665195)</v>
      </c>
      <c r="AS11">
        <f t="shared" si="4"/>
        <v>0.22650000000000001</v>
      </c>
      <c r="AT11">
        <f t="shared" si="5"/>
        <v>0.2</v>
      </c>
      <c r="AU11">
        <f t="shared" si="6"/>
        <v>0.2</v>
      </c>
      <c r="AV11">
        <f t="shared" si="7"/>
        <v>0.22650000000000001</v>
      </c>
      <c r="AX11">
        <f>LOG10(SUM(AS$3:AS11))</f>
        <v>-9.6855729590461417E-2</v>
      </c>
      <c r="AY11">
        <f>LOG10(SUM(AT$3:AT11))</f>
        <v>-0.16551571466519474</v>
      </c>
      <c r="AZ11">
        <f>LOG10(SUM(AU$3:AU11))</f>
        <v>-0.16551571466519474</v>
      </c>
      <c r="BA11">
        <f>LOG10(SUM(AV$3:AV11))</f>
        <v>-3.1236951802751434E-2</v>
      </c>
      <c r="BC11" t="str">
        <f t="shared" si="8"/>
        <v>(9,-0.0968557295904614)</v>
      </c>
      <c r="BD11" t="str">
        <f t="shared" si="9"/>
        <v>(9,-0.165515714665195)</v>
      </c>
      <c r="BE11" t="str">
        <f t="shared" si="10"/>
        <v>(9,-0.165515714665195)</v>
      </c>
      <c r="BF11" t="str">
        <f t="shared" si="11"/>
        <v>(9,-0.0312369518027514)</v>
      </c>
    </row>
    <row r="12" spans="1:58">
      <c r="A12">
        <v>10</v>
      </c>
      <c r="B12">
        <f>IF(OR(Sorting!B13=0,Sorting!A13="Grand Total"),NA(),Sorting!B13)</f>
        <v>0.39989999999999998</v>
      </c>
      <c r="C12">
        <f>IF(OR(Sorting!D13=0,Sorting!C13="Grand Total"),NA(),Sorting!D13)</f>
        <v>0.40460000000000002</v>
      </c>
      <c r="D12">
        <f>IF(OR(Sorting!F13=0,Sorting!E13="Grand Total"),NA(),Sorting!F13)</f>
        <v>0.40629999999999999</v>
      </c>
      <c r="E12">
        <f>IF(OR(Sorting!H13=0,Sorting!G13="Grand Total"),NA(),Sorting!H13)</f>
        <v>0.20150000000000001</v>
      </c>
      <c r="F12">
        <f>IF(OR(Sorting!J13=0,Sorting!I13="Grand Total"),NA(),Sorting!J13)</f>
        <v>0.35149999999999998</v>
      </c>
      <c r="G12">
        <f>IF(OR(Sorting!L13=0,Sorting!K13="Grand Total"),NA(),Sorting!L13)</f>
        <v>0.31869999999999998</v>
      </c>
      <c r="H12">
        <f>IF(OR(Sorting!O13=0,Sorting!N13="Grand Total"),NA(),Sorting!O13)</f>
        <v>0.34839999999999999</v>
      </c>
      <c r="I12">
        <f>IF(OR(Sorting!Q13=0,Sorting!P13="Grand Total"),NA(),Sorting!Q13)</f>
        <v>0.22670000000000001</v>
      </c>
      <c r="J12">
        <f>IF(OR(Sorting!S13=0,Sorting!R13="Grand Total"),NA(),Sorting!S13)</f>
        <v>0.23069999999999999</v>
      </c>
      <c r="K12">
        <f>IF(OR(Sorting!U13=0,Sorting!T13="Grand Total"),NA(),Sorting!U13)</f>
        <v>0.34839999999999999</v>
      </c>
      <c r="L12">
        <f>IF(OR(Sorting!W13=0,Sorting!V13="Grand Total"),NA(),Sorting!W13)</f>
        <v>0.26679999999999998</v>
      </c>
      <c r="M12">
        <f>IF(OR(Sorting!Y13=0,Sorting!X13="Grand Total"),NA(),Sorting!Y13)</f>
        <v>0.25130000000000002</v>
      </c>
      <c r="N12">
        <f t="shared" si="2"/>
        <v>0.20150000000000001</v>
      </c>
      <c r="O12">
        <v>10</v>
      </c>
      <c r="P12">
        <f>IF(OR(LOG10(SUM(B$3:B12))=P11,P11=""),NA(),LOG10(SUM(B$3:B12)))</f>
        <v>0.23889879222784061</v>
      </c>
      <c r="Q12">
        <f>IF(OR(LOG10(SUM(C$3:C12))=Q11,Q11=""),NA(),LOG10(SUM(C$3:C12)))</f>
        <v>0.2553931257073041</v>
      </c>
      <c r="R12">
        <f>IF(OR(LOG10(SUM(D$3:D12))=R11,R11=""),NA(),LOG10(SUM(D$3:D12)))</f>
        <v>0.2594266265870519</v>
      </c>
      <c r="S12">
        <f>IF(OR(LOG10(SUM(E$3:E12))=S11,S11=""),NA(),LOG10(SUM(E$3:E12)))</f>
        <v>-5.2468254304406825E-2</v>
      </c>
      <c r="T12">
        <f>IF(OR(LOG10(SUM(F$3:F12))=T11,T11=""),NA(),LOG10(SUM(F$3:F12)))</f>
        <v>0.17527981844238424</v>
      </c>
      <c r="U12">
        <f>IF(OR(LOG10(SUM(G$3:G12))=U11,U11=""),NA(),LOG10(SUM(G$3:G12)))</f>
        <v>0.13209952191650434</v>
      </c>
      <c r="V12">
        <f>IF(OR(LOG10(SUM(H$3:H12))=V11,V11=""),NA(),LOG10(SUM(H$3:H12)))</f>
        <v>0.23441603756703558</v>
      </c>
      <c r="W12">
        <f>IF(OR(LOG10(SUM(I$3:I12))=W11,W11=""),NA(),LOG10(SUM(I$3:I12)))</f>
        <v>6.5915668188591903E-2</v>
      </c>
      <c r="X12">
        <f>IF(OR(LOG10(SUM(J$3:J12))=X11,X11=""),NA(),LOG10(SUM(J$3:J12)))</f>
        <v>7.4706756471866989E-2</v>
      </c>
      <c r="Y12">
        <f>IF(OR(LOG10(SUM(K$3:K12))=Y11,Y11=""),NA(),LOG10(SUM(K$3:K12)))</f>
        <v>0.24504357393060996</v>
      </c>
      <c r="Z12">
        <f>IF(OR(LOG10(SUM(L$3:L12))=Z11,Z11=""),NA(),LOG10(SUM(L$3:L12)))</f>
        <v>0.14016222961363667</v>
      </c>
      <c r="AA12">
        <f>IF(OR(LOG10(SUM(M$3:M12))=AA11,AA11=""),NA(),LOG10(SUM(M$3:M12)))</f>
        <v>0.10387210840305562</v>
      </c>
      <c r="AB12">
        <f>IF(OR(LOG10(SUM(N$3:N12))=AB11,AB11=""),NA(),LOG10(SUM(N$3:N12)))</f>
        <v>-5.3253064966414985E-2</v>
      </c>
      <c r="AD12" t="str">
        <f t="shared" si="3"/>
        <v>(10,0.238898792227841)</v>
      </c>
      <c r="AE12" t="str">
        <f t="shared" si="0"/>
        <v>(10,0.255393125707304)</v>
      </c>
      <c r="AF12" t="str">
        <f t="shared" si="0"/>
        <v>(10,0.259426626587052)</v>
      </c>
      <c r="AG12" t="str">
        <f t="shared" si="0"/>
        <v>(10,-0.0524682543044068)</v>
      </c>
      <c r="AH12" t="str">
        <f t="shared" si="0"/>
        <v>(10,0.175279818442384)</v>
      </c>
      <c r="AI12" t="str">
        <f t="shared" si="0"/>
        <v>(10,0.132099521916504)</v>
      </c>
      <c r="AJ12" t="str">
        <f t="shared" si="0"/>
        <v>(10,0.234416037567036)</v>
      </c>
      <c r="AK12" t="str">
        <f t="shared" si="0"/>
        <v>(10,0.0659156681885919)</v>
      </c>
      <c r="AL12" t="str">
        <f t="shared" si="0"/>
        <v>(10,0.074706756471867)</v>
      </c>
      <c r="AM12" t="str">
        <f t="shared" si="0"/>
        <v>(10,0.24504357393061)</v>
      </c>
      <c r="AN12" t="str">
        <f t="shared" si="0"/>
        <v>(10,0.140162229613637)</v>
      </c>
      <c r="AO12" t="str">
        <f t="shared" si="0"/>
        <v>(10,0.103872108403056)</v>
      </c>
      <c r="AP12" t="str">
        <f t="shared" si="0"/>
        <v>(10,-0.053253064966415)</v>
      </c>
      <c r="AS12">
        <f t="shared" si="4"/>
        <v>0.22670000000000001</v>
      </c>
      <c r="AT12">
        <f t="shared" si="5"/>
        <v>0.20150000000000001</v>
      </c>
      <c r="AU12">
        <f t="shared" si="6"/>
        <v>0.20150000000000001</v>
      </c>
      <c r="AV12">
        <f t="shared" si="7"/>
        <v>0.22670000000000001</v>
      </c>
      <c r="AX12">
        <f>LOG10(SUM(AS$3:AS12))</f>
        <v>1.1485859999405823E-2</v>
      </c>
      <c r="AY12">
        <f>LOG10(SUM(AT$3:AT12))</f>
        <v>-5.3253064966414985E-2</v>
      </c>
      <c r="AZ12">
        <f>LOG10(SUM(AU$3:AU12))</f>
        <v>-5.3253064966414985E-2</v>
      </c>
      <c r="BA12">
        <f>LOG10(SUM(AV$3:AV12))</f>
        <v>6.3445953123033097E-2</v>
      </c>
      <c r="BC12" t="str">
        <f t="shared" si="8"/>
        <v>(10,0.0114858599994058)</v>
      </c>
      <c r="BD12" t="str">
        <f t="shared" si="9"/>
        <v>(10,-0.053253064966415)</v>
      </c>
      <c r="BE12" t="str">
        <f t="shared" si="10"/>
        <v>(10,-0.053253064966415)</v>
      </c>
      <c r="BF12" t="str">
        <f t="shared" si="11"/>
        <v>(10,0.0634459531230331)</v>
      </c>
    </row>
    <row r="13" spans="1:58">
      <c r="A13">
        <v>11</v>
      </c>
      <c r="B13">
        <f>IF(OR(Sorting!B14=0,Sorting!A14="Grand Total"),NA(),Sorting!B14)</f>
        <v>0.40010000000000001</v>
      </c>
      <c r="C13">
        <f>IF(OR(Sorting!D14=0,Sorting!C14="Grand Total"),NA(),Sorting!D14)</f>
        <v>0.40629999999999999</v>
      </c>
      <c r="D13">
        <f>IF(OR(Sorting!F14=0,Sorting!E14="Grand Total"),NA(),Sorting!F14)</f>
        <v>0.4078</v>
      </c>
      <c r="E13">
        <f>IF(OR(Sorting!H14=0,Sorting!G14="Grand Total"),NA(),Sorting!H14)</f>
        <v>0.20630000000000001</v>
      </c>
      <c r="F13">
        <f>IF(OR(Sorting!J14=0,Sorting!I14="Grand Total"),NA(),Sorting!J14)</f>
        <v>0.35470000000000002</v>
      </c>
      <c r="G13">
        <f>IF(OR(Sorting!L14=0,Sorting!K14="Grand Total"),NA(),Sorting!L14)</f>
        <v>0.33279999999999998</v>
      </c>
      <c r="H13">
        <f>IF(OR(Sorting!O14=0,Sorting!N14="Grand Total"),NA(),Sorting!O14)</f>
        <v>0.34839999999999999</v>
      </c>
      <c r="I13">
        <f>IF(OR(Sorting!Q14=0,Sorting!P14="Grand Total"),NA(),Sorting!Q14)</f>
        <v>0.22670000000000001</v>
      </c>
      <c r="J13">
        <f>IF(OR(Sorting!S14=0,Sorting!R14="Grand Total"),NA(),Sorting!S14)</f>
        <v>0.23139999999999999</v>
      </c>
      <c r="K13">
        <f>IF(OR(Sorting!U14=0,Sorting!T14="Grand Total"),NA(),Sorting!U14)</f>
        <v>0.34849999999999998</v>
      </c>
      <c r="L13">
        <f>IF(OR(Sorting!W14=0,Sorting!V14="Grand Total"),NA(),Sorting!W14)</f>
        <v>0.26989999999999997</v>
      </c>
      <c r="M13">
        <f>IF(OR(Sorting!Y14=0,Sorting!X14="Grand Total"),NA(),Sorting!Y14)</f>
        <v>0.25419999999999998</v>
      </c>
      <c r="N13">
        <f t="shared" si="2"/>
        <v>0.20630000000000001</v>
      </c>
      <c r="O13">
        <v>11</v>
      </c>
      <c r="P13">
        <f>IF(OR(LOG10(SUM(B$3:B13))=P12,P12=""),NA(),LOG10(SUM(B$3:B13)))</f>
        <v>0.32909264719533093</v>
      </c>
      <c r="Q13">
        <f>IF(OR(LOG10(SUM(C$3:C13))=Q12,Q12=""),NA(),LOG10(SUM(C$3:C13)))</f>
        <v>0.34376297528570227</v>
      </c>
      <c r="R13">
        <f>IF(OR(LOG10(SUM(D$3:D13))=R12,R12=""),NA(),LOG10(SUM(D$3:D13)))</f>
        <v>0.34734953373145683</v>
      </c>
      <c r="S13">
        <f>IF(OR(LOG10(SUM(E$3:E13))=S12,S12=""),NA(),LOG10(SUM(E$3:E13)))</f>
        <v>3.8421445642459459E-2</v>
      </c>
      <c r="T13">
        <f>IF(OR(LOG10(SUM(F$3:F13))=T12,T12=""),NA(),LOG10(SUM(F$3:F13)))</f>
        <v>0.26761753168677194</v>
      </c>
      <c r="U13">
        <f>IF(OR(LOG10(SUM(G$3:G13))=U12,U12=""),NA(),LOG10(SUM(G$3:G13)))</f>
        <v>0.22744962046984168</v>
      </c>
      <c r="V13">
        <f>IF(OR(LOG10(SUM(H$3:H13))=V12,V12=""),NA(),LOG10(SUM(H$3:H13)))</f>
        <v>0.31470969295517376</v>
      </c>
      <c r="W13">
        <f>IF(OR(LOG10(SUM(I$3:I13))=W12,W12=""),NA(),LOG10(SUM(I$3:I13)))</f>
        <v>0.14320222504959695</v>
      </c>
      <c r="X13">
        <f>IF(OR(LOG10(SUM(J$3:J13))=X12,X12=""),NA(),LOG10(SUM(J$3:J13)))</f>
        <v>0.15201300005083451</v>
      </c>
      <c r="Y13">
        <f>IF(OR(LOG10(SUM(K$3:K13))=Y12,Y12=""),NA(),LOG10(SUM(K$3:K13)))</f>
        <v>0.32358207984899479</v>
      </c>
      <c r="Z13">
        <f>IF(OR(LOG10(SUM(L$3:L13))=Z12,Z12=""),NA(),LOG10(SUM(L$3:L13)))</f>
        <v>0.21769446020537836</v>
      </c>
      <c r="AA13">
        <f>IF(OR(LOG10(SUM(M$3:M13))=AA12,AA12=""),NA(),LOG10(SUM(M$3:M13)))</f>
        <v>0.18309894010012959</v>
      </c>
      <c r="AB13">
        <f>IF(OR(LOG10(SUM(N$3:N13))=AB12,AB12=""),NA(),LOG10(SUM(N$3:N13)))</f>
        <v>3.7784941753637502E-2</v>
      </c>
      <c r="AD13" t="str">
        <f t="shared" si="3"/>
        <v>(11,0.329092647195331)</v>
      </c>
      <c r="AE13" t="str">
        <f t="shared" si="0"/>
        <v>(11,0.343762975285702)</v>
      </c>
      <c r="AF13" t="str">
        <f t="shared" si="0"/>
        <v>(11,0.347349533731457)</v>
      </c>
      <c r="AG13" t="str">
        <f t="shared" si="0"/>
        <v>(11,0.0384214456424595)</v>
      </c>
      <c r="AH13" t="str">
        <f t="shared" si="0"/>
        <v>(11,0.267617531686772)</v>
      </c>
      <c r="AI13" t="str">
        <f t="shared" si="0"/>
        <v>(11,0.227449620469842)</v>
      </c>
      <c r="AJ13" t="str">
        <f t="shared" si="0"/>
        <v>(11,0.314709692955174)</v>
      </c>
      <c r="AK13" t="str">
        <f t="shared" si="0"/>
        <v>(11,0.143202225049597)</v>
      </c>
      <c r="AL13" t="str">
        <f t="shared" si="0"/>
        <v>(11,0.152013000050835)</v>
      </c>
      <c r="AM13" t="str">
        <f t="shared" si="0"/>
        <v>(11,0.323582079848995)</v>
      </c>
      <c r="AN13" t="str">
        <f t="shared" si="0"/>
        <v>(11,0.217694460205378)</v>
      </c>
      <c r="AO13" t="str">
        <f t="shared" si="0"/>
        <v>(11,0.18309894010013)</v>
      </c>
      <c r="AP13" t="str">
        <f t="shared" si="0"/>
        <v>(11,0.0377849417536375)</v>
      </c>
      <c r="AS13">
        <f t="shared" si="4"/>
        <v>0.22670000000000001</v>
      </c>
      <c r="AT13">
        <f t="shared" si="5"/>
        <v>0.20630000000000001</v>
      </c>
      <c r="AU13">
        <f t="shared" si="6"/>
        <v>0.20630000000000001</v>
      </c>
      <c r="AV13">
        <f t="shared" si="7"/>
        <v>0.22670000000000001</v>
      </c>
      <c r="AX13">
        <f>LOG10(SUM(AS$3:AS13))</f>
        <v>9.8124338294235419E-2</v>
      </c>
      <c r="AY13">
        <f>LOG10(SUM(AT$3:AT13))</f>
        <v>3.7784941753637502E-2</v>
      </c>
      <c r="AZ13">
        <f>LOG10(SUM(AU$3:AU13))</f>
        <v>3.7784941753637502E-2</v>
      </c>
      <c r="BA13">
        <f>LOG10(SUM(AV$3:AV13))</f>
        <v>0.14113609012073897</v>
      </c>
      <c r="BC13" t="str">
        <f t="shared" si="8"/>
        <v>(11,0.0981243382942354)</v>
      </c>
      <c r="BD13" t="str">
        <f t="shared" si="9"/>
        <v>(11,0.0377849417536375)</v>
      </c>
      <c r="BE13" t="str">
        <f t="shared" si="10"/>
        <v>(11,0.0377849417536375)</v>
      </c>
      <c r="BF13" t="str">
        <f t="shared" si="11"/>
        <v>(11,0.141136090120739)</v>
      </c>
    </row>
    <row r="14" spans="1:58">
      <c r="A14">
        <v>12</v>
      </c>
      <c r="B14">
        <f>IF(OR(Sorting!B15=0,Sorting!A15="Grand Total"),NA(),Sorting!B15)</f>
        <v>0.41470000000000001</v>
      </c>
      <c r="C14">
        <f>IF(OR(Sorting!D15=0,Sorting!C15="Grand Total"),NA(),Sorting!D15)</f>
        <v>0.41410000000000002</v>
      </c>
      <c r="D14">
        <f>IF(OR(Sorting!F15=0,Sorting!E15="Grand Total"),NA(),Sorting!F15)</f>
        <v>0.43440000000000001</v>
      </c>
      <c r="E14">
        <f>IF(OR(Sorting!H15=0,Sorting!G15="Grand Total"),NA(),Sorting!H15)</f>
        <v>0.2094</v>
      </c>
      <c r="F14">
        <f>IF(OR(Sorting!J15=0,Sorting!I15="Grand Total"),NA(),Sorting!J15)</f>
        <v>0.35620000000000002</v>
      </c>
      <c r="G14">
        <f>IF(OR(Sorting!L15=0,Sorting!K15="Grand Total"),NA(),Sorting!L15)</f>
        <v>0.33439999999999998</v>
      </c>
      <c r="H14">
        <f>IF(OR(Sorting!O15=0,Sorting!N15="Grand Total"),NA(),Sorting!O15)</f>
        <v>0.36249999999999999</v>
      </c>
      <c r="I14">
        <f>IF(OR(Sorting!Q15=0,Sorting!P15="Grand Total"),NA(),Sorting!Q15)</f>
        <v>0.23350000000000001</v>
      </c>
      <c r="J14">
        <f>IF(OR(Sorting!S15=0,Sorting!R15="Grand Total"),NA(),Sorting!S15)</f>
        <v>0.23749999999999999</v>
      </c>
      <c r="K14">
        <f>IF(OR(Sorting!U15=0,Sorting!T15="Grand Total"),NA(),Sorting!U15)</f>
        <v>0.36470000000000002</v>
      </c>
      <c r="L14">
        <f>IF(OR(Sorting!W15=0,Sorting!V15="Grand Total"),NA(),Sorting!W15)</f>
        <v>0.28239999999999998</v>
      </c>
      <c r="M14">
        <f>IF(OR(Sorting!Y15=0,Sorting!X15="Grand Total"),NA(),Sorting!Y15)</f>
        <v>0.25559999999999999</v>
      </c>
      <c r="N14">
        <f t="shared" si="2"/>
        <v>0.2094</v>
      </c>
      <c r="O14">
        <v>12</v>
      </c>
      <c r="P14">
        <f>IF(OR(LOG10(SUM(B$3:B14))=P13,P13=""),NA(),LOG10(SUM(B$3:B14)))</f>
        <v>0.40623351137432306</v>
      </c>
      <c r="Q14">
        <f>IF(OR(LOG10(SUM(C$3:C14))=Q13,Q13=""),NA(),LOG10(SUM(C$3:C14)))</f>
        <v>0.41845045082958349</v>
      </c>
      <c r="R14">
        <f>IF(OR(LOG10(SUM(D$3:D14))=R13,R13=""),NA(),LOG10(SUM(D$3:D14)))</f>
        <v>0.42479999465659907</v>
      </c>
      <c r="S14">
        <f>IF(OR(LOG10(SUM(E$3:E14))=S13,S13=""),NA(),LOG10(SUM(E$3:E14)))</f>
        <v>0.11457762700016604</v>
      </c>
      <c r="T14">
        <f>IF(OR(LOG10(SUM(F$3:F14))=T13,T13=""),NA(),LOG10(SUM(F$3:F14)))</f>
        <v>0.34401873774591279</v>
      </c>
      <c r="U14">
        <f>IF(OR(LOG10(SUM(G$3:G14))=U13,U13=""),NA(),LOG10(SUM(G$3:G14)))</f>
        <v>0.30593147446331287</v>
      </c>
      <c r="V14">
        <f>IF(OR(LOG10(SUM(H$3:H14))=V13,V13=""),NA(),LOG10(SUM(H$3:H14)))</f>
        <v>0.38498029565130432</v>
      </c>
      <c r="W14">
        <f>IF(OR(LOG10(SUM(I$3:I14))=W13,W13=""),NA(),LOG10(SUM(I$3:I14)))</f>
        <v>0.21061276635289769</v>
      </c>
      <c r="X14">
        <f>IF(OR(LOG10(SUM(J$3:J14))=X13,X13=""),NA(),LOG10(SUM(J$3:J14)))</f>
        <v>0.21921765702290677</v>
      </c>
      <c r="Y14">
        <f>IF(OR(LOG10(SUM(K$3:K14))=Y13,Y13=""),NA(),LOG10(SUM(K$3:K14)))</f>
        <v>0.39292546917227988</v>
      </c>
      <c r="Z14">
        <f>IF(OR(LOG10(SUM(L$3:L14))=Z13,Z13=""),NA(),LOG10(SUM(L$3:L14)))</f>
        <v>0.2862767864668429</v>
      </c>
      <c r="AA14">
        <f>IF(OR(LOG10(SUM(M$3:M14))=AA13,AA13=""),NA(),LOG10(SUM(M$3:M14)))</f>
        <v>0.250420002308894</v>
      </c>
      <c r="AB14">
        <f>IF(OR(LOG10(SUM(N$3:N14))=AB13,AB13=""),NA(),LOG10(SUM(N$3:N14)))</f>
        <v>0.11404356254807743</v>
      </c>
      <c r="AD14" t="str">
        <f t="shared" si="3"/>
        <v>(12,0.406233511374323)</v>
      </c>
      <c r="AE14" t="str">
        <f t="shared" si="0"/>
        <v>(12,0.418450450829583)</v>
      </c>
      <c r="AF14" t="str">
        <f t="shared" si="0"/>
        <v>(12,0.424799994656599)</v>
      </c>
      <c r="AG14" t="str">
        <f t="shared" si="0"/>
        <v>(12,0.114577627000166)</v>
      </c>
      <c r="AH14" t="str">
        <f t="shared" si="0"/>
        <v>(12,0.344018737745913)</v>
      </c>
      <c r="AI14" t="str">
        <f t="shared" si="0"/>
        <v>(12,0.305931474463313)</v>
      </c>
      <c r="AJ14" t="str">
        <f t="shared" si="0"/>
        <v>(12,0.384980295651304)</v>
      </c>
      <c r="AK14" t="str">
        <f t="shared" si="0"/>
        <v>(12,0.210612766352898)</v>
      </c>
      <c r="AL14" t="str">
        <f t="shared" si="0"/>
        <v>(12,0.219217657022907)</v>
      </c>
      <c r="AM14" t="str">
        <f t="shared" si="0"/>
        <v>(12,0.39292546917228)</v>
      </c>
      <c r="AN14" t="str">
        <f t="shared" si="0"/>
        <v>(12,0.286276786466843)</v>
      </c>
      <c r="AO14" t="str">
        <f t="shared" si="0"/>
        <v>(12,0.250420002308894)</v>
      </c>
      <c r="AP14" t="str">
        <f t="shared" si="0"/>
        <v>(12,0.114043562548077)</v>
      </c>
      <c r="AS14">
        <f t="shared" si="4"/>
        <v>0.23350000000000001</v>
      </c>
      <c r="AT14">
        <f t="shared" si="5"/>
        <v>0.2094</v>
      </c>
      <c r="AU14">
        <f t="shared" si="6"/>
        <v>0.2094</v>
      </c>
      <c r="AV14">
        <f t="shared" si="7"/>
        <v>0.23350000000000001</v>
      </c>
      <c r="AX14">
        <f>LOG10(SUM(AS$3:AS14))</f>
        <v>0.17231096852195429</v>
      </c>
      <c r="AY14">
        <f>LOG10(SUM(AT$3:AT14))</f>
        <v>0.11404356254807743</v>
      </c>
      <c r="AZ14">
        <f>LOG10(SUM(AU$3:AU14))</f>
        <v>0.11404356254807743</v>
      </c>
      <c r="BA14">
        <f>LOG10(SUM(AV$3:AV14))</f>
        <v>0.20884428934073798</v>
      </c>
      <c r="BC14" t="str">
        <f t="shared" si="8"/>
        <v>(12,0.172310968521954)</v>
      </c>
      <c r="BD14" t="str">
        <f t="shared" si="9"/>
        <v>(12,0.114043562548077)</v>
      </c>
      <c r="BE14" t="str">
        <f t="shared" si="10"/>
        <v>(12,0.114043562548077)</v>
      </c>
      <c r="BF14" t="str">
        <f t="shared" si="11"/>
        <v>(12,0.208844289340738)</v>
      </c>
    </row>
    <row r="15" spans="1:58">
      <c r="A15">
        <v>13</v>
      </c>
      <c r="B15">
        <f>IF(OR(Sorting!B16=0,Sorting!A16="Grand Total"),NA(),Sorting!B16)</f>
        <v>0.4274</v>
      </c>
      <c r="C15">
        <f>IF(OR(Sorting!D16=0,Sorting!C16="Grand Total"),NA(),Sorting!D16)</f>
        <v>0.43130000000000002</v>
      </c>
      <c r="D15">
        <f>IF(OR(Sorting!F16=0,Sorting!E16="Grand Total"),NA(),Sorting!F16)</f>
        <v>0.45619999999999999</v>
      </c>
      <c r="E15">
        <f>IF(OR(Sorting!H16=0,Sorting!G16="Grand Total"),NA(),Sorting!H16)</f>
        <v>0.2172</v>
      </c>
      <c r="F15">
        <f>IF(OR(Sorting!J16=0,Sorting!I16="Grand Total"),NA(),Sorting!J16)</f>
        <v>0.3735</v>
      </c>
      <c r="G15">
        <f>IF(OR(Sorting!L16=0,Sorting!K16="Grand Total"),NA(),Sorting!L16)</f>
        <v>0.35149999999999998</v>
      </c>
      <c r="H15">
        <f>IF(OR(Sorting!O16=0,Sorting!N16="Grand Total"),NA(),Sorting!O16)</f>
        <v>0.36480000000000001</v>
      </c>
      <c r="I15">
        <f>IF(OR(Sorting!Q16=0,Sorting!P16="Grand Total"),NA(),Sorting!Q16)</f>
        <v>0.23419999999999999</v>
      </c>
      <c r="J15">
        <f>IF(OR(Sorting!S16=0,Sorting!R16="Grand Total"),NA(),Sorting!S16)</f>
        <v>0.24690000000000001</v>
      </c>
      <c r="K15">
        <f>IF(OR(Sorting!U16=0,Sorting!T16="Grand Total"),NA(),Sorting!U16)</f>
        <v>0.37040000000000001</v>
      </c>
      <c r="L15">
        <f>IF(OR(Sorting!W16=0,Sorting!V16="Grand Total"),NA(),Sorting!W16)</f>
        <v>0.2843</v>
      </c>
      <c r="M15">
        <f>IF(OR(Sorting!Y16=0,Sorting!X16="Grand Total"),NA(),Sorting!Y16)</f>
        <v>0.25619999999999998</v>
      </c>
      <c r="N15">
        <f t="shared" si="2"/>
        <v>0.2172</v>
      </c>
      <c r="O15">
        <v>13</v>
      </c>
      <c r="P15">
        <f>IF(OR(LOG10(SUM(B$3:B15))=P14,P14=""),NA(),LOG10(SUM(B$3:B15)))</f>
        <v>0.47357455003634435</v>
      </c>
      <c r="Q15">
        <f>IF(OR(LOG10(SUM(C$3:C15))=Q14,Q14=""),NA(),LOG10(SUM(C$3:C15)))</f>
        <v>0.48461298801499836</v>
      </c>
      <c r="R15">
        <f>IF(OR(LOG10(SUM(D$3:D15))=R14,R14=""),NA(),LOG10(SUM(D$3:D15)))</f>
        <v>0.49355563429677934</v>
      </c>
      <c r="S15">
        <f>IF(OR(LOG10(SUM(E$3:E15))=S14,S14=""),NA(),LOG10(SUM(E$3:E15)))</f>
        <v>0.18158636373685635</v>
      </c>
      <c r="T15">
        <f>IF(OR(LOG10(SUM(F$3:F15))=T14,T14=""),NA(),LOG10(SUM(F$3:F15)))</f>
        <v>0.41188895239584855</v>
      </c>
      <c r="U15">
        <f>IF(OR(LOG10(SUM(G$3:G15))=U14,U14=""),NA(),LOG10(SUM(G$3:G15)))</f>
        <v>0.37551730064967137</v>
      </c>
      <c r="V15">
        <f>IF(OR(LOG10(SUM(H$3:H15))=V14,V14=""),NA(),LOG10(SUM(H$3:H15)))</f>
        <v>0.4458065155795779</v>
      </c>
      <c r="W15">
        <f>IF(OR(LOG10(SUM(I$3:I15))=W14,W14=""),NA(),LOG10(SUM(I$3:I15)))</f>
        <v>0.26911582689511943</v>
      </c>
      <c r="X15">
        <f>IF(OR(LOG10(SUM(J$3:J15))=X14,X14=""),NA(),LOG10(SUM(J$3:J15)))</f>
        <v>0.27955288115038596</v>
      </c>
      <c r="Y15">
        <f>IF(OR(LOG10(SUM(K$3:K15))=Y14,Y14=""),NA(),LOG10(SUM(K$3:K15)))</f>
        <v>0.45357822727841823</v>
      </c>
      <c r="Z15">
        <f>IF(OR(LOG10(SUM(L$3:L15))=Z14,Z14=""),NA(),LOG10(SUM(L$3:L15)))</f>
        <v>0.34586362850376406</v>
      </c>
      <c r="AA15">
        <f>IF(OR(LOG10(SUM(M$3:M15))=AA14,AA14=""),NA(),LOG10(SUM(M$3:M15)))</f>
        <v>0.30882043310995982</v>
      </c>
      <c r="AB15">
        <f>IF(OR(LOG10(SUM(N$3:N15))=AB14,AB14=""),NA(),LOG10(SUM(N$3:N15)))</f>
        <v>0.1811286997472952</v>
      </c>
      <c r="AD15" t="str">
        <f t="shared" si="3"/>
        <v>(13,0.473574550036344)</v>
      </c>
      <c r="AE15" t="str">
        <f t="shared" si="0"/>
        <v>(13,0.484612988014998)</v>
      </c>
      <c r="AF15" t="str">
        <f t="shared" si="0"/>
        <v>(13,0.493555634296779)</v>
      </c>
      <c r="AG15" t="str">
        <f t="shared" si="0"/>
        <v>(13,0.181586363736856)</v>
      </c>
      <c r="AH15" t="str">
        <f t="shared" si="0"/>
        <v>(13,0.411888952395849)</v>
      </c>
      <c r="AI15" t="str">
        <f t="shared" si="0"/>
        <v>(13,0.375517300649671)</v>
      </c>
      <c r="AJ15" t="str">
        <f t="shared" si="0"/>
        <v>(13,0.445806515579578)</v>
      </c>
      <c r="AK15" t="str">
        <f t="shared" si="0"/>
        <v>(13,0.269115826895119)</v>
      </c>
      <c r="AL15" t="str">
        <f t="shared" si="0"/>
        <v>(13,0.279552881150386)</v>
      </c>
      <c r="AM15" t="str">
        <f t="shared" si="0"/>
        <v>(13,0.453578227278418)</v>
      </c>
      <c r="AN15" t="str">
        <f t="shared" si="0"/>
        <v>(13,0.345863628503764)</v>
      </c>
      <c r="AO15" t="str">
        <f t="shared" si="0"/>
        <v>(13,0.30882043310996)</v>
      </c>
      <c r="AP15" t="str">
        <f t="shared" si="0"/>
        <v>(13,0.181128699747295)</v>
      </c>
      <c r="AS15">
        <f t="shared" si="4"/>
        <v>0.23419999999999999</v>
      </c>
      <c r="AT15">
        <f t="shared" si="5"/>
        <v>0.2172</v>
      </c>
      <c r="AU15">
        <f t="shared" si="6"/>
        <v>0.2172</v>
      </c>
      <c r="AV15">
        <f t="shared" si="7"/>
        <v>0.23419999999999999</v>
      </c>
      <c r="AX15">
        <f>LOG10(SUM(AS$3:AS15))</f>
        <v>0.23583133741051798</v>
      </c>
      <c r="AY15">
        <f>LOG10(SUM(AT$3:AT15))</f>
        <v>0.1811286997472952</v>
      </c>
      <c r="AZ15">
        <f>LOG10(SUM(AU$3:AU15))</f>
        <v>0.1811286997472952</v>
      </c>
      <c r="BA15">
        <f>LOG10(SUM(AV$3:AV15))</f>
        <v>0.26757062656933756</v>
      </c>
      <c r="BC15" t="str">
        <f t="shared" si="8"/>
        <v>(13,0.235831337410518)</v>
      </c>
      <c r="BD15" t="str">
        <f t="shared" si="9"/>
        <v>(13,0.181128699747295)</v>
      </c>
      <c r="BE15" t="str">
        <f t="shared" si="10"/>
        <v>(13,0.181128699747295)</v>
      </c>
      <c r="BF15" t="str">
        <f t="shared" si="11"/>
        <v>(13,0.267570626569338)</v>
      </c>
    </row>
    <row r="16" spans="1:58">
      <c r="A16">
        <v>14</v>
      </c>
      <c r="B16">
        <f>IF(OR(Sorting!B17=0,Sorting!A17="Grand Total"),NA(),Sorting!B17)</f>
        <v>0.42799999999999999</v>
      </c>
      <c r="C16">
        <f>IF(OR(Sorting!D17=0,Sorting!C17="Grand Total"),NA(),Sorting!D17)</f>
        <v>0.43440000000000001</v>
      </c>
      <c r="D16">
        <f>IF(OR(Sorting!F17=0,Sorting!E17="Grand Total"),NA(),Sorting!F17)</f>
        <v>0.57189999999999996</v>
      </c>
      <c r="E16">
        <f>IF(OR(Sorting!H17=0,Sorting!G17="Grand Total"),NA(),Sorting!H17)</f>
        <v>0.2344</v>
      </c>
      <c r="F16">
        <f>IF(OR(Sorting!J17=0,Sorting!I17="Grand Total"),NA(),Sorting!J17)</f>
        <v>0.375</v>
      </c>
      <c r="G16">
        <f>IF(OR(Sorting!L17=0,Sorting!K17="Grand Total"),NA(),Sorting!L17)</f>
        <v>0.35780000000000001</v>
      </c>
      <c r="H16">
        <f>IF(OR(Sorting!O17=0,Sorting!N17="Grand Total"),NA(),Sorting!O17)</f>
        <v>0.37990000000000002</v>
      </c>
      <c r="I16">
        <f>IF(OR(Sorting!Q17=0,Sorting!P17="Grand Total"),NA(),Sorting!Q17)</f>
        <v>0.24709999999999999</v>
      </c>
      <c r="J16">
        <f>IF(OR(Sorting!S17=0,Sorting!R17="Grand Total"),NA(),Sorting!S17)</f>
        <v>0.26960000000000001</v>
      </c>
      <c r="K16">
        <f>IF(OR(Sorting!U17=0,Sorting!T17="Grand Total"),NA(),Sorting!U17)</f>
        <v>0.37990000000000002</v>
      </c>
      <c r="L16">
        <f>IF(OR(Sorting!W17=0,Sorting!V17="Grand Total"),NA(),Sorting!W17)</f>
        <v>0.28560000000000002</v>
      </c>
      <c r="M16">
        <f>IF(OR(Sorting!Y17=0,Sorting!X17="Grand Total"),NA(),Sorting!Y17)</f>
        <v>0.2722</v>
      </c>
      <c r="N16">
        <f t="shared" si="2"/>
        <v>0.2344</v>
      </c>
      <c r="O16">
        <v>14</v>
      </c>
      <c r="P16">
        <f>IF(OR(LOG10(SUM(B$3:B16))=P15,P15=""),NA(),LOG10(SUM(B$3:B16)))</f>
        <v>0.53193851498474565</v>
      </c>
      <c r="Q16">
        <f>IF(OR(LOG10(SUM(C$3:C16))=Q15,Q15=""),NA(),LOG10(SUM(C$3:C16)))</f>
        <v>0.54240212582241687</v>
      </c>
      <c r="R16">
        <f>IF(OR(LOG10(SUM(D$3:D16))=R15,R15=""),NA(),LOG10(SUM(D$3:D16)))</f>
        <v>0.56674380630400301</v>
      </c>
      <c r="S16">
        <f>IF(OR(LOG10(SUM(E$3:E16))=S15,S15=""),NA(),LOG10(SUM(E$3:E16)))</f>
        <v>0.24390577021752136</v>
      </c>
      <c r="T16">
        <f>IF(OR(LOG10(SUM(F$3:F16))=T15,T15=""),NA(),LOG10(SUM(F$3:F16)))</f>
        <v>0.47079257256689611</v>
      </c>
      <c r="U16">
        <f>IF(OR(LOG10(SUM(G$3:G16))=U15,U15=""),NA(),LOG10(SUM(G$3:G16)))</f>
        <v>0.43648069500949499</v>
      </c>
      <c r="V16">
        <f>IF(OR(LOG10(SUM(H$3:H16))=V15,V15=""),NA(),LOG10(SUM(H$3:H16)))</f>
        <v>0.50122363280518123</v>
      </c>
      <c r="W16">
        <f>IF(OR(LOG10(SUM(I$3:I16))=W15,W15=""),NA(),LOG10(SUM(I$3:I16)))</f>
        <v>0.32333461859904977</v>
      </c>
      <c r="X16">
        <f>IF(OR(LOG10(SUM(J$3:J16))=X15,X15=""),NA(),LOG10(SUM(J$3:J16)))</f>
        <v>0.33707971180093133</v>
      </c>
      <c r="Y16">
        <f>IF(OR(LOG10(SUM(K$3:K16))=Y15,Y15=""),NA(),LOG10(SUM(K$3:K16)))</f>
        <v>0.50807161659937516</v>
      </c>
      <c r="Z16">
        <f>IF(OR(LOG10(SUM(L$3:L16))=Z15,Z15=""),NA(),LOG10(SUM(L$3:L16)))</f>
        <v>0.39847820021975566</v>
      </c>
      <c r="AA16">
        <f>IF(OR(LOG10(SUM(M$3:M16))=AA15,AA15=""),NA(),LOG10(SUM(M$3:M16)))</f>
        <v>0.36331106563662507</v>
      </c>
      <c r="AB16">
        <f>IF(OR(LOG10(SUM(N$3:N16))=AB15,AB15=""),NA(),LOG10(SUM(N$3:N16)))</f>
        <v>0.24350931262677519</v>
      </c>
      <c r="AD16" t="str">
        <f t="shared" si="3"/>
        <v>(14,0.531938514984746)</v>
      </c>
      <c r="AE16" t="str">
        <f t="shared" si="0"/>
        <v>(14,0.542402125822417)</v>
      </c>
      <c r="AF16" t="str">
        <f t="shared" si="0"/>
        <v>(14,0.566743806304003)</v>
      </c>
      <c r="AG16" t="str">
        <f t="shared" si="0"/>
        <v>(14,0.243905770217521)</v>
      </c>
      <c r="AH16" t="str">
        <f t="shared" si="0"/>
        <v>(14,0.470792572566896)</v>
      </c>
      <c r="AI16" t="str">
        <f t="shared" si="0"/>
        <v>(14,0.436480695009495)</v>
      </c>
      <c r="AJ16" t="str">
        <f t="shared" si="0"/>
        <v>(14,0.501223632805181)</v>
      </c>
      <c r="AK16" t="str">
        <f t="shared" si="0"/>
        <v>(14,0.32333461859905)</v>
      </c>
      <c r="AL16" t="str">
        <f t="shared" si="0"/>
        <v>(14,0.337079711800931)</v>
      </c>
      <c r="AM16" t="str">
        <f t="shared" si="0"/>
        <v>(14,0.508071616599375)</v>
      </c>
      <c r="AN16" t="str">
        <f t="shared" si="0"/>
        <v>(14,0.398478200219756)</v>
      </c>
      <c r="AO16" t="str">
        <f t="shared" si="0"/>
        <v>(14,0.363311065636625)</v>
      </c>
      <c r="AP16" t="str">
        <f t="shared" si="0"/>
        <v>(14,0.243509312626775)</v>
      </c>
      <c r="AS16">
        <f t="shared" si="4"/>
        <v>0.24709999999999999</v>
      </c>
      <c r="AT16">
        <f t="shared" si="5"/>
        <v>0.2344</v>
      </c>
      <c r="AU16">
        <f t="shared" si="6"/>
        <v>0.2344</v>
      </c>
      <c r="AV16">
        <f t="shared" si="7"/>
        <v>0.24709999999999999</v>
      </c>
      <c r="AX16">
        <f>LOG10(SUM(AS$3:AS16))</f>
        <v>0.29409129247696197</v>
      </c>
      <c r="AY16">
        <f>LOG10(SUM(AT$3:AT16))</f>
        <v>0.24350931262677519</v>
      </c>
      <c r="AZ16">
        <f>LOG10(SUM(AU$3:AU16))</f>
        <v>0.24350931262677519</v>
      </c>
      <c r="BA16">
        <f>LOG10(SUM(AV$3:AV16))</f>
        <v>0.32197105552630129</v>
      </c>
      <c r="BC16" t="str">
        <f t="shared" si="8"/>
        <v>(14,0.294091292476962)</v>
      </c>
      <c r="BD16" t="str">
        <f t="shared" si="9"/>
        <v>(14,0.243509312626775)</v>
      </c>
      <c r="BE16" t="str">
        <f t="shared" si="10"/>
        <v>(14,0.243509312626775)</v>
      </c>
      <c r="BF16" t="str">
        <f t="shared" si="11"/>
        <v>(14,0.321971055526301)</v>
      </c>
    </row>
    <row r="17" spans="1:58">
      <c r="A17">
        <v>15</v>
      </c>
      <c r="B17">
        <f>IF(OR(Sorting!B18=0,Sorting!A18="Grand Total"),NA(),Sorting!B18)</f>
        <v>16.042899999999999</v>
      </c>
      <c r="C17">
        <f>IF(OR(Sorting!D18=0,Sorting!C18="Grand Total"),NA(),Sorting!D18)</f>
        <v>18.604700000000001</v>
      </c>
      <c r="D17">
        <f>IF(OR(Sorting!F18=0,Sorting!E18="Grand Total"),NA(),Sorting!F18)</f>
        <v>3.8984000000000001</v>
      </c>
      <c r="E17">
        <f>IF(OR(Sorting!H18=0,Sorting!G18="Grand Total"),NA(),Sorting!H18)</f>
        <v>0.4546</v>
      </c>
      <c r="F17">
        <f>IF(OR(Sorting!J18=0,Sorting!I18="Grand Total"),NA(),Sorting!J18)</f>
        <v>0.38900000000000001</v>
      </c>
      <c r="G17">
        <f>IF(OR(Sorting!L18=0,Sorting!K18="Grand Total"),NA(),Sorting!L18)</f>
        <v>0.58120000000000005</v>
      </c>
      <c r="H17" t="e">
        <f>IF(OR(Sorting!O18=0,Sorting!N18="Grand Total"),NA(),Sorting!O18)</f>
        <v>#N/A</v>
      </c>
      <c r="I17">
        <f>IF(OR(Sorting!Q18=0,Sorting!P18="Grand Total"),NA(),Sorting!Q18)</f>
        <v>43.664400000000001</v>
      </c>
      <c r="J17">
        <f>IF(OR(Sorting!S18=0,Sorting!R18="Grand Total"),NA(),Sorting!S18)</f>
        <v>3.5829</v>
      </c>
      <c r="K17" t="e">
        <f>IF(OR(Sorting!U18=0,Sorting!T18="Grand Total"),NA(),Sorting!U18)</f>
        <v>#N/A</v>
      </c>
      <c r="L17">
        <f>IF(OR(Sorting!W18=0,Sorting!V18="Grand Total"),NA(),Sorting!W18)</f>
        <v>1.0608</v>
      </c>
      <c r="M17">
        <f>IF(OR(Sorting!Y18=0,Sorting!X18="Grand Total"),NA(),Sorting!Y18)</f>
        <v>1.0783</v>
      </c>
      <c r="N17">
        <f t="shared" si="2"/>
        <v>0.38900000000000001</v>
      </c>
      <c r="O17">
        <v>15</v>
      </c>
      <c r="P17">
        <f>IF(OR(LOG10(SUM(B$3:B17))=P16,P16=""),NA(),LOG10(SUM(B$3:B17)))</f>
        <v>1.2888414479513535</v>
      </c>
      <c r="Q17">
        <f>IF(OR(LOG10(SUM(C$3:C17))=Q16,Q16=""),NA(),LOG10(SUM(C$3:C17)))</f>
        <v>1.3442212734184802</v>
      </c>
      <c r="R17">
        <f>IF(OR(LOG10(SUM(D$3:D17))=R16,R16=""),NA(),LOG10(SUM(D$3:D17)))</f>
        <v>0.8800128383667718</v>
      </c>
      <c r="S17">
        <f>IF(OR(LOG10(SUM(E$3:E17))=S16,S16=""),NA(),LOG10(SUM(E$3:E17)))</f>
        <v>0.34401873774591279</v>
      </c>
      <c r="T17">
        <f>IF(OR(LOG10(SUM(F$3:F17))=T16,T16=""),NA(),LOG10(SUM(F$3:F17)))</f>
        <v>0.52447401547359662</v>
      </c>
      <c r="U17">
        <f>IF(OR(LOG10(SUM(G$3:G17))=U16,U16=""),NA(),LOG10(SUM(G$3:G17)))</f>
        <v>0.520247652686888</v>
      </c>
      <c r="V17" t="e">
        <f>IF(OR(LOG10(SUM(H$3:H17))=V16,V16=""),NA(),LOG10(SUM(H$3:H17)))</f>
        <v>#N/A</v>
      </c>
      <c r="W17">
        <f>IF(OR(LOG10(SUM(I$3:I17))=W16,W16=""),NA(),LOG10(SUM(I$3:I17)))</f>
        <v>1.660579014697648</v>
      </c>
      <c r="X17">
        <f>IF(OR(LOG10(SUM(J$3:J17))=X16,X16=""),NA(),LOG10(SUM(J$3:J17)))</f>
        <v>0.76012078526456761</v>
      </c>
      <c r="Y17" t="e">
        <f>IF(OR(LOG10(SUM(K$3:K17))=Y16,Y16=""),NA(),LOG10(SUM(K$3:K17)))</f>
        <v>#N/A</v>
      </c>
      <c r="Z17">
        <f>IF(OR(LOG10(SUM(L$3:L17))=Z16,Z16=""),NA(),LOG10(SUM(L$3:L17)))</f>
        <v>0.55192550960235653</v>
      </c>
      <c r="AA17">
        <f>IF(OR(LOG10(SUM(M$3:M17))=AA16,AA16=""),NA(),LOG10(SUM(M$3:M17)))</f>
        <v>0.52977672775918916</v>
      </c>
      <c r="AB17">
        <f>IF(OR(LOG10(SUM(N$3:N17))=AB16,AB16=""),NA(),LOG10(SUM(N$3:N17)))</f>
        <v>0.33059638216484721</v>
      </c>
      <c r="AD17" t="str">
        <f t="shared" si="3"/>
        <v>(15,1.28884144795135)</v>
      </c>
      <c r="AE17" t="str">
        <f t="shared" si="0"/>
        <v>(15,1.34422127341848)</v>
      </c>
      <c r="AF17" t="str">
        <f t="shared" si="0"/>
        <v>(15,0.880012838366772)</v>
      </c>
      <c r="AG17" t="str">
        <f t="shared" si="0"/>
        <v>(15,0.344018737745913)</v>
      </c>
      <c r="AH17" t="str">
        <f t="shared" si="0"/>
        <v>(15,0.524474015473597)</v>
      </c>
      <c r="AI17" t="str">
        <f t="shared" si="0"/>
        <v>(15,0.520247652686888)</v>
      </c>
      <c r="AJ17" t="str">
        <f t="shared" si="0"/>
        <v/>
      </c>
      <c r="AK17" t="str">
        <f t="shared" si="0"/>
        <v>(15,1.66057901469765)</v>
      </c>
      <c r="AL17" t="str">
        <f t="shared" si="0"/>
        <v>(15,0.760120785264568)</v>
      </c>
      <c r="AM17" t="str">
        <f t="shared" si="0"/>
        <v/>
      </c>
      <c r="AN17" t="str">
        <f t="shared" si="0"/>
        <v>(15,0.551925509602357)</v>
      </c>
      <c r="AO17" t="str">
        <f t="shared" si="0"/>
        <v>(15,0.529776727759189)</v>
      </c>
      <c r="AP17" t="str">
        <f t="shared" si="0"/>
        <v>(15,0.330596382164847)</v>
      </c>
      <c r="AS17">
        <f t="shared" si="4"/>
        <v>3.5829</v>
      </c>
      <c r="AT17">
        <f t="shared" si="5"/>
        <v>0.38900000000000001</v>
      </c>
      <c r="AU17">
        <f t="shared" si="6"/>
        <v>0.38900000000000001</v>
      </c>
      <c r="AV17">
        <f t="shared" si="7"/>
        <v>1.0608</v>
      </c>
      <c r="AX17">
        <f>LOG10(SUM(AS$3:AS17))</f>
        <v>0.7443868744822254</v>
      </c>
      <c r="AY17">
        <f>LOG10(SUM(AT$3:AT17))</f>
        <v>0.33059638216484721</v>
      </c>
      <c r="AZ17">
        <f>LOG10(SUM(AU$3:AU17))</f>
        <v>0.33059638216484721</v>
      </c>
      <c r="BA17">
        <f>LOG10(SUM(AV$3:AV17))</f>
        <v>0.49963210515369294</v>
      </c>
      <c r="BC17" t="str">
        <f t="shared" si="8"/>
        <v>(15,0.744386874482225)</v>
      </c>
      <c r="BD17" t="str">
        <f t="shared" si="9"/>
        <v>(15,0.330596382164847)</v>
      </c>
      <c r="BE17" t="str">
        <f t="shared" si="10"/>
        <v>(15,0.330596382164847)</v>
      </c>
      <c r="BF17" t="str">
        <f t="shared" si="11"/>
        <v>(15,0.499632105153693)</v>
      </c>
    </row>
    <row r="18" spans="1:58">
      <c r="A18">
        <v>16</v>
      </c>
      <c r="B18">
        <f>IF(OR(Sorting!B19=0,Sorting!A19="Grand Total"),NA(),Sorting!B19)</f>
        <v>16.0458</v>
      </c>
      <c r="C18">
        <f>IF(OR(Sorting!D19=0,Sorting!C19="Grand Total"),NA(),Sorting!D19)</f>
        <v>18.638999999999999</v>
      </c>
      <c r="D18">
        <f>IF(OR(Sorting!F19=0,Sorting!E19="Grand Total"),NA(),Sorting!F19)</f>
        <v>3.9108999999999998</v>
      </c>
      <c r="E18">
        <f>IF(OR(Sorting!H19=0,Sorting!G19="Grand Total"),NA(),Sorting!H19)</f>
        <v>0.4703</v>
      </c>
      <c r="F18">
        <f>IF(OR(Sorting!J19=0,Sorting!I19="Grand Total"),NA(),Sorting!J19)</f>
        <v>0.3906</v>
      </c>
      <c r="G18">
        <f>IF(OR(Sorting!L19=0,Sorting!K19="Grand Total"),NA(),Sorting!L19)</f>
        <v>0.58599999999999997</v>
      </c>
      <c r="H18" t="e">
        <f>IF(OR(Sorting!O19=0,Sorting!N19="Grand Total"),NA(),Sorting!O19)</f>
        <v>#N/A</v>
      </c>
      <c r="I18">
        <f>IF(OR(Sorting!Q19=0,Sorting!P19="Grand Total"),NA(),Sorting!Q19)</f>
        <v>45.384900000000002</v>
      </c>
      <c r="J18">
        <f>IF(OR(Sorting!S19=0,Sorting!R19="Grand Total"),NA(),Sorting!S19)</f>
        <v>3.5928</v>
      </c>
      <c r="K18" t="e">
        <f>IF(OR(Sorting!U19=0,Sorting!T19="Grand Total"),NA(),Sorting!U19)</f>
        <v>#N/A</v>
      </c>
      <c r="L18">
        <f>IF(OR(Sorting!W19=0,Sorting!V19="Grand Total"),NA(),Sorting!W19)</f>
        <v>1.08</v>
      </c>
      <c r="M18">
        <f>IF(OR(Sorting!Y19=0,Sorting!X19="Grand Total"),NA(),Sorting!Y19)</f>
        <v>1.0794999999999999</v>
      </c>
      <c r="N18">
        <f t="shared" si="2"/>
        <v>0.3906</v>
      </c>
      <c r="O18">
        <v>16</v>
      </c>
      <c r="P18">
        <f>IF(OR(LOG10(SUM(B$3:B18))=P17,P17=""),NA(),LOG10(SUM(B$3:B18)))</f>
        <v>1.5501341437528524</v>
      </c>
      <c r="Q18">
        <f>IF(OR(LOG10(SUM(C$3:C18))=Q17,Q17=""),NA(),LOG10(SUM(C$3:C18)))</f>
        <v>1.6099176089041844</v>
      </c>
      <c r="R18">
        <f>IF(OR(LOG10(SUM(D$3:D18))=R17,R17=""),NA(),LOG10(SUM(D$3:D18)))</f>
        <v>1.0605807538852567</v>
      </c>
      <c r="S18">
        <f>IF(OR(LOG10(SUM(E$3:E18))=S17,S17=""),NA(),LOG10(SUM(E$3:E18)))</f>
        <v>0.42787543631316594</v>
      </c>
      <c r="T18">
        <f>IF(OR(LOG10(SUM(F$3:F18))=T17,T17=""),NA(),LOG10(SUM(F$3:F18)))</f>
        <v>0.57243011610504368</v>
      </c>
      <c r="U18">
        <f>IF(OR(LOG10(SUM(G$3:G18))=U17,U17=""),NA(),LOG10(SUM(G$3:G18)))</f>
        <v>0.59097551184064911</v>
      </c>
      <c r="V18" t="e">
        <f>IF(OR(LOG10(SUM(H$3:H18))=V17,V17=""),NA(),LOG10(SUM(H$3:H18)))</f>
        <v>#N/A</v>
      </c>
      <c r="W18">
        <f>IF(OR(LOG10(SUM(I$3:I18))=W17,W17=""),NA(),LOG10(SUM(I$3:I18)))</f>
        <v>1.9597790660951269</v>
      </c>
      <c r="X18">
        <f>IF(OR(LOG10(SUM(J$3:J18))=X17,X17=""),NA(),LOG10(SUM(J$3:J18)))</f>
        <v>0.97075586896619237</v>
      </c>
      <c r="Y18" t="e">
        <f>IF(OR(LOG10(SUM(K$3:K18))=Y17,Y17=""),NA(),LOG10(SUM(K$3:K18)))</f>
        <v>#N/A</v>
      </c>
      <c r="Z18">
        <f>IF(OR(LOG10(SUM(L$3:L18))=Z17,Z17=""),NA(),LOG10(SUM(L$3:L18)))</f>
        <v>0.66688285923281887</v>
      </c>
      <c r="AA18">
        <f>IF(OR(LOG10(SUM(M$3:M18))=AA17,AA17=""),NA(),LOG10(SUM(M$3:M18)))</f>
        <v>0.64993816722434572</v>
      </c>
      <c r="AB18">
        <f>IF(OR(LOG10(SUM(N$3:N18))=AB17,AB17=""),NA(),LOG10(SUM(N$3:N18)))</f>
        <v>0.40337793172285979</v>
      </c>
      <c r="AD18" t="str">
        <f t="shared" si="3"/>
        <v>(16,1.55013414375285)</v>
      </c>
      <c r="AE18" t="str">
        <f t="shared" si="0"/>
        <v>(16,1.60991760890418)</v>
      </c>
      <c r="AF18" t="str">
        <f t="shared" si="0"/>
        <v>(16,1.06058075388526)</v>
      </c>
      <c r="AG18" t="str">
        <f t="shared" si="0"/>
        <v>(16,0.427875436313166)</v>
      </c>
      <c r="AH18" t="str">
        <f t="shared" si="0"/>
        <v>(16,0.572430116105044)</v>
      </c>
      <c r="AI18" t="str">
        <f t="shared" si="0"/>
        <v>(16,0.590975511840649)</v>
      </c>
      <c r="AJ18" t="str">
        <f t="shared" si="0"/>
        <v/>
      </c>
      <c r="AK18" t="str">
        <f t="shared" si="0"/>
        <v>(16,1.95977906609513)</v>
      </c>
      <c r="AL18" t="str">
        <f t="shared" si="0"/>
        <v>(16,0.970755868966192)</v>
      </c>
      <c r="AM18" t="str">
        <f t="shared" si="0"/>
        <v/>
      </c>
      <c r="AN18" t="str">
        <f t="shared" si="0"/>
        <v>(16,0.666882859232819)</v>
      </c>
      <c r="AO18" t="str">
        <f t="shared" si="0"/>
        <v>(16,0.649938167224346)</v>
      </c>
      <c r="AP18" t="str">
        <f t="shared" si="0"/>
        <v>(16,0.40337793172286)</v>
      </c>
      <c r="AS18">
        <f t="shared" si="4"/>
        <v>3.5928</v>
      </c>
      <c r="AT18">
        <f t="shared" si="5"/>
        <v>0.3906</v>
      </c>
      <c r="AU18">
        <f t="shared" si="6"/>
        <v>0.3906</v>
      </c>
      <c r="AV18">
        <f t="shared" si="7"/>
        <v>1.0794999999999999</v>
      </c>
      <c r="AX18">
        <f>LOG10(SUM(AS$3:AS18))</f>
        <v>0.96113621738722532</v>
      </c>
      <c r="AY18">
        <f>LOG10(SUM(AT$3:AT18))</f>
        <v>0.40337793172285979</v>
      </c>
      <c r="AZ18">
        <f>LOG10(SUM(AU$3:AU18))</f>
        <v>0.40337793172285979</v>
      </c>
      <c r="BA18">
        <f>LOG10(SUM(AV$3:AV18))</f>
        <v>0.62727366165808607</v>
      </c>
      <c r="BC18" t="str">
        <f t="shared" si="8"/>
        <v>(16,0.961136217387225)</v>
      </c>
      <c r="BD18" t="str">
        <f t="shared" si="9"/>
        <v>(16,0.40337793172286)</v>
      </c>
      <c r="BE18" t="str">
        <f t="shared" si="10"/>
        <v>(16,0.40337793172286)</v>
      </c>
      <c r="BF18" t="str">
        <f t="shared" si="11"/>
        <v>(16,0.627273661658086)</v>
      </c>
    </row>
    <row r="19" spans="1:58">
      <c r="A19">
        <v>17</v>
      </c>
      <c r="B19">
        <f>IF(OR(Sorting!B20=0,Sorting!A20="Grand Total"),NA(),Sorting!B20)</f>
        <v>16.047999999999998</v>
      </c>
      <c r="C19">
        <f>IF(OR(Sorting!D20=0,Sorting!C20="Grand Total"),NA(),Sorting!D20)</f>
        <v>18.643699999999999</v>
      </c>
      <c r="D19">
        <f>IF(OR(Sorting!F20=0,Sorting!E20="Grand Total"),NA(),Sorting!F20)</f>
        <v>3.9171999999999998</v>
      </c>
      <c r="E19">
        <f>IF(OR(Sorting!H20=0,Sorting!G20="Grand Total"),NA(),Sorting!H20)</f>
        <v>0.4718</v>
      </c>
      <c r="F19">
        <f>IF(OR(Sorting!J20=0,Sorting!I20="Grand Total"),NA(),Sorting!J20)</f>
        <v>0.39850000000000002</v>
      </c>
      <c r="G19">
        <f>IF(OR(Sorting!L20=0,Sorting!K20="Grand Total"),NA(),Sorting!L20)</f>
        <v>0.66869999999999996</v>
      </c>
      <c r="H19" t="e">
        <f>IF(OR(Sorting!O20=0,Sorting!N20="Grand Total"),NA(),Sorting!O20)</f>
        <v>#N/A</v>
      </c>
      <c r="I19">
        <f>IF(OR(Sorting!Q20=0,Sorting!P20="Grand Total"),NA(),Sorting!Q20)</f>
        <v>101.00069999999999</v>
      </c>
      <c r="J19">
        <f>IF(OR(Sorting!S20=0,Sorting!R20="Grand Total"),NA(),Sorting!S20)</f>
        <v>3.6352000000000002</v>
      </c>
      <c r="K19" t="e">
        <f>IF(OR(Sorting!U20=0,Sorting!T20="Grand Total"),NA(),Sorting!U20)</f>
        <v>#N/A</v>
      </c>
      <c r="L19">
        <f>IF(OR(Sorting!W20=0,Sorting!V20="Grand Total"),NA(),Sorting!W20)</f>
        <v>1.0807</v>
      </c>
      <c r="M19">
        <f>IF(OR(Sorting!Y20=0,Sorting!X20="Grand Total"),NA(),Sorting!Y20)</f>
        <v>1.0831</v>
      </c>
      <c r="N19">
        <f t="shared" si="2"/>
        <v>0.39850000000000002</v>
      </c>
      <c r="O19">
        <v>17</v>
      </c>
      <c r="P19">
        <f>IF(OR(LOG10(SUM(B$3:B19))=P18,P18=""),NA(),LOG10(SUM(B$3:B19)))</f>
        <v>1.7121469421148741</v>
      </c>
      <c r="Q19">
        <f>IF(OR(LOG10(SUM(C$3:C19))=Q18,Q18=""),NA(),LOG10(SUM(C$3:C19)))</f>
        <v>1.7735963081379476</v>
      </c>
      <c r="R19">
        <f>IF(OR(LOG10(SUM(D$3:D19))=R18,R18=""),NA(),LOG10(SUM(D$3:D19)))</f>
        <v>1.1879181721734953</v>
      </c>
      <c r="S19">
        <f>IF(OR(LOG10(SUM(E$3:E19))=S18,S18=""),NA(),LOG10(SUM(E$3:E19)))</f>
        <v>0.4983381271670837</v>
      </c>
      <c r="T19">
        <f>IF(OR(LOG10(SUM(F$3:F19))=T18,T18=""),NA(),LOG10(SUM(F$3:F19)))</f>
        <v>0.61644400407693312</v>
      </c>
      <c r="U19">
        <f>IF(OR(LOG10(SUM(G$3:G19))=U18,U18=""),NA(),LOG10(SUM(G$3:G19)))</f>
        <v>0.65971658781144238</v>
      </c>
      <c r="V19" t="e">
        <f>IF(OR(LOG10(SUM(H$3:H19))=V18,V18=""),NA(),LOG10(SUM(H$3:H19)))</f>
        <v>#N/A</v>
      </c>
      <c r="W19">
        <f>IF(OR(LOG10(SUM(I$3:I19))=W18,W18=""),NA(),LOG10(SUM(I$3:I19)))</f>
        <v>2.2836525936260212</v>
      </c>
      <c r="X19">
        <f>IF(OR(LOG10(SUM(J$3:J19))=X18,X18=""),NA(),LOG10(SUM(J$3:J19)))</f>
        <v>1.1134085068181756</v>
      </c>
      <c r="Y19" t="e">
        <f>IF(OR(LOG10(SUM(K$3:K19))=Y18,Y18=""),NA(),LOG10(SUM(K$3:K19)))</f>
        <v>#N/A</v>
      </c>
      <c r="Z19">
        <f>IF(OR(LOG10(SUM(L$3:L19))=Z18,Z18=""),NA(),LOG10(SUM(L$3:L19)))</f>
        <v>0.75774514623257405</v>
      </c>
      <c r="AA19">
        <f>IF(OR(LOG10(SUM(M$3:M19))=AA18,AA18=""),NA(),LOG10(SUM(M$3:M19)))</f>
        <v>0.74423820378745054</v>
      </c>
      <c r="AB19">
        <f>IF(OR(LOG10(SUM(N$3:N19))=AB18,AB18=""),NA(),LOG10(SUM(N$3:N19)))</f>
        <v>0.4668676203541095</v>
      </c>
      <c r="AD19" t="str">
        <f t="shared" si="3"/>
        <v>(17,1.71214694211487)</v>
      </c>
      <c r="AE19" t="str">
        <f t="shared" si="3"/>
        <v>(17,1.77359630813795)</v>
      </c>
      <c r="AF19" t="str">
        <f t="shared" si="3"/>
        <v>(17,1.1879181721735)</v>
      </c>
      <c r="AG19" t="str">
        <f t="shared" si="3"/>
        <v>(17,0.498338127167084)</v>
      </c>
      <c r="AH19" t="str">
        <f t="shared" si="3"/>
        <v>(17,0.616444004076933)</v>
      </c>
      <c r="AI19" t="str">
        <f t="shared" si="3"/>
        <v>(17,0.659716587811442)</v>
      </c>
      <c r="AJ19" t="str">
        <f t="shared" si="3"/>
        <v/>
      </c>
      <c r="AK19" t="str">
        <f t="shared" si="3"/>
        <v>(17,2.28365259362602)</v>
      </c>
      <c r="AL19" t="str">
        <f t="shared" si="3"/>
        <v>(17,1.11340850681818)</v>
      </c>
      <c r="AM19" t="str">
        <f t="shared" si="3"/>
        <v/>
      </c>
      <c r="AN19" t="str">
        <f t="shared" si="3"/>
        <v>(17,0.757745146232574)</v>
      </c>
      <c r="AO19" t="str">
        <f t="shared" si="3"/>
        <v>(17,0.744238203787451)</v>
      </c>
      <c r="AP19" t="str">
        <f t="shared" si="3"/>
        <v>(17,0.46686762035411)</v>
      </c>
      <c r="AS19">
        <f t="shared" si="4"/>
        <v>3.6352000000000002</v>
      </c>
      <c r="AT19">
        <f t="shared" si="5"/>
        <v>0.39850000000000002</v>
      </c>
      <c r="AU19">
        <f t="shared" si="6"/>
        <v>0.39850000000000002</v>
      </c>
      <c r="AV19">
        <f t="shared" si="7"/>
        <v>1.0807</v>
      </c>
      <c r="AX19">
        <f>LOG10(SUM(AS$3:AS19))</f>
        <v>1.1065036670883963</v>
      </c>
      <c r="AY19">
        <f>LOG10(SUM(AT$3:AT19))</f>
        <v>0.4668676203541095</v>
      </c>
      <c r="AZ19">
        <f>LOG10(SUM(AU$3:AU19))</f>
        <v>0.4668676203541095</v>
      </c>
      <c r="BA19">
        <f>LOG10(SUM(AV$3:AV19))</f>
        <v>0.72589530512792266</v>
      </c>
      <c r="BC19" t="str">
        <f t="shared" si="8"/>
        <v>(17,1.1065036670884)</v>
      </c>
      <c r="BD19" t="str">
        <f t="shared" si="9"/>
        <v>(17,0.46686762035411)</v>
      </c>
      <c r="BE19" t="str">
        <f t="shared" si="10"/>
        <v>(17,0.46686762035411)</v>
      </c>
      <c r="BF19" t="str">
        <f t="shared" si="11"/>
        <v>(17,0.725895305127923)</v>
      </c>
    </row>
    <row r="20" spans="1:58">
      <c r="A20">
        <v>18</v>
      </c>
      <c r="B20">
        <f>IF(OR(Sorting!B21=0,Sorting!A21="Grand Total"),NA(),Sorting!B21)</f>
        <v>16.0913</v>
      </c>
      <c r="C20">
        <f>IF(OR(Sorting!D21=0,Sorting!C21="Grand Total"),NA(),Sorting!D21)</f>
        <v>18.654699999999998</v>
      </c>
      <c r="D20">
        <f>IF(OR(Sorting!F21=0,Sorting!E21="Grand Total"),NA(),Sorting!F21)</f>
        <v>3.9468999999999999</v>
      </c>
      <c r="E20">
        <f>IF(OR(Sorting!H21=0,Sorting!G21="Grand Total"),NA(),Sorting!H21)</f>
        <v>0.48280000000000001</v>
      </c>
      <c r="F20">
        <f>IF(OR(Sorting!J21=0,Sorting!I21="Grand Total"),NA(),Sorting!J21)</f>
        <v>0.40629999999999999</v>
      </c>
      <c r="G20">
        <f>IF(OR(Sorting!L21=0,Sorting!K21="Grand Total"),NA(),Sorting!L21)</f>
        <v>0.67349999999999999</v>
      </c>
      <c r="H20" t="e">
        <f>IF(OR(Sorting!O21=0,Sorting!N21="Grand Total"),NA(),Sorting!O21)</f>
        <v>#N/A</v>
      </c>
      <c r="I20">
        <f>IF(OR(Sorting!Q21=0,Sorting!P21="Grand Total"),NA(),Sorting!Q21)</f>
        <v>101.4207</v>
      </c>
      <c r="J20">
        <f>IF(OR(Sorting!S21=0,Sorting!R21="Grand Total"),NA(),Sorting!S21)</f>
        <v>3.6734</v>
      </c>
      <c r="K20" t="e">
        <f>IF(OR(Sorting!U21=0,Sorting!T21="Grand Total"),NA(),Sorting!U21)</f>
        <v>#N/A</v>
      </c>
      <c r="L20">
        <f>IF(OR(Sorting!W21=0,Sorting!V21="Grand Total"),NA(),Sorting!W21)</f>
        <v>1.0833999999999999</v>
      </c>
      <c r="M20">
        <f>IF(OR(Sorting!Y21=0,Sorting!X21="Grand Total"),NA(),Sorting!Y21)</f>
        <v>1.0920000000000001</v>
      </c>
      <c r="N20">
        <f t="shared" si="2"/>
        <v>0.40629999999999999</v>
      </c>
      <c r="O20">
        <v>18</v>
      </c>
      <c r="P20">
        <f>IF(OR(LOG10(SUM(B$3:B20))=P19,P19=""),NA(),LOG10(SUM(B$3:B20)))</f>
        <v>1.8301496619034072</v>
      </c>
      <c r="Q20">
        <f>IF(OR(LOG10(SUM(C$3:C20))=Q19,Q19=""),NA(),LOG10(SUM(C$3:C20)))</f>
        <v>1.8922543713967657</v>
      </c>
      <c r="R20">
        <f>IF(OR(LOG10(SUM(D$3:D20))=R19,R19=""),NA(),LOG10(SUM(D$3:D20)))</f>
        <v>1.2869277849592553</v>
      </c>
      <c r="S20">
        <f>IF(OR(LOG10(SUM(E$3:E20))=S19,S19=""),NA(),LOG10(SUM(E$3:E20)))</f>
        <v>0.56026539786271468</v>
      </c>
      <c r="T20">
        <f>IF(OR(LOG10(SUM(F$3:F20))=T19,T19=""),NA(),LOG10(SUM(F$3:F20)))</f>
        <v>0.65715150190096672</v>
      </c>
      <c r="U20">
        <f>IF(OR(LOG10(SUM(G$3:G20))=U19,U19=""),NA(),LOG10(SUM(G$3:G20)))</f>
        <v>0.71944730436275617</v>
      </c>
      <c r="V20" t="e">
        <f>IF(OR(LOG10(SUM(H$3:H20))=V19,V19=""),NA(),LOG10(SUM(H$3:H20)))</f>
        <v>#N/A</v>
      </c>
      <c r="W20">
        <f>IF(OR(LOG10(SUM(I$3:I20))=W19,W19=""),NA(),LOG10(SUM(I$3:I20)))</f>
        <v>2.4677206968141667</v>
      </c>
      <c r="X20">
        <f>IF(OR(LOG10(SUM(J$3:J20))=X19,X19=""),NA(),LOG10(SUM(J$3:J20)))</f>
        <v>1.2216072147314962</v>
      </c>
      <c r="Y20" t="e">
        <f>IF(OR(LOG10(SUM(K$3:K20))=Y19,Y19=""),NA(),LOG10(SUM(K$3:K20)))</f>
        <v>#N/A</v>
      </c>
      <c r="Z20">
        <f>IF(OR(LOG10(SUM(L$3:L20))=Z19,Z19=""),NA(),LOG10(SUM(L$3:L20)))</f>
        <v>0.83301954707653147</v>
      </c>
      <c r="AA20">
        <f>IF(OR(LOG10(SUM(M$3:M20))=AA19,AA19=""),NA(),LOG10(SUM(M$3:M20)))</f>
        <v>0.82225309857973272</v>
      </c>
      <c r="AB20">
        <f>IF(OR(LOG10(SUM(N$3:N20))=AB19,AB19=""),NA(),LOG10(SUM(N$3:N20)))</f>
        <v>0.52326509546888855</v>
      </c>
      <c r="AD20" t="str">
        <f t="shared" si="3"/>
        <v>(18,1.83014966190341)</v>
      </c>
      <c r="AE20" t="str">
        <f t="shared" si="3"/>
        <v>(18,1.89225437139677)</v>
      </c>
      <c r="AF20" t="str">
        <f t="shared" si="3"/>
        <v>(18,1.28692778495926)</v>
      </c>
      <c r="AG20" t="str">
        <f t="shared" si="3"/>
        <v>(18,0.560265397862715)</v>
      </c>
      <c r="AH20" t="str">
        <f t="shared" si="3"/>
        <v>(18,0.657151501900967)</v>
      </c>
      <c r="AI20" t="str">
        <f t="shared" si="3"/>
        <v>(18,0.719447304362756)</v>
      </c>
      <c r="AJ20" t="str">
        <f t="shared" si="3"/>
        <v/>
      </c>
      <c r="AK20" t="str">
        <f t="shared" si="3"/>
        <v>(18,2.46772069681417)</v>
      </c>
      <c r="AL20" t="str">
        <f t="shared" si="3"/>
        <v>(18,1.2216072147315)</v>
      </c>
      <c r="AM20" t="str">
        <f t="shared" si="3"/>
        <v/>
      </c>
      <c r="AN20" t="str">
        <f t="shared" si="3"/>
        <v>(18,0.833019547076531)</v>
      </c>
      <c r="AO20" t="str">
        <f t="shared" si="3"/>
        <v>(18,0.822253098579733)</v>
      </c>
      <c r="AP20" t="str">
        <f t="shared" si="3"/>
        <v>(18,0.523265095468889)</v>
      </c>
      <c r="AS20">
        <f t="shared" si="4"/>
        <v>3.6734</v>
      </c>
      <c r="AT20">
        <f t="shared" si="5"/>
        <v>0.40629999999999999</v>
      </c>
      <c r="AU20">
        <f t="shared" si="6"/>
        <v>0.40629999999999999</v>
      </c>
      <c r="AV20">
        <f t="shared" si="7"/>
        <v>1.0833999999999999</v>
      </c>
      <c r="AX20">
        <f>LOG10(SUM(AS$3:AS20))</f>
        <v>1.2162345391508791</v>
      </c>
      <c r="AY20">
        <f>LOG10(SUM(AT$3:AT20))</f>
        <v>0.52326509546888855</v>
      </c>
      <c r="AZ20">
        <f>LOG10(SUM(AU$3:AU20))</f>
        <v>0.52326509546888855</v>
      </c>
      <c r="BA20">
        <f>LOG10(SUM(AV$3:AV20))</f>
        <v>0.80639706695611735</v>
      </c>
      <c r="BC20" t="str">
        <f t="shared" si="8"/>
        <v>(18,1.21623453915088)</v>
      </c>
      <c r="BD20" t="str">
        <f t="shared" si="9"/>
        <v>(18,0.523265095468889)</v>
      </c>
      <c r="BE20" t="str">
        <f t="shared" si="10"/>
        <v>(18,0.523265095468889)</v>
      </c>
      <c r="BF20" t="str">
        <f t="shared" si="11"/>
        <v>(18,0.806397066956117)</v>
      </c>
    </row>
    <row r="21" spans="1:58">
      <c r="A21">
        <v>19</v>
      </c>
      <c r="B21">
        <f>IF(OR(Sorting!B22=0,Sorting!A22="Grand Total"),NA(),Sorting!B22)</f>
        <v>16.0929</v>
      </c>
      <c r="C21">
        <f>IF(OR(Sorting!D22=0,Sorting!C22="Grand Total"),NA(),Sorting!D22)</f>
        <v>18.664000000000001</v>
      </c>
      <c r="D21">
        <f>IF(OR(Sorting!F22=0,Sorting!E22="Grand Total"),NA(),Sorting!F22)</f>
        <v>4.9859999999999998</v>
      </c>
      <c r="E21">
        <f>IF(OR(Sorting!H22=0,Sorting!G22="Grand Total"),NA(),Sorting!H22)</f>
        <v>0.4859</v>
      </c>
      <c r="F21">
        <f>IF(OR(Sorting!J22=0,Sorting!I22="Grand Total"),NA(),Sorting!J22)</f>
        <v>0.41560000000000002</v>
      </c>
      <c r="G21">
        <f>IF(OR(Sorting!L22=0,Sorting!K22="Grand Total"),NA(),Sorting!L22)</f>
        <v>0.74529999999999996</v>
      </c>
      <c r="H21" t="e">
        <f>IF(OR(Sorting!O22=0,Sorting!N22="Grand Total"),NA(),Sorting!O22)</f>
        <v>#N/A</v>
      </c>
      <c r="I21">
        <f>IF(OR(Sorting!Q22=0,Sorting!P22="Grand Total"),NA(),Sorting!Q22)</f>
        <v>155.61779999999999</v>
      </c>
      <c r="J21">
        <f>IF(OR(Sorting!S22=0,Sorting!R22="Grand Total"),NA(),Sorting!S22)</f>
        <v>4.5602</v>
      </c>
      <c r="K21" t="e">
        <f>IF(OR(Sorting!U22=0,Sorting!T22="Grand Total"),NA(),Sorting!U22)</f>
        <v>#N/A</v>
      </c>
      <c r="L21">
        <f>IF(OR(Sorting!W22=0,Sorting!V22="Grand Total"),NA(),Sorting!W22)</f>
        <v>1.0864</v>
      </c>
      <c r="M21">
        <f>IF(OR(Sorting!Y22=0,Sorting!X22="Grand Total"),NA(),Sorting!Y22)</f>
        <v>1.3347</v>
      </c>
      <c r="N21">
        <f t="shared" si="2"/>
        <v>0.41560000000000002</v>
      </c>
      <c r="O21">
        <v>19</v>
      </c>
      <c r="P21">
        <f>IF(OR(LOG10(SUM(B$3:B21))=P20,P20=""),NA(),LOG10(SUM(B$3:B21)))</f>
        <v>1.9228525626270809</v>
      </c>
      <c r="Q21">
        <f>IF(OR(LOG10(SUM(C$3:C21))=Q20,Q20=""),NA(),LOG10(SUM(C$3:C21)))</f>
        <v>1.9853936874295302</v>
      </c>
      <c r="R21">
        <f>IF(OR(LOG10(SUM(D$3:D21))=R20,R20=""),NA(),LOG10(SUM(D$3:D21)))</f>
        <v>1.386445455747283</v>
      </c>
      <c r="S21">
        <f>IF(OR(LOG10(SUM(E$3:E21))=S20,S20=""),NA(),LOG10(SUM(E$3:E21)))</f>
        <v>0.61478124814107804</v>
      </c>
      <c r="T21">
        <f>IF(OR(LOG10(SUM(F$3:F21))=T20,T20=""),NA(),LOG10(SUM(F$3:F21)))</f>
        <v>0.69518387254603708</v>
      </c>
      <c r="U21">
        <f>IF(OR(LOG10(SUM(G$3:G21))=U20,U20=""),NA(),LOG10(SUM(G$3:G21)))</f>
        <v>0.77718749572561452</v>
      </c>
      <c r="V21" t="e">
        <f>IF(OR(LOG10(SUM(H$3:H21))=V20,V20=""),NA(),LOG10(SUM(H$3:H21)))</f>
        <v>#N/A</v>
      </c>
      <c r="W21">
        <f>IF(OR(LOG10(SUM(I$3:I21))=W20,W20=""),NA(),LOG10(SUM(I$3:I21)))</f>
        <v>2.652433849961799</v>
      </c>
      <c r="X21">
        <f>IF(OR(LOG10(SUM(J$3:J21))=X20,X20=""),NA(),LOG10(SUM(J$3:J21)))</f>
        <v>1.3266962577131116</v>
      </c>
      <c r="Y21" t="e">
        <f>IF(OR(LOG10(SUM(K$3:K21))=Y20,Y20=""),NA(),LOG10(SUM(K$3:K21)))</f>
        <v>#N/A</v>
      </c>
      <c r="Z21">
        <f>IF(OR(LOG10(SUM(L$3:L21))=Z20,Z20=""),NA(),LOG10(SUM(L$3:L21)))</f>
        <v>0.89731912780964207</v>
      </c>
      <c r="AA21">
        <f>IF(OR(LOG10(SUM(M$3:M21))=AA20,AA20=""),NA(),LOG10(SUM(M$3:M21)))</f>
        <v>0.90178514530359921</v>
      </c>
      <c r="AB21">
        <f>IF(OR(LOG10(SUM(N$3:N21))=AB20,AB20=""),NA(),LOG10(SUM(N$3:N21)))</f>
        <v>0.57425125453992898</v>
      </c>
      <c r="AD21" t="str">
        <f t="shared" si="3"/>
        <v>(19,1.92285256262708)</v>
      </c>
      <c r="AE21" t="str">
        <f t="shared" si="3"/>
        <v>(19,1.98539368742953)</v>
      </c>
      <c r="AF21" t="str">
        <f t="shared" si="3"/>
        <v>(19,1.38644545574728)</v>
      </c>
      <c r="AG21" t="str">
        <f t="shared" si="3"/>
        <v>(19,0.614781248141078)</v>
      </c>
      <c r="AH21" t="str">
        <f t="shared" si="3"/>
        <v>(19,0.695183872546037)</v>
      </c>
      <c r="AI21" t="str">
        <f t="shared" si="3"/>
        <v>(19,0.777187495725615)</v>
      </c>
      <c r="AJ21" t="str">
        <f t="shared" si="3"/>
        <v/>
      </c>
      <c r="AK21" t="str">
        <f t="shared" si="3"/>
        <v>(19,2.6524338499618)</v>
      </c>
      <c r="AL21" t="str">
        <f t="shared" si="3"/>
        <v>(19,1.32669625771311)</v>
      </c>
      <c r="AM21" t="str">
        <f t="shared" si="3"/>
        <v/>
      </c>
      <c r="AN21" t="str">
        <f t="shared" si="3"/>
        <v>(19,0.897319127809642)</v>
      </c>
      <c r="AO21" t="str">
        <f t="shared" si="3"/>
        <v>(19,0.901785145303599)</v>
      </c>
      <c r="AP21" t="str">
        <f t="shared" si="3"/>
        <v>(19,0.574251254539929)</v>
      </c>
      <c r="AS21">
        <f t="shared" si="4"/>
        <v>4.5602</v>
      </c>
      <c r="AT21">
        <f t="shared" si="5"/>
        <v>0.41560000000000002</v>
      </c>
      <c r="AU21">
        <f t="shared" si="6"/>
        <v>0.41560000000000002</v>
      </c>
      <c r="AV21">
        <f t="shared" si="7"/>
        <v>1.0864</v>
      </c>
      <c r="AX21">
        <f>LOG10(SUM(AS$3:AS21))</f>
        <v>1.3224839269193658</v>
      </c>
      <c r="AY21">
        <f>LOG10(SUM(AT$3:AT21))</f>
        <v>0.57425125453992898</v>
      </c>
      <c r="AZ21">
        <f>LOG10(SUM(AU$3:AU21))</f>
        <v>0.57425125453992898</v>
      </c>
      <c r="BA21">
        <f>LOG10(SUM(AV$3:AV21))</f>
        <v>0.87445862378336692</v>
      </c>
      <c r="BC21" t="str">
        <f t="shared" si="8"/>
        <v>(19,1.32248392691937)</v>
      </c>
      <c r="BD21" t="str">
        <f t="shared" si="9"/>
        <v>(19,0.574251254539929)</v>
      </c>
      <c r="BE21" t="str">
        <f t="shared" si="10"/>
        <v>(19,0.574251254539929)</v>
      </c>
      <c r="BF21" t="str">
        <f t="shared" si="11"/>
        <v>(19,0.874458623783367)</v>
      </c>
    </row>
    <row r="22" spans="1:58">
      <c r="A22">
        <v>20</v>
      </c>
      <c r="B22">
        <f>IF(OR(Sorting!B23=0,Sorting!A23="Grand Total"),NA(),Sorting!B23)</f>
        <v>16.108699999999999</v>
      </c>
      <c r="C22">
        <f>IF(OR(Sorting!D23=0,Sorting!C23="Grand Total"),NA(),Sorting!D23)</f>
        <v>18.7484</v>
      </c>
      <c r="D22">
        <f>IF(OR(Sorting!F23=0,Sorting!E23="Grand Total"),NA(),Sorting!F23)</f>
        <v>4.9936999999999996</v>
      </c>
      <c r="E22">
        <f>IF(OR(Sorting!H23=0,Sorting!G23="Grand Total"),NA(),Sorting!H23)</f>
        <v>0.48749999999999999</v>
      </c>
      <c r="F22">
        <f>IF(OR(Sorting!J23=0,Sorting!I23="Grand Total"),NA(),Sorting!J23)</f>
        <v>0.41570000000000001</v>
      </c>
      <c r="G22">
        <f>IF(OR(Sorting!L23=0,Sorting!K23="Grand Total"),NA(),Sorting!L23)</f>
        <v>0.75780000000000003</v>
      </c>
      <c r="H22" t="e">
        <f>IF(OR(Sorting!O23=0,Sorting!N23="Grand Total"),NA(),Sorting!O23)</f>
        <v>#N/A</v>
      </c>
      <c r="I22">
        <f>IF(OR(Sorting!Q23=0,Sorting!P23="Grand Total"),NA(),Sorting!Q23)</f>
        <v>156.52440000000001</v>
      </c>
      <c r="J22">
        <f>IF(OR(Sorting!S23=0,Sorting!R23="Grand Total"),NA(),Sorting!S23)</f>
        <v>4.5865999999999998</v>
      </c>
      <c r="K22" t="e">
        <f>IF(OR(Sorting!U23=0,Sorting!T23="Grand Total"),NA(),Sorting!U23)</f>
        <v>#N/A</v>
      </c>
      <c r="L22">
        <f>IF(OR(Sorting!W23=0,Sorting!V23="Grand Total"),NA(),Sorting!W23)</f>
        <v>1.0912999999999999</v>
      </c>
      <c r="M22">
        <f>IF(OR(Sorting!Y23=0,Sorting!X23="Grand Total"),NA(),Sorting!Y23)</f>
        <v>1.3431999999999999</v>
      </c>
      <c r="N22">
        <f t="shared" si="2"/>
        <v>0.41570000000000001</v>
      </c>
      <c r="O22">
        <v>20</v>
      </c>
      <c r="P22">
        <f>IF(OR(LOG10(SUM(B$3:B22))=P21,P21=""),NA(),LOG10(SUM(B$3:B22)))</f>
        <v>1.9992749919792612</v>
      </c>
      <c r="Q22">
        <f>IF(OR(LOG10(SUM(C$3:C22))=Q21,Q21=""),NA(),LOG10(SUM(C$3:C22)))</f>
        <v>2.0623604563534044</v>
      </c>
      <c r="R22">
        <f>IF(OR(LOG10(SUM(D$3:D22))=R21,R21=""),NA(),LOG10(SUM(D$3:D22)))</f>
        <v>1.4674704708743691</v>
      </c>
      <c r="S22">
        <f>IF(OR(LOG10(SUM(E$3:E22))=S21,S21=""),NA(),LOG10(SUM(E$3:E22)))</f>
        <v>0.66336164753400673</v>
      </c>
      <c r="T22">
        <f>IF(OR(LOG10(SUM(F$3:F22))=T21,T21=""),NA(),LOG10(SUM(F$3:F22)))</f>
        <v>0.73016025654818972</v>
      </c>
      <c r="U22">
        <f>IF(OR(LOG10(SUM(G$3:G22))=U21,U21=""),NA(),LOG10(SUM(G$3:G22)))</f>
        <v>0.82894975900572865</v>
      </c>
      <c r="V22" t="e">
        <f>IF(OR(LOG10(SUM(H$3:H22))=V21,V21=""),NA(),LOG10(SUM(H$3:H22)))</f>
        <v>#N/A</v>
      </c>
      <c r="W22">
        <f>IF(OR(LOG10(SUM(I$3:I22))=W21,W21=""),NA(),LOG10(SUM(I$3:I22)))</f>
        <v>2.7822706947941604</v>
      </c>
      <c r="X22">
        <f>IF(OR(LOG10(SUM(J$3:J22))=X21,X21=""),NA(),LOG10(SUM(J$3:J22)))</f>
        <v>1.4116903993109817</v>
      </c>
      <c r="Y22" t="e">
        <f>IF(OR(LOG10(SUM(K$3:K22))=Y21,Y21=""),NA(),LOG10(SUM(K$3:K22)))</f>
        <v>#N/A</v>
      </c>
      <c r="Z22">
        <f>IF(OR(LOG10(SUM(L$3:L22))=Z21,Z21=""),NA(),LOG10(SUM(L$3:L22)))</f>
        <v>0.95355191497818681</v>
      </c>
      <c r="AA22">
        <f>IF(OR(LOG10(SUM(M$3:M22))=AA21,AA21=""),NA(),LOG10(SUM(M$3:M22)))</f>
        <v>0.96937863225765353</v>
      </c>
      <c r="AB22">
        <f>IF(OR(LOG10(SUM(N$3:N22))=AB21,AB21=""),NA(),LOG10(SUM(N$3:N22)))</f>
        <v>0.61988602935838721</v>
      </c>
      <c r="AD22" t="str">
        <f t="shared" si="3"/>
        <v>(20,1.99927499197926)</v>
      </c>
      <c r="AE22" t="str">
        <f t="shared" si="3"/>
        <v>(20,2.0623604563534)</v>
      </c>
      <c r="AF22" t="str">
        <f t="shared" si="3"/>
        <v>(20,1.46747047087437)</v>
      </c>
      <c r="AG22" t="str">
        <f t="shared" si="3"/>
        <v>(20,0.663361647534007)</v>
      </c>
      <c r="AH22" t="str">
        <f t="shared" si="3"/>
        <v>(20,0.73016025654819)</v>
      </c>
      <c r="AI22" t="str">
        <f t="shared" si="3"/>
        <v>(20,0.828949759005729)</v>
      </c>
      <c r="AJ22" t="str">
        <f t="shared" si="3"/>
        <v/>
      </c>
      <c r="AK22" t="str">
        <f t="shared" si="3"/>
        <v>(20,2.78227069479416)</v>
      </c>
      <c r="AL22" t="str">
        <f t="shared" si="3"/>
        <v>(20,1.41169039931098)</v>
      </c>
      <c r="AM22" t="str">
        <f t="shared" si="3"/>
        <v/>
      </c>
      <c r="AN22" t="str">
        <f t="shared" si="3"/>
        <v>(20,0.953551914978187)</v>
      </c>
      <c r="AO22" t="str">
        <f t="shared" si="3"/>
        <v>(20,0.969378632257654)</v>
      </c>
      <c r="AP22" t="str">
        <f t="shared" si="3"/>
        <v>(20,0.619886029358387)</v>
      </c>
      <c r="AS22">
        <f t="shared" si="4"/>
        <v>4.5865999999999998</v>
      </c>
      <c r="AT22">
        <f t="shared" si="5"/>
        <v>0.41570000000000001</v>
      </c>
      <c r="AU22">
        <f t="shared" si="6"/>
        <v>0.41570000000000001</v>
      </c>
      <c r="AV22">
        <f t="shared" si="7"/>
        <v>1.0912999999999999</v>
      </c>
      <c r="AX22">
        <f>LOG10(SUM(AS$3:AS22))</f>
        <v>1.4082297864156454</v>
      </c>
      <c r="AY22">
        <f>LOG10(SUM(AT$3:AT22))</f>
        <v>0.61988602935838721</v>
      </c>
      <c r="AZ22">
        <f>LOG10(SUM(AU$3:AU22))</f>
        <v>0.61988602935838721</v>
      </c>
      <c r="BA22">
        <f>LOG10(SUM(AV$3:AV22))</f>
        <v>0.93353284082483967</v>
      </c>
      <c r="BC22" t="str">
        <f t="shared" si="8"/>
        <v>(20,1.40822978641565)</v>
      </c>
      <c r="BD22" t="str">
        <f t="shared" si="9"/>
        <v>(20,0.619886029358387)</v>
      </c>
      <c r="BE22" t="str">
        <f t="shared" si="10"/>
        <v>(20,0.619886029358387)</v>
      </c>
      <c r="BF22" t="str">
        <f t="shared" si="11"/>
        <v>(20,0.93353284082484)</v>
      </c>
    </row>
    <row r="23" spans="1:58">
      <c r="A23">
        <v>21</v>
      </c>
      <c r="B23">
        <f>IF(OR(Sorting!B24=0,Sorting!A24="Grand Total"),NA(),Sorting!B24)</f>
        <v>16.161799999999999</v>
      </c>
      <c r="C23">
        <f>IF(OR(Sorting!D24=0,Sorting!C24="Grand Total"),NA(),Sorting!D24)</f>
        <v>18.762499999999999</v>
      </c>
      <c r="D23">
        <f>IF(OR(Sorting!F24=0,Sorting!E24="Grand Total"),NA(),Sorting!F24)</f>
        <v>5</v>
      </c>
      <c r="E23">
        <f>IF(OR(Sorting!H24=0,Sorting!G24="Grand Total"),NA(),Sorting!H24)</f>
        <v>0.48749999999999999</v>
      </c>
      <c r="F23">
        <f>IF(OR(Sorting!J24=0,Sorting!I24="Grand Total"),NA(),Sorting!J24)</f>
        <v>0.41710000000000003</v>
      </c>
      <c r="G23">
        <f>IF(OR(Sorting!L24=0,Sorting!K24="Grand Total"),NA(),Sorting!L24)</f>
        <v>0.76249999999999996</v>
      </c>
      <c r="H23" t="e">
        <f>IF(OR(Sorting!O24=0,Sorting!N24="Grand Total"),NA(),Sorting!O24)</f>
        <v>#N/A</v>
      </c>
      <c r="I23" t="e">
        <f>IF(OR(Sorting!Q24=0,Sorting!P24="Grand Total"),NA(),Sorting!Q24)</f>
        <v>#N/A</v>
      </c>
      <c r="J23">
        <f>IF(OR(Sorting!S24=0,Sorting!R24="Grand Total"),NA(),Sorting!S24)</f>
        <v>4.5999999999999996</v>
      </c>
      <c r="K23" t="e">
        <f>IF(OR(Sorting!U24=0,Sorting!T24="Grand Total"),NA(),Sorting!U24)</f>
        <v>#N/A</v>
      </c>
      <c r="L23">
        <f>IF(OR(Sorting!W24=0,Sorting!V24="Grand Total"),NA(),Sorting!W24)</f>
        <v>1.0916999999999999</v>
      </c>
      <c r="M23">
        <f>IF(OR(Sorting!Y24=0,Sorting!X24="Grand Total"),NA(),Sorting!Y24)</f>
        <v>1.3491</v>
      </c>
      <c r="N23">
        <f t="shared" si="2"/>
        <v>0.41710000000000003</v>
      </c>
      <c r="O23">
        <v>21</v>
      </c>
      <c r="P23">
        <f>IF(OR(LOG10(SUM(B$3:B23))=P22,P22=""),NA(),LOG10(SUM(B$3:B23)))</f>
        <v>2.0644392692337301</v>
      </c>
      <c r="Q23">
        <f>IF(OR(LOG10(SUM(C$3:C23))=Q22,Q22=""),NA(),LOG10(SUM(C$3:C23)))</f>
        <v>2.1277641659012656</v>
      </c>
      <c r="R23">
        <f>IF(OR(LOG10(SUM(D$3:D23))=R22,R22=""),NA(),LOG10(SUM(D$3:D23)))</f>
        <v>1.5358091435633625</v>
      </c>
      <c r="S23">
        <f>IF(OR(LOG10(SUM(E$3:E23))=S22,S22=""),NA(),LOG10(SUM(E$3:E23)))</f>
        <v>0.70705041493570853</v>
      </c>
      <c r="T23">
        <f>IF(OR(LOG10(SUM(F$3:F23))=T22,T22=""),NA(),LOG10(SUM(F$3:F23)))</f>
        <v>0.76263355678590639</v>
      </c>
      <c r="U23">
        <f>IF(OR(LOG10(SUM(G$3:G23))=U22,U22=""),NA(),LOG10(SUM(G$3:G23)))</f>
        <v>0.87546641586638563</v>
      </c>
      <c r="V23" t="e">
        <f>IF(OR(LOG10(SUM(H$3:H23))=V22,V22=""),NA(),LOG10(SUM(H$3:H23)))</f>
        <v>#N/A</v>
      </c>
      <c r="W23" t="e">
        <f>IF(OR(LOG10(SUM(I$3:I23))=W22,W22=""),NA(),LOG10(SUM(I$3:I23)))</f>
        <v>#N/A</v>
      </c>
      <c r="X23">
        <f>IF(OR(LOG10(SUM(J$3:J23))=X22,X22=""),NA(),LOG10(SUM(J$3:J23)))</f>
        <v>1.4829335806756305</v>
      </c>
      <c r="Y23" t="e">
        <f>IF(OR(LOG10(SUM(K$3:K23))=Y22,Y22=""),NA(),LOG10(SUM(K$3:K23)))</f>
        <v>#N/A</v>
      </c>
      <c r="Z23">
        <f>IF(OR(LOG10(SUM(L$3:L23))=Z22,Z22=""),NA(),LOG10(SUM(L$3:L23)))</f>
        <v>1.0033484972578679</v>
      </c>
      <c r="AA23">
        <f>IF(OR(LOG10(SUM(M$3:M23))=AA22,AA22=""),NA(),LOG10(SUM(M$3:M23)))</f>
        <v>1.0280952198517956</v>
      </c>
      <c r="AB23">
        <f>IF(OR(LOG10(SUM(N$3:N23))=AB22,AB22=""),NA(),LOG10(SUM(N$3:N23)))</f>
        <v>0.66131092286161475</v>
      </c>
      <c r="AD23" t="str">
        <f t="shared" si="3"/>
        <v>(21,2.06443926923373)</v>
      </c>
      <c r="AE23" t="str">
        <f t="shared" si="3"/>
        <v>(21,2.12776416590127)</v>
      </c>
      <c r="AF23" t="str">
        <f t="shared" si="3"/>
        <v>(21,1.53580914356336)</v>
      </c>
      <c r="AG23" t="str">
        <f t="shared" si="3"/>
        <v>(21,0.707050414935709)</v>
      </c>
      <c r="AH23" t="str">
        <f t="shared" si="3"/>
        <v>(21,0.762633556785906)</v>
      </c>
      <c r="AI23" t="str">
        <f t="shared" si="3"/>
        <v>(21,0.875466415866386)</v>
      </c>
      <c r="AJ23" t="str">
        <f t="shared" si="3"/>
        <v/>
      </c>
      <c r="AK23" t="str">
        <f t="shared" si="3"/>
        <v/>
      </c>
      <c r="AL23" t="str">
        <f t="shared" si="3"/>
        <v>(21,1.48293358067563)</v>
      </c>
      <c r="AM23" t="str">
        <f t="shared" si="3"/>
        <v/>
      </c>
      <c r="AN23" t="str">
        <f t="shared" si="3"/>
        <v>(21,1.00334849725787)</v>
      </c>
      <c r="AO23" t="str">
        <f t="shared" si="3"/>
        <v>(21,1.0280952198518)</v>
      </c>
      <c r="AP23" t="str">
        <f t="shared" si="3"/>
        <v>(21,0.661310922861615)</v>
      </c>
      <c r="AS23">
        <f t="shared" si="4"/>
        <v>4.5999999999999996</v>
      </c>
      <c r="AT23">
        <f t="shared" si="5"/>
        <v>0.41710000000000003</v>
      </c>
      <c r="AU23">
        <f t="shared" si="6"/>
        <v>0.41710000000000003</v>
      </c>
      <c r="AV23">
        <f t="shared" si="7"/>
        <v>1.0916999999999999</v>
      </c>
      <c r="AX23">
        <f>LOG10(SUM(AS$3:AS23))</f>
        <v>1.479998314504247</v>
      </c>
      <c r="AY23">
        <f>LOG10(SUM(AT$3:AT23))</f>
        <v>0.66131092286161475</v>
      </c>
      <c r="AZ23">
        <f>LOG10(SUM(AU$3:AU23))</f>
        <v>0.66131092286161475</v>
      </c>
      <c r="BA23">
        <f>LOG10(SUM(AV$3:AV23))</f>
        <v>0.9855432283621316</v>
      </c>
      <c r="BC23" t="str">
        <f t="shared" si="8"/>
        <v>(21,1.47999831450425)</v>
      </c>
      <c r="BD23" t="str">
        <f t="shared" si="9"/>
        <v>(21,0.661310922861615)</v>
      </c>
      <c r="BE23" t="str">
        <f t="shared" si="10"/>
        <v>(21,0.661310922861615)</v>
      </c>
      <c r="BF23" t="str">
        <f t="shared" si="11"/>
        <v>(21,0.985543228362132)</v>
      </c>
    </row>
    <row r="24" spans="1:58">
      <c r="A24">
        <v>22</v>
      </c>
      <c r="B24">
        <f>IF(OR(Sorting!B25=0,Sorting!A25="Grand Total"),NA(),Sorting!B25)</f>
        <v>16.169799999999999</v>
      </c>
      <c r="C24">
        <f>IF(OR(Sorting!D25=0,Sorting!C25="Grand Total"),NA(),Sorting!D25)</f>
        <v>18.778199999999998</v>
      </c>
      <c r="D24">
        <f>IF(OR(Sorting!F25=0,Sorting!E25="Grand Total"),NA(),Sorting!F25)</f>
        <v>5.0141</v>
      </c>
      <c r="E24">
        <f>IF(OR(Sorting!H25=0,Sorting!G25="Grand Total"),NA(),Sorting!H25)</f>
        <v>0.49840000000000001</v>
      </c>
      <c r="F24">
        <f>IF(OR(Sorting!J25=0,Sorting!I25="Grand Total"),NA(),Sorting!J25)</f>
        <v>0.4234</v>
      </c>
      <c r="G24">
        <f>IF(OR(Sorting!L25=0,Sorting!K25="Grand Total"),NA(),Sorting!L25)</f>
        <v>0.76559999999999995</v>
      </c>
      <c r="H24" t="e">
        <f>IF(OR(Sorting!O25=0,Sorting!N25="Grand Total"),NA(),Sorting!O25)</f>
        <v>#N/A</v>
      </c>
      <c r="I24" t="e">
        <f>IF(OR(Sorting!Q25=0,Sorting!P25="Grand Total"),NA(),Sorting!Q25)</f>
        <v>#N/A</v>
      </c>
      <c r="J24">
        <f>IF(OR(Sorting!S25=0,Sorting!R25="Grand Total"),NA(),Sorting!S25)</f>
        <v>4.6025999999999998</v>
      </c>
      <c r="K24" t="e">
        <f>IF(OR(Sorting!U25=0,Sorting!T25="Grand Total"),NA(),Sorting!U25)</f>
        <v>#N/A</v>
      </c>
      <c r="L24">
        <f>IF(OR(Sorting!W25=0,Sorting!V25="Grand Total"),NA(),Sorting!W25)</f>
        <v>1.0962000000000001</v>
      </c>
      <c r="M24">
        <f>IF(OR(Sorting!Y25=0,Sorting!X25="Grand Total"),NA(),Sorting!Y25)</f>
        <v>1.3532999999999999</v>
      </c>
      <c r="N24">
        <f t="shared" si="2"/>
        <v>0.4234</v>
      </c>
      <c r="O24">
        <v>22</v>
      </c>
      <c r="P24">
        <f>IF(OR(LOG10(SUM(B$3:B24))=P23,P23=""),NA(),LOG10(SUM(B$3:B24)))</f>
        <v>2.1211158030972048</v>
      </c>
      <c r="Q24">
        <f>IF(OR(LOG10(SUM(C$3:C24))=Q23,Q23=""),NA(),LOG10(SUM(C$3:C24)))</f>
        <v>2.1846397665710326</v>
      </c>
      <c r="R24">
        <f>IF(OR(LOG10(SUM(D$3:D24))=R23,R23=""),NA(),LOG10(SUM(D$3:D24)))</f>
        <v>1.5949977096653651</v>
      </c>
      <c r="S24">
        <f>IF(OR(LOG10(SUM(E$3:E24))=S23,S23=""),NA(),LOG10(SUM(E$3:E24)))</f>
        <v>0.74759046117286043</v>
      </c>
      <c r="T24">
        <f>IF(OR(LOG10(SUM(F$3:F24))=T23,T23=""),NA(),LOG10(SUM(F$3:F24)))</f>
        <v>0.7932873732019724</v>
      </c>
      <c r="U24">
        <f>IF(OR(LOG10(SUM(G$3:G24))=U23,U23=""),NA(),LOG10(SUM(G$3:G24)))</f>
        <v>0.91764202565790454</v>
      </c>
      <c r="V24" t="e">
        <f>IF(OR(LOG10(SUM(H$3:H24))=V23,V23=""),NA(),LOG10(SUM(H$3:H24)))</f>
        <v>#N/A</v>
      </c>
      <c r="W24" t="e">
        <f>IF(OR(LOG10(SUM(I$3:I24))=W23,W23=""),NA(),LOG10(SUM(I$3:I24)))</f>
        <v>#N/A</v>
      </c>
      <c r="X24">
        <f>IF(OR(LOG10(SUM(J$3:J24))=X23,X23=""),NA(),LOG10(SUM(J$3:J24)))</f>
        <v>1.5441524133683204</v>
      </c>
      <c r="Y24" t="e">
        <f>IF(OR(LOG10(SUM(K$3:K24))=Y23,Y23=""),NA(),LOG10(SUM(K$3:K24)))</f>
        <v>#N/A</v>
      </c>
      <c r="Z24">
        <f>IF(OR(LOG10(SUM(L$3:L24))=Z23,Z23=""),NA(),LOG10(SUM(L$3:L24)))</f>
        <v>1.0481931201383252</v>
      </c>
      <c r="AA24">
        <f>IF(OR(LOG10(SUM(M$3:M24))=AA23,AA23=""),NA(),LOG10(SUM(M$3:M24)))</f>
        <v>1.0799622734011203</v>
      </c>
      <c r="AB24">
        <f>IF(OR(LOG10(SUM(N$3:N24))=AB23,AB23=""),NA(),LOG10(SUM(N$3:N24)))</f>
        <v>0.69967299213020784</v>
      </c>
      <c r="AD24" t="str">
        <f t="shared" si="3"/>
        <v>(22,2.1211158030972)</v>
      </c>
      <c r="AE24" t="str">
        <f t="shared" si="3"/>
        <v>(22,2.18463976657103)</v>
      </c>
      <c r="AF24" t="str">
        <f t="shared" si="3"/>
        <v>(22,1.59499770966537)</v>
      </c>
      <c r="AG24" t="str">
        <f t="shared" si="3"/>
        <v>(22,0.74759046117286)</v>
      </c>
      <c r="AH24" t="str">
        <f t="shared" si="3"/>
        <v>(22,0.793287373201972)</v>
      </c>
      <c r="AI24" t="str">
        <f t="shared" si="3"/>
        <v>(22,0.917642025657905)</v>
      </c>
      <c r="AJ24" t="str">
        <f t="shared" si="3"/>
        <v/>
      </c>
      <c r="AK24" t="str">
        <f t="shared" si="3"/>
        <v/>
      </c>
      <c r="AL24" t="str">
        <f t="shared" si="3"/>
        <v>(22,1.54415241336832)</v>
      </c>
      <c r="AM24" t="str">
        <f t="shared" si="3"/>
        <v/>
      </c>
      <c r="AN24" t="str">
        <f t="shared" si="3"/>
        <v>(22,1.04819312013833)</v>
      </c>
      <c r="AO24" t="str">
        <f t="shared" si="3"/>
        <v>(22,1.07996227340112)</v>
      </c>
      <c r="AP24" t="str">
        <f t="shared" si="3"/>
        <v>(22,0.699672992130208)</v>
      </c>
      <c r="AS24">
        <f t="shared" si="4"/>
        <v>4.6025999999999998</v>
      </c>
      <c r="AT24">
        <f t="shared" si="5"/>
        <v>0.4234</v>
      </c>
      <c r="AU24">
        <f t="shared" si="6"/>
        <v>0.4234</v>
      </c>
      <c r="AV24">
        <f t="shared" si="7"/>
        <v>1.0962000000000001</v>
      </c>
      <c r="AX24">
        <f>LOG10(SUM(AS$3:AS24))</f>
        <v>1.5416042026823658</v>
      </c>
      <c r="AY24">
        <f>LOG10(SUM(AT$3:AT24))</f>
        <v>0.69967299213020784</v>
      </c>
      <c r="AZ24">
        <f>LOG10(SUM(AU$3:AU24))</f>
        <v>0.69967299213020784</v>
      </c>
      <c r="BA24">
        <f>LOG10(SUM(AV$3:AV24))</f>
        <v>1.0321673112446803</v>
      </c>
      <c r="BC24" t="str">
        <f t="shared" si="8"/>
        <v>(22,1.54160420268237)</v>
      </c>
      <c r="BD24" t="str">
        <f t="shared" si="9"/>
        <v>(22,0.699672992130208)</v>
      </c>
      <c r="BE24" t="str">
        <f t="shared" si="10"/>
        <v>(22,0.699672992130208)</v>
      </c>
      <c r="BF24" t="str">
        <f t="shared" si="11"/>
        <v>(22,1.03216731124468)</v>
      </c>
    </row>
    <row r="25" spans="1:58">
      <c r="A25">
        <v>23</v>
      </c>
      <c r="B25">
        <f>IF(OR(Sorting!B26=0,Sorting!A26="Grand Total"),NA(),Sorting!B26)</f>
        <v>16.183199999999999</v>
      </c>
      <c r="C25">
        <f>IF(OR(Sorting!D26=0,Sorting!C26="Grand Total"),NA(),Sorting!D26)</f>
        <v>18.834299999999999</v>
      </c>
      <c r="D25">
        <f>IF(OR(Sorting!F26=0,Sorting!E26="Grand Total"),NA(),Sorting!F26)</f>
        <v>5.0233999999999996</v>
      </c>
      <c r="E25">
        <f>IF(OR(Sorting!H26=0,Sorting!G26="Grand Total"),NA(),Sorting!H26)</f>
        <v>0.5</v>
      </c>
      <c r="F25">
        <f>IF(OR(Sorting!J26=0,Sorting!I26="Grand Total"),NA(),Sorting!J26)</f>
        <v>0.42349999999999999</v>
      </c>
      <c r="G25">
        <f>IF(OR(Sorting!L26=0,Sorting!K26="Grand Total"),NA(),Sorting!L26)</f>
        <v>0.77180000000000004</v>
      </c>
      <c r="H25" t="e">
        <f>IF(OR(Sorting!O26=0,Sorting!N26="Grand Total"),NA(),Sorting!O26)</f>
        <v>#N/A</v>
      </c>
      <c r="I25" t="e">
        <f>IF(OR(Sorting!Q26=0,Sorting!P26="Grand Total"),NA(),Sorting!Q26)</f>
        <v>#N/A</v>
      </c>
      <c r="J25">
        <f>IF(OR(Sorting!S26=0,Sorting!R26="Grand Total"),NA(),Sorting!S26)</f>
        <v>4.6154000000000002</v>
      </c>
      <c r="K25" t="e">
        <f>IF(OR(Sorting!U26=0,Sorting!T26="Grand Total"),NA(),Sorting!U26)</f>
        <v>#N/A</v>
      </c>
      <c r="L25">
        <f>IF(OR(Sorting!W26=0,Sorting!V26="Grand Total"),NA(),Sorting!W26)</f>
        <v>1.0973999999999999</v>
      </c>
      <c r="M25">
        <f>IF(OR(Sorting!Y26=0,Sorting!X26="Grand Total"),NA(),Sorting!Y26)</f>
        <v>1.3535999999999999</v>
      </c>
      <c r="N25">
        <f t="shared" si="2"/>
        <v>0.42349999999999999</v>
      </c>
      <c r="O25">
        <v>23</v>
      </c>
      <c r="P25">
        <f>IF(OR(LOG10(SUM(B$3:B25))=P24,P24=""),NA(),LOG10(SUM(B$3:B25)))</f>
        <v>2.1712816956153222</v>
      </c>
      <c r="Q25">
        <f>IF(OR(LOG10(SUM(C$3:C25))=Q24,Q24=""),NA(),LOG10(SUM(C$3:C25)))</f>
        <v>2.2350638568965606</v>
      </c>
      <c r="R25">
        <f>IF(OR(LOG10(SUM(D$3:D25))=R24,R24=""),NA(),LOG10(SUM(D$3:D25)))</f>
        <v>1.6471696830712741</v>
      </c>
      <c r="S25">
        <f>IF(OR(LOG10(SUM(E$3:E25))=S24,S24=""),NA(),LOG10(SUM(E$3:E25)))</f>
        <v>0.78478128093069199</v>
      </c>
      <c r="T25">
        <f>IF(OR(LOG10(SUM(F$3:F25))=T24,T24=""),NA(),LOG10(SUM(F$3:F25)))</f>
        <v>0.82192601047462943</v>
      </c>
      <c r="U25">
        <f>IF(OR(LOG10(SUM(G$3:G25))=U24,U24=""),NA(),LOG10(SUM(G$3:G25)))</f>
        <v>0.9563797613194146</v>
      </c>
      <c r="V25" t="e">
        <f>IF(OR(LOG10(SUM(H$3:H25))=V24,V24=""),NA(),LOG10(SUM(H$3:H25)))</f>
        <v>#N/A</v>
      </c>
      <c r="W25" t="e">
        <f>IF(OR(LOG10(SUM(I$3:I25))=W24,W24=""),NA(),LOG10(SUM(I$3:I25)))</f>
        <v>#N/A</v>
      </c>
      <c r="X25">
        <f>IF(OR(LOG10(SUM(J$3:J25))=X24,X24=""),NA(),LOG10(SUM(J$3:J25)))</f>
        <v>1.5979385858247985</v>
      </c>
      <c r="Y25" t="e">
        <f>IF(OR(LOG10(SUM(K$3:K25))=Y24,Y24=""),NA(),LOG10(SUM(K$3:K25)))</f>
        <v>#N/A</v>
      </c>
      <c r="Z25">
        <f>IF(OR(LOG10(SUM(L$3:L25))=Z24,Z24=""),NA(),LOG10(SUM(L$3:L25)))</f>
        <v>1.0888799561080518</v>
      </c>
      <c r="AA25">
        <f>IF(OR(LOG10(SUM(M$3:M25))=AA24,AA24=""),NA(),LOG10(SUM(M$3:M25)))</f>
        <v>1.1263002847678063</v>
      </c>
      <c r="AB25">
        <f>IF(OR(LOG10(SUM(N$3:N25))=AB24,AB24=""),NA(),LOG10(SUM(N$3:N25)))</f>
        <v>0.7349277796470467</v>
      </c>
      <c r="AD25" t="str">
        <f t="shared" si="3"/>
        <v>(23,2.17128169561532)</v>
      </c>
      <c r="AE25" t="str">
        <f t="shared" si="3"/>
        <v>(23,2.23506385689656)</v>
      </c>
      <c r="AF25" t="str">
        <f t="shared" si="3"/>
        <v>(23,1.64716968307127)</v>
      </c>
      <c r="AG25" t="str">
        <f t="shared" si="3"/>
        <v>(23,0.784781280930692)</v>
      </c>
      <c r="AH25" t="str">
        <f t="shared" si="3"/>
        <v>(23,0.821926010474629)</v>
      </c>
      <c r="AI25" t="str">
        <f t="shared" si="3"/>
        <v>(23,0.956379761319415)</v>
      </c>
      <c r="AJ25" t="str">
        <f t="shared" si="3"/>
        <v/>
      </c>
      <c r="AK25" t="str">
        <f t="shared" si="3"/>
        <v/>
      </c>
      <c r="AL25" t="str">
        <f t="shared" si="3"/>
        <v>(23,1.5979385858248)</v>
      </c>
      <c r="AM25" t="str">
        <f t="shared" si="3"/>
        <v/>
      </c>
      <c r="AN25" t="str">
        <f t="shared" si="3"/>
        <v>(23,1.08887995610805)</v>
      </c>
      <c r="AO25" t="str">
        <f t="shared" si="3"/>
        <v>(23,1.12630028476781)</v>
      </c>
      <c r="AP25" t="str">
        <f t="shared" si="3"/>
        <v>(23,0.734927779647047)</v>
      </c>
      <c r="AS25">
        <f t="shared" si="4"/>
        <v>4.6154000000000002</v>
      </c>
      <c r="AT25">
        <f t="shared" si="5"/>
        <v>0.42349999999999999</v>
      </c>
      <c r="AU25">
        <f t="shared" si="6"/>
        <v>0.42349999999999999</v>
      </c>
      <c r="AV25">
        <f t="shared" si="7"/>
        <v>1.0973999999999999</v>
      </c>
      <c r="AX25">
        <f>LOG10(SUM(AS$3:AS25))</f>
        <v>1.5956879745123635</v>
      </c>
      <c r="AY25">
        <f>LOG10(SUM(AT$3:AT25))</f>
        <v>0.7349277796470467</v>
      </c>
      <c r="AZ25">
        <f>LOG10(SUM(AU$3:AU25))</f>
        <v>0.7349277796470467</v>
      </c>
      <c r="BA25">
        <f>LOG10(SUM(AV$3:AV25))</f>
        <v>1.0743116639209016</v>
      </c>
      <c r="BC25" t="str">
        <f t="shared" si="8"/>
        <v>(23,1.59568797451236)</v>
      </c>
      <c r="BD25" t="str">
        <f t="shared" si="9"/>
        <v>(23,0.734927779647047)</v>
      </c>
      <c r="BE25" t="str">
        <f t="shared" si="10"/>
        <v>(23,0.734927779647047)</v>
      </c>
      <c r="BF25" t="str">
        <f t="shared" si="11"/>
        <v>(23,1.0743116639209)</v>
      </c>
    </row>
    <row r="26" spans="1:58">
      <c r="A26">
        <v>24</v>
      </c>
      <c r="B26">
        <f>IF(OR(Sorting!B27=0,Sorting!A27="Grand Total"),NA(),Sorting!B27)</f>
        <v>16.210899999999999</v>
      </c>
      <c r="C26">
        <f>IF(OR(Sorting!D27=0,Sorting!C27="Grand Total"),NA(),Sorting!D27)</f>
        <v>18.848400000000002</v>
      </c>
      <c r="D26">
        <f>IF(OR(Sorting!F27=0,Sorting!E27="Grand Total"),NA(),Sorting!F27)</f>
        <v>5.0250000000000004</v>
      </c>
      <c r="E26">
        <f>IF(OR(Sorting!H27=0,Sorting!G27="Grand Total"),NA(),Sorting!H27)</f>
        <v>0.50470000000000004</v>
      </c>
      <c r="F26">
        <f>IF(OR(Sorting!J27=0,Sorting!I27="Grand Total"),NA(),Sorting!J27)</f>
        <v>0.43120000000000003</v>
      </c>
      <c r="G26">
        <f>IF(OR(Sorting!L27=0,Sorting!K27="Grand Total"),NA(),Sorting!L27)</f>
        <v>0.77500000000000002</v>
      </c>
      <c r="H26" t="e">
        <f>IF(OR(Sorting!O27=0,Sorting!N27="Grand Total"),NA(),Sorting!O27)</f>
        <v>#N/A</v>
      </c>
      <c r="I26" t="e">
        <f>IF(OR(Sorting!Q27=0,Sorting!P27="Grand Total"),NA(),Sorting!Q27)</f>
        <v>#N/A</v>
      </c>
      <c r="J26">
        <f>IF(OR(Sorting!S27=0,Sorting!R27="Grand Total"),NA(),Sorting!S27)</f>
        <v>4.6288999999999998</v>
      </c>
      <c r="K26" t="e">
        <f>IF(OR(Sorting!U27=0,Sorting!T27="Grand Total"),NA(),Sorting!U27)</f>
        <v>#N/A</v>
      </c>
      <c r="L26">
        <f>IF(OR(Sorting!W27=0,Sorting!V27="Grand Total"),NA(),Sorting!W27)</f>
        <v>1.1046</v>
      </c>
      <c r="M26">
        <f>IF(OR(Sorting!Y27=0,Sorting!X27="Grand Total"),NA(),Sorting!Y27)</f>
        <v>1.3625</v>
      </c>
      <c r="N26">
        <f t="shared" si="2"/>
        <v>0.43120000000000003</v>
      </c>
      <c r="O26">
        <v>24</v>
      </c>
      <c r="P26">
        <f>IF(OR(LOG10(SUM(B$3:B26))=P25,P25=""),NA(),LOG10(SUM(B$3:B26)))</f>
        <v>2.2163213756389841</v>
      </c>
      <c r="Q26">
        <f>IF(OR(LOG10(SUM(C$3:C26))=Q25,Q25=""),NA(),LOG10(SUM(C$3:C26)))</f>
        <v>2.2802698388807539</v>
      </c>
      <c r="R26">
        <f>IF(OR(LOG10(SUM(D$3:D26))=R25,R25=""),NA(),LOG10(SUM(D$3:D26)))</f>
        <v>1.693755080448589</v>
      </c>
      <c r="S26">
        <f>IF(OR(LOG10(SUM(E$3:E26))=S25,S25=""),NA(),LOG10(SUM(E$3:E26)))</f>
        <v>0.81934648408045274</v>
      </c>
      <c r="T26">
        <f>IF(OR(LOG10(SUM(F$3:F26))=T25,T25=""),NA(),LOG10(SUM(F$3:F26)))</f>
        <v>0.84926581716155725</v>
      </c>
      <c r="U26">
        <f>IF(OR(LOG10(SUM(G$3:G26))=U25,U25=""),NA(),LOG10(SUM(G$3:G26)))</f>
        <v>0.99208495167187261</v>
      </c>
      <c r="V26" t="e">
        <f>IF(OR(LOG10(SUM(H$3:H26))=V25,V25=""),NA(),LOG10(SUM(H$3:H26)))</f>
        <v>#N/A</v>
      </c>
      <c r="W26" t="e">
        <f>IF(OR(LOG10(SUM(I$3:I26))=W25,W25=""),NA(),LOG10(SUM(I$3:I26)))</f>
        <v>#N/A</v>
      </c>
      <c r="X26">
        <f>IF(OR(LOG10(SUM(J$3:J26))=X25,X25=""),NA(),LOG10(SUM(J$3:J26)))</f>
        <v>1.6459240709206777</v>
      </c>
      <c r="Y26" t="e">
        <f>IF(OR(LOG10(SUM(K$3:K26))=Y25,Y25=""),NA(),LOG10(SUM(K$3:K26)))</f>
        <v>#N/A</v>
      </c>
      <c r="Z26">
        <f>IF(OR(LOG10(SUM(L$3:L26))=Z25,Z25=""),NA(),LOG10(SUM(L$3:L26)))</f>
        <v>1.1263132726255731</v>
      </c>
      <c r="AA26">
        <f>IF(OR(LOG10(SUM(M$3:M26))=AA25,AA25=""),NA(),LOG10(SUM(M$3:M26)))</f>
        <v>1.1684297117965816</v>
      </c>
      <c r="AB26">
        <f>IF(OR(LOG10(SUM(N$3:N26))=AB25,AB25=""),NA(),LOG10(SUM(N$3:N26)))</f>
        <v>0.76810507917918758</v>
      </c>
      <c r="AD26" t="str">
        <f t="shared" si="3"/>
        <v>(24,2.21632137563898)</v>
      </c>
      <c r="AE26" t="str">
        <f t="shared" si="3"/>
        <v>(24,2.28026983888075)</v>
      </c>
      <c r="AF26" t="str">
        <f t="shared" si="3"/>
        <v>(24,1.69375508044859)</v>
      </c>
      <c r="AG26" t="str">
        <f t="shared" si="3"/>
        <v>(24,0.819346484080453)</v>
      </c>
      <c r="AH26" t="str">
        <f t="shared" si="3"/>
        <v>(24,0.849265817161557)</v>
      </c>
      <c r="AI26" t="str">
        <f t="shared" si="3"/>
        <v>(24,0.992084951671873)</v>
      </c>
      <c r="AJ26" t="str">
        <f t="shared" si="3"/>
        <v/>
      </c>
      <c r="AK26" t="str">
        <f t="shared" si="3"/>
        <v/>
      </c>
      <c r="AL26" t="str">
        <f t="shared" si="3"/>
        <v>(24,1.64592407092068)</v>
      </c>
      <c r="AM26" t="str">
        <f t="shared" si="3"/>
        <v/>
      </c>
      <c r="AN26" t="str">
        <f t="shared" si="3"/>
        <v>(24,1.12631327262557)</v>
      </c>
      <c r="AO26" t="str">
        <f t="shared" si="3"/>
        <v>(24,1.16842971179658)</v>
      </c>
      <c r="AP26" t="str">
        <f t="shared" si="3"/>
        <v>(24,0.768105079179188)</v>
      </c>
      <c r="AS26">
        <f t="shared" si="4"/>
        <v>4.6288999999999998</v>
      </c>
      <c r="AT26">
        <f t="shared" si="5"/>
        <v>0.43120000000000003</v>
      </c>
      <c r="AU26">
        <f t="shared" si="6"/>
        <v>0.43120000000000003</v>
      </c>
      <c r="AV26">
        <f t="shared" si="7"/>
        <v>1.1046</v>
      </c>
      <c r="AX26">
        <f>LOG10(SUM(AS$3:AS26))</f>
        <v>1.6439094324513008</v>
      </c>
      <c r="AY26">
        <f>LOG10(SUM(AT$3:AT26))</f>
        <v>0.76810507917918758</v>
      </c>
      <c r="AZ26">
        <f>LOG10(SUM(AU$3:AU26))</f>
        <v>0.76810507917918758</v>
      </c>
      <c r="BA26">
        <f>LOG10(SUM(AV$3:AV26))</f>
        <v>1.1129667628898556</v>
      </c>
      <c r="BC26" t="str">
        <f t="shared" si="8"/>
        <v>(24,1.6439094324513)</v>
      </c>
      <c r="BD26" t="str">
        <f t="shared" si="9"/>
        <v>(24,0.768105079179188)</v>
      </c>
      <c r="BE26" t="str">
        <f t="shared" si="10"/>
        <v>(24,0.768105079179188)</v>
      </c>
      <c r="BF26" t="str">
        <f t="shared" si="11"/>
        <v>(24,1.11296676288986)</v>
      </c>
    </row>
    <row r="27" spans="1:58">
      <c r="A27">
        <v>25</v>
      </c>
      <c r="B27">
        <f>IF(OR(Sorting!B28=0,Sorting!A28="Grand Total"),NA(),Sorting!B28)</f>
        <v>16.2376</v>
      </c>
      <c r="C27">
        <f>IF(OR(Sorting!D28=0,Sorting!C28="Grand Total"),NA(),Sorting!D28)</f>
        <v>18.853100000000001</v>
      </c>
      <c r="D27">
        <f>IF(OR(Sorting!F28=0,Sorting!E28="Grand Total"),NA(),Sorting!F28)</f>
        <v>5.0484999999999998</v>
      </c>
      <c r="E27">
        <f>IF(OR(Sorting!H28=0,Sorting!G28="Grand Total"),NA(),Sorting!H28)</f>
        <v>0.50929999999999997</v>
      </c>
      <c r="F27">
        <f>IF(OR(Sorting!J28=0,Sorting!I28="Grand Total"),NA(),Sorting!J28)</f>
        <v>0.4375</v>
      </c>
      <c r="G27">
        <f>IF(OR(Sorting!L28=0,Sorting!K28="Grand Total"),NA(),Sorting!L28)</f>
        <v>0.80779999999999996</v>
      </c>
      <c r="H27" t="e">
        <f>IF(OR(Sorting!O28=0,Sorting!N28="Grand Total"),NA(),Sorting!O28)</f>
        <v>#N/A</v>
      </c>
      <c r="I27" t="e">
        <f>IF(OR(Sorting!Q28=0,Sorting!P28="Grand Total"),NA(),Sorting!Q28)</f>
        <v>#N/A</v>
      </c>
      <c r="J27">
        <f>IF(OR(Sorting!S28=0,Sorting!R28="Grand Total"),NA(),Sorting!S28)</f>
        <v>4.6401000000000003</v>
      </c>
      <c r="K27" t="e">
        <f>IF(OR(Sorting!U28=0,Sorting!T28="Grand Total"),NA(),Sorting!U28)</f>
        <v>#N/A</v>
      </c>
      <c r="L27">
        <f>IF(OR(Sorting!W28=0,Sorting!V28="Grand Total"),NA(),Sorting!W28)</f>
        <v>1.1274</v>
      </c>
      <c r="M27">
        <f>IF(OR(Sorting!Y28=0,Sorting!X28="Grand Total"),NA(),Sorting!Y28)</f>
        <v>1.3651</v>
      </c>
      <c r="N27">
        <f t="shared" si="2"/>
        <v>0.4375</v>
      </c>
      <c r="O27">
        <v>25</v>
      </c>
      <c r="P27">
        <f>IF(OR(LOG10(SUM(B$3:B27))=P26,P26=""),NA(),LOG10(SUM(B$3:B27)))</f>
        <v>2.2571900188085952</v>
      </c>
      <c r="Q27">
        <f>IF(OR(LOG10(SUM(C$3:C27))=Q26,Q26=""),NA(),LOG10(SUM(C$3:C27)))</f>
        <v>2.32122051065235</v>
      </c>
      <c r="R27">
        <f>IF(OR(LOG10(SUM(D$3:D27))=R26,R26=""),NA(),LOG10(SUM(D$3:D27)))</f>
        <v>1.7360114431201523</v>
      </c>
      <c r="S27">
        <f>IF(OR(LOG10(SUM(E$3:E27))=S26,S26=""),NA(),LOG10(SUM(E$3:E27)))</f>
        <v>0.85164353774300816</v>
      </c>
      <c r="T27">
        <f>IF(OR(LOG10(SUM(F$3:F27))=T26,T26=""),NA(),LOG10(SUM(F$3:F27)))</f>
        <v>0.87535069657928921</v>
      </c>
      <c r="U27">
        <f>IF(OR(LOG10(SUM(G$3:G27))=U26,U26=""),NA(),LOG10(SUM(G$3:G27)))</f>
        <v>1.0264188539182912</v>
      </c>
      <c r="V27" t="e">
        <f>IF(OR(LOG10(SUM(H$3:H27))=V26,V26=""),NA(),LOG10(SUM(H$3:H27)))</f>
        <v>#N/A</v>
      </c>
      <c r="W27" t="e">
        <f>IF(OR(LOG10(SUM(I$3:I27))=W26,W26=""),NA(),LOG10(SUM(I$3:I27)))</f>
        <v>#N/A</v>
      </c>
      <c r="X27">
        <f>IF(OR(LOG10(SUM(J$3:J27))=X26,X26=""),NA(),LOG10(SUM(J$3:J27)))</f>
        <v>1.6892306968462159</v>
      </c>
      <c r="Y27" t="e">
        <f>IF(OR(LOG10(SUM(K$3:K27))=Y26,Y26=""),NA(),LOG10(SUM(K$3:K27)))</f>
        <v>#N/A</v>
      </c>
      <c r="Z27">
        <f>IF(OR(LOG10(SUM(L$3:L27))=Z26,Z26=""),NA(),LOG10(SUM(L$3:L27)))</f>
        <v>1.1614578469717509</v>
      </c>
      <c r="AA27">
        <f>IF(OR(LOG10(SUM(M$3:M27))=AA26,AA26=""),NA(),LOG10(SUM(M$3:M27)))</f>
        <v>1.2069013989399444</v>
      </c>
      <c r="AB27">
        <f>IF(OR(LOG10(SUM(N$3:N27))=AB26,AB26=""),NA(),LOG10(SUM(N$3:N27)))</f>
        <v>0.79936122965081435</v>
      </c>
      <c r="AD27" t="str">
        <f t="shared" si="3"/>
        <v>(25,2.2571900188086)</v>
      </c>
      <c r="AE27" t="str">
        <f t="shared" si="3"/>
        <v>(25,2.32122051065235)</v>
      </c>
      <c r="AF27" t="str">
        <f t="shared" si="3"/>
        <v>(25,1.73601144312015)</v>
      </c>
      <c r="AG27" t="str">
        <f t="shared" si="3"/>
        <v>(25,0.851643537743008)</v>
      </c>
      <c r="AH27" t="str">
        <f t="shared" si="3"/>
        <v>(25,0.875350696579289)</v>
      </c>
      <c r="AI27" t="str">
        <f t="shared" si="3"/>
        <v>(25,1.02641885391829)</v>
      </c>
      <c r="AJ27" t="str">
        <f t="shared" si="3"/>
        <v/>
      </c>
      <c r="AK27" t="str">
        <f t="shared" si="3"/>
        <v/>
      </c>
      <c r="AL27" t="str">
        <f t="shared" si="3"/>
        <v>(25,1.68923069684622)</v>
      </c>
      <c r="AM27" t="str">
        <f t="shared" si="3"/>
        <v/>
      </c>
      <c r="AN27" t="str">
        <f t="shared" si="3"/>
        <v>(25,1.16145784697175)</v>
      </c>
      <c r="AO27" t="str">
        <f t="shared" si="3"/>
        <v>(25,1.20690139893994)</v>
      </c>
      <c r="AP27" t="str">
        <f t="shared" si="3"/>
        <v>(25,0.799361229650814)</v>
      </c>
      <c r="AS27">
        <f t="shared" si="4"/>
        <v>4.6401000000000003</v>
      </c>
      <c r="AT27">
        <f t="shared" si="5"/>
        <v>0.4375</v>
      </c>
      <c r="AU27">
        <f t="shared" si="6"/>
        <v>0.4375</v>
      </c>
      <c r="AV27">
        <f t="shared" si="7"/>
        <v>1.1274</v>
      </c>
      <c r="AX27">
        <f>LOG10(SUM(AS$3:AS27))</f>
        <v>1.6874076628610186</v>
      </c>
      <c r="AY27">
        <f>LOG10(SUM(AT$3:AT27))</f>
        <v>0.79936122965081435</v>
      </c>
      <c r="AZ27">
        <f>LOG10(SUM(AU$3:AU27))</f>
        <v>0.79936122965081435</v>
      </c>
      <c r="BA27">
        <f>LOG10(SUM(AV$3:AV27))</f>
        <v>1.1491636672674836</v>
      </c>
      <c r="BC27" t="str">
        <f t="shared" si="8"/>
        <v>(25,1.68740766286102)</v>
      </c>
      <c r="BD27" t="str">
        <f t="shared" si="9"/>
        <v>(25,0.799361229650814)</v>
      </c>
      <c r="BE27" t="str">
        <f t="shared" si="10"/>
        <v>(25,0.799361229650814)</v>
      </c>
      <c r="BF27" t="str">
        <f t="shared" si="11"/>
        <v>(25,1.14916366726748)</v>
      </c>
    </row>
    <row r="28" spans="1:58">
      <c r="A28">
        <v>26</v>
      </c>
      <c r="B28">
        <f>IF(OR(Sorting!B29=0,Sorting!A29="Grand Total"),NA(),Sorting!B29)</f>
        <v>16.247499999999999</v>
      </c>
      <c r="C28">
        <f>IF(OR(Sorting!D29=0,Sorting!C29="Grand Total"),NA(),Sorting!D29)</f>
        <v>18.8703</v>
      </c>
      <c r="D28">
        <f>IF(OR(Sorting!F29=0,Sorting!E29="Grand Total"),NA(),Sorting!F29)</f>
        <v>5.0719000000000003</v>
      </c>
      <c r="E28">
        <f>IF(OR(Sorting!H29=0,Sorting!G29="Grand Total"),NA(),Sorting!H29)</f>
        <v>0.51090000000000002</v>
      </c>
      <c r="F28">
        <f>IF(OR(Sorting!J29=0,Sorting!I29="Grand Total"),NA(),Sorting!J29)</f>
        <v>0.44059999999999999</v>
      </c>
      <c r="G28">
        <f>IF(OR(Sorting!L29=0,Sorting!K29="Grand Total"),NA(),Sorting!L29)</f>
        <v>0.8125</v>
      </c>
      <c r="H28" t="e">
        <f>IF(OR(Sorting!O29=0,Sorting!N29="Grand Total"),NA(),Sorting!O29)</f>
        <v>#N/A</v>
      </c>
      <c r="I28" t="e">
        <f>IF(OR(Sorting!Q29=0,Sorting!P29="Grand Total"),NA(),Sorting!Q29)</f>
        <v>#N/A</v>
      </c>
      <c r="J28">
        <f>IF(OR(Sorting!S29=0,Sorting!R29="Grand Total"),NA(),Sorting!S29)</f>
        <v>4.6417999999999999</v>
      </c>
      <c r="K28" t="e">
        <f>IF(OR(Sorting!U29=0,Sorting!T29="Grand Total"),NA(),Sorting!U29)</f>
        <v>#N/A</v>
      </c>
      <c r="L28">
        <f>IF(OR(Sorting!W29=0,Sorting!V29="Grand Total"),NA(),Sorting!W29)</f>
        <v>1.1323000000000001</v>
      </c>
      <c r="M28">
        <f>IF(OR(Sorting!Y29=0,Sorting!X29="Grand Total"),NA(),Sorting!Y29)</f>
        <v>1.3676999999999999</v>
      </c>
      <c r="N28">
        <f t="shared" si="2"/>
        <v>0.44059999999999999</v>
      </c>
      <c r="O28">
        <v>26</v>
      </c>
      <c r="P28">
        <f>IF(OR(LOG10(SUM(B$3:B28))=P27,P27=""),NA(),LOG10(SUM(B$3:B28)))</f>
        <v>2.2945632151135027</v>
      </c>
      <c r="Q28">
        <f>IF(OR(LOG10(SUM(C$3:C28))=Q27,Q27=""),NA(),LOG10(SUM(C$3:C28)))</f>
        <v>2.3586730912444205</v>
      </c>
      <c r="R28">
        <f>IF(OR(LOG10(SUM(D$3:D28))=R27,R27=""),NA(),LOG10(SUM(D$3:D28)))</f>
        <v>1.7746891895548702</v>
      </c>
      <c r="S28">
        <f>IF(OR(LOG10(SUM(E$3:E28))=S27,S27=""),NA(),LOG10(SUM(E$3:E28)))</f>
        <v>0.88179535873846426</v>
      </c>
      <c r="T28">
        <f>IF(OR(LOG10(SUM(F$3:F28))=T27,T27=""),NA(),LOG10(SUM(F$3:F28)))</f>
        <v>0.90012669787447031</v>
      </c>
      <c r="U28">
        <f>IF(OR(LOG10(SUM(G$3:G28))=U27,U27=""),NA(),LOG10(SUM(G$3:G28)))</f>
        <v>1.0584146354663651</v>
      </c>
      <c r="V28" t="e">
        <f>IF(OR(LOG10(SUM(H$3:H28))=V27,V27=""),NA(),LOG10(SUM(H$3:H28)))</f>
        <v>#N/A</v>
      </c>
      <c r="W28" t="e">
        <f>IF(OR(LOG10(SUM(I$3:I28))=W27,W27=""),NA(),LOG10(SUM(I$3:I28)))</f>
        <v>#N/A</v>
      </c>
      <c r="X28">
        <f>IF(OR(LOG10(SUM(J$3:J28))=X27,X27=""),NA(),LOG10(SUM(J$3:J28)))</f>
        <v>1.7286215820148179</v>
      </c>
      <c r="Y28" t="e">
        <f>IF(OR(LOG10(SUM(K$3:K28))=Y27,Y27=""),NA(),LOG10(SUM(K$3:K28)))</f>
        <v>#N/A</v>
      </c>
      <c r="Z28">
        <f>IF(OR(LOG10(SUM(L$3:L28))=Z27,Z27=""),NA(),LOG10(SUM(L$3:L28)))</f>
        <v>1.1941062186198614</v>
      </c>
      <c r="AA28">
        <f>IF(OR(LOG10(SUM(M$3:M28))=AA27,AA27=""),NA(),LOG10(SUM(M$3:M28)))</f>
        <v>1.2423053345269253</v>
      </c>
      <c r="AB28">
        <f>IF(OR(LOG10(SUM(N$3:N28))=AB27,AB27=""),NA(),LOG10(SUM(N$3:N28)))</f>
        <v>0.82871788450856987</v>
      </c>
      <c r="AD28" t="str">
        <f t="shared" si="3"/>
        <v>(26,2.2945632151135)</v>
      </c>
      <c r="AE28" t="str">
        <f t="shared" si="3"/>
        <v>(26,2.35867309124442)</v>
      </c>
      <c r="AF28" t="str">
        <f t="shared" si="3"/>
        <v>(26,1.77468918955487)</v>
      </c>
      <c r="AG28" t="str">
        <f t="shared" si="3"/>
        <v>(26,0.881795358738464)</v>
      </c>
      <c r="AH28" t="str">
        <f t="shared" si="3"/>
        <v>(26,0.90012669787447)</v>
      </c>
      <c r="AI28" t="str">
        <f t="shared" si="3"/>
        <v>(26,1.05841463546637)</v>
      </c>
      <c r="AJ28" t="str">
        <f t="shared" si="3"/>
        <v/>
      </c>
      <c r="AK28" t="str">
        <f t="shared" si="3"/>
        <v/>
      </c>
      <c r="AL28" t="str">
        <f t="shared" si="3"/>
        <v>(26,1.72862158201482)</v>
      </c>
      <c r="AM28" t="str">
        <f t="shared" si="3"/>
        <v/>
      </c>
      <c r="AN28" t="str">
        <f t="shared" si="3"/>
        <v>(26,1.19410621861986)</v>
      </c>
      <c r="AO28" t="str">
        <f t="shared" si="3"/>
        <v>(26,1.24230533452693)</v>
      </c>
      <c r="AP28" t="str">
        <f t="shared" si="3"/>
        <v>(26,0.82871788450857)</v>
      </c>
      <c r="AS28">
        <f t="shared" si="4"/>
        <v>4.6417999999999999</v>
      </c>
      <c r="AT28">
        <f t="shared" si="5"/>
        <v>0.44059999999999999</v>
      </c>
      <c r="AU28">
        <f t="shared" si="6"/>
        <v>0.44059999999999999</v>
      </c>
      <c r="AV28">
        <f t="shared" si="7"/>
        <v>1.1323000000000001</v>
      </c>
      <c r="AX28">
        <f>LOG10(SUM(AS$3:AS28))</f>
        <v>1.7269569250805845</v>
      </c>
      <c r="AY28">
        <f>LOG10(SUM(AT$3:AT28))</f>
        <v>0.82871788450856987</v>
      </c>
      <c r="AZ28">
        <f>LOG10(SUM(AU$3:AU28))</f>
        <v>0.82871788450856987</v>
      </c>
      <c r="BA28">
        <f>LOG10(SUM(AV$3:AV28))</f>
        <v>1.182714160964182</v>
      </c>
      <c r="BC28" t="str">
        <f t="shared" si="8"/>
        <v>(26,1.72695692508058)</v>
      </c>
      <c r="BD28" t="str">
        <f t="shared" si="9"/>
        <v>(26,0.82871788450857)</v>
      </c>
      <c r="BE28" t="str">
        <f t="shared" si="10"/>
        <v>(26,0.82871788450857)</v>
      </c>
      <c r="BF28" t="str">
        <f t="shared" si="11"/>
        <v>(26,1.18271416096418)</v>
      </c>
    </row>
    <row r="29" spans="1:58">
      <c r="A29">
        <v>27</v>
      </c>
      <c r="B29">
        <f>IF(OR(Sorting!B30=0,Sorting!A30="Grand Total"),NA(),Sorting!B30)</f>
        <v>16.254300000000001</v>
      </c>
      <c r="C29">
        <f>IF(OR(Sorting!D30=0,Sorting!C30="Grand Total"),NA(),Sorting!D30)</f>
        <v>18.948399999999999</v>
      </c>
      <c r="D29">
        <f>IF(OR(Sorting!F30=0,Sorting!E30="Grand Total"),NA(),Sorting!F30)</f>
        <v>5.0734000000000004</v>
      </c>
      <c r="E29">
        <f>IF(OR(Sorting!H30=0,Sorting!G30="Grand Total"),NA(),Sorting!H30)</f>
        <v>0.5141</v>
      </c>
      <c r="F29">
        <f>IF(OR(Sorting!J30=0,Sorting!I30="Grand Total"),NA(),Sorting!J30)</f>
        <v>0.45</v>
      </c>
      <c r="G29">
        <f>IF(OR(Sorting!L30=0,Sorting!K30="Grand Total"),NA(),Sorting!L30)</f>
        <v>0.83279999999999998</v>
      </c>
      <c r="H29" t="e">
        <f>IF(OR(Sorting!O30=0,Sorting!N30="Grand Total"),NA(),Sorting!O30)</f>
        <v>#N/A</v>
      </c>
      <c r="I29" t="e">
        <f>IF(OR(Sorting!Q30=0,Sorting!P30="Grand Total"),NA(),Sorting!Q30)</f>
        <v>#N/A</v>
      </c>
      <c r="J29">
        <f>IF(OR(Sorting!S30=0,Sorting!R30="Grand Total"),NA(),Sorting!S30)</f>
        <v>4.6714000000000002</v>
      </c>
      <c r="K29" t="e">
        <f>IF(OR(Sorting!U30=0,Sorting!T30="Grand Total"),NA(),Sorting!U30)</f>
        <v>#N/A</v>
      </c>
      <c r="L29">
        <f>IF(OR(Sorting!W30=0,Sorting!V30="Grand Total"),NA(),Sorting!W30)</f>
        <v>1.1389</v>
      </c>
      <c r="M29">
        <f>IF(OR(Sorting!Y30=0,Sorting!X30="Grand Total"),NA(),Sorting!Y30)</f>
        <v>1.3728</v>
      </c>
      <c r="N29">
        <f t="shared" si="2"/>
        <v>0.45</v>
      </c>
      <c r="O29">
        <v>27</v>
      </c>
      <c r="P29">
        <f>IF(OR(LOG10(SUM(B$3:B29))=P28,P28=""),NA(),LOG10(SUM(B$3:B29)))</f>
        <v>2.3289873941106505</v>
      </c>
      <c r="Q29">
        <f>IF(OR(LOG10(SUM(C$3:C29))=Q28,Q28=""),NA(),LOG10(SUM(C$3:C29)))</f>
        <v>2.3932878597206964</v>
      </c>
      <c r="R29">
        <f>IF(OR(LOG10(SUM(D$3:D29))=R28,R28=""),NA(),LOG10(SUM(D$3:D29)))</f>
        <v>1.8102123490523696</v>
      </c>
      <c r="S29">
        <f>IF(OR(LOG10(SUM(E$3:E29))=S28,S28=""),NA(),LOG10(SUM(E$3:E29)))</f>
        <v>0.9101599844246262</v>
      </c>
      <c r="T29">
        <f>IF(OR(LOG10(SUM(F$3:F29))=T28,T28=""),NA(),LOG10(SUM(F$3:F29)))</f>
        <v>0.92405173887522696</v>
      </c>
      <c r="U29">
        <f>IF(OR(LOG10(SUM(G$3:G29))=U28,U28=""),NA(),LOG10(SUM(G$3:G29)))</f>
        <v>1.0889330407719071</v>
      </c>
      <c r="V29" t="e">
        <f>IF(OR(LOG10(SUM(H$3:H29))=V28,V28=""),NA(),LOG10(SUM(H$3:H29)))</f>
        <v>#N/A</v>
      </c>
      <c r="W29" t="e">
        <f>IF(OR(LOG10(SUM(I$3:I29))=W28,W28=""),NA(),LOG10(SUM(I$3:I29)))</f>
        <v>#N/A</v>
      </c>
      <c r="X29">
        <f>IF(OR(LOG10(SUM(J$3:J29))=X28,X28=""),NA(),LOG10(SUM(J$3:J29)))</f>
        <v>1.7649558166686317</v>
      </c>
      <c r="Y29" t="e">
        <f>IF(OR(LOG10(SUM(K$3:K29))=Y28,Y28=""),NA(),LOG10(SUM(K$3:K29)))</f>
        <v>#N/A</v>
      </c>
      <c r="Z29">
        <f>IF(OR(LOG10(SUM(L$3:L29))=Z28,Z28=""),NA(),LOG10(SUM(L$3:L29)))</f>
        <v>1.2246418168368336</v>
      </c>
      <c r="AA29">
        <f>IF(OR(LOG10(SUM(M$3:M29))=AA28,AA28=""),NA(),LOG10(SUM(M$3:M29)))</f>
        <v>1.2751569624849</v>
      </c>
      <c r="AB29">
        <f>IF(OR(LOG10(SUM(N$3:N29))=AB28,AB28=""),NA(),LOG10(SUM(N$3:N29)))</f>
        <v>0.85678324929424743</v>
      </c>
      <c r="AD29" t="str">
        <f t="shared" si="3"/>
        <v>(27,2.32898739411065)</v>
      </c>
      <c r="AE29" t="str">
        <f t="shared" si="3"/>
        <v>(27,2.3932878597207)</v>
      </c>
      <c r="AF29" t="str">
        <f t="shared" si="3"/>
        <v>(27,1.81021234905237)</v>
      </c>
      <c r="AG29" t="str">
        <f t="shared" si="3"/>
        <v>(27,0.910159984424626)</v>
      </c>
      <c r="AH29" t="str">
        <f t="shared" si="3"/>
        <v>(27,0.924051738875227)</v>
      </c>
      <c r="AI29" t="str">
        <f t="shared" si="3"/>
        <v>(27,1.08893304077191)</v>
      </c>
      <c r="AJ29" t="str">
        <f t="shared" si="3"/>
        <v/>
      </c>
      <c r="AK29" t="str">
        <f t="shared" si="3"/>
        <v/>
      </c>
      <c r="AL29" t="str">
        <f t="shared" si="3"/>
        <v>(27,1.76495581666863)</v>
      </c>
      <c r="AM29" t="str">
        <f t="shared" si="3"/>
        <v/>
      </c>
      <c r="AN29" t="str">
        <f t="shared" si="3"/>
        <v>(27,1.22464181683683)</v>
      </c>
      <c r="AO29" t="str">
        <f t="shared" si="3"/>
        <v>(27,1.2751569624849)</v>
      </c>
      <c r="AP29" t="str">
        <f t="shared" si="3"/>
        <v>(27,0.856783249294247)</v>
      </c>
      <c r="AS29">
        <f t="shared" si="4"/>
        <v>4.6714000000000002</v>
      </c>
      <c r="AT29">
        <f t="shared" si="5"/>
        <v>0.45</v>
      </c>
      <c r="AU29">
        <f t="shared" si="6"/>
        <v>0.45</v>
      </c>
      <c r="AV29">
        <f t="shared" si="7"/>
        <v>1.1389</v>
      </c>
      <c r="AX29">
        <f>LOG10(SUM(AS$3:AS29))</f>
        <v>1.7634249984182513</v>
      </c>
      <c r="AY29">
        <f>LOG10(SUM(AT$3:AT29))</f>
        <v>0.85678324929424743</v>
      </c>
      <c r="AZ29">
        <f>LOG10(SUM(AU$3:AU29))</f>
        <v>0.85678324929424743</v>
      </c>
      <c r="BA29">
        <f>LOG10(SUM(AV$3:AV29))</f>
        <v>1.2140327611795259</v>
      </c>
      <c r="BC29" t="str">
        <f t="shared" si="8"/>
        <v>(27,1.76342499841825)</v>
      </c>
      <c r="BD29" t="str">
        <f t="shared" si="9"/>
        <v>(27,0.856783249294247)</v>
      </c>
      <c r="BE29" t="str">
        <f t="shared" si="10"/>
        <v>(27,0.856783249294247)</v>
      </c>
      <c r="BF29" t="str">
        <f t="shared" si="11"/>
        <v>(27,1.21403276117953)</v>
      </c>
    </row>
    <row r="30" spans="1:58">
      <c r="A30">
        <v>28</v>
      </c>
      <c r="B30">
        <f>IF(OR(Sorting!B31=0,Sorting!A31="Grand Total"),NA(),Sorting!B31)</f>
        <v>16.358699999999999</v>
      </c>
      <c r="C30">
        <f>IF(OR(Sorting!D31=0,Sorting!C31="Grand Total"),NA(),Sorting!D31)</f>
        <v>18.984400000000001</v>
      </c>
      <c r="D30">
        <f>IF(OR(Sorting!F31=0,Sorting!E31="Grand Total"),NA(),Sorting!F31)</f>
        <v>5.0843999999999996</v>
      </c>
      <c r="E30">
        <f>IF(OR(Sorting!H31=0,Sorting!G31="Grand Total"),NA(),Sorting!H31)</f>
        <v>0.52029999999999998</v>
      </c>
      <c r="F30">
        <f>IF(OR(Sorting!J31=0,Sorting!I31="Grand Total"),NA(),Sorting!J31)</f>
        <v>0.4516</v>
      </c>
      <c r="G30">
        <f>IF(OR(Sorting!L31=0,Sorting!K31="Grand Total"),NA(),Sorting!L31)</f>
        <v>0.83289999999999997</v>
      </c>
      <c r="H30" t="e">
        <f>IF(OR(Sorting!O31=0,Sorting!N31="Grand Total"),NA(),Sorting!O31)</f>
        <v>#N/A</v>
      </c>
      <c r="I30" t="e">
        <f>IF(OR(Sorting!Q31=0,Sorting!P31="Grand Total"),NA(),Sorting!Q31)</f>
        <v>#N/A</v>
      </c>
      <c r="J30">
        <f>IF(OR(Sorting!S31=0,Sorting!R31="Grand Total"),NA(),Sorting!S31)</f>
        <v>4.6749999999999998</v>
      </c>
      <c r="K30" t="e">
        <f>IF(OR(Sorting!U31=0,Sorting!T31="Grand Total"),NA(),Sorting!U31)</f>
        <v>#N/A</v>
      </c>
      <c r="L30">
        <f>IF(OR(Sorting!W31=0,Sorting!V31="Grand Total"),NA(),Sorting!W31)</f>
        <v>1.1819</v>
      </c>
      <c r="M30">
        <f>IF(OR(Sorting!Y31=0,Sorting!X31="Grand Total"),NA(),Sorting!Y31)</f>
        <v>1.3738999999999999</v>
      </c>
      <c r="N30">
        <f t="shared" si="2"/>
        <v>0.4516</v>
      </c>
      <c r="O30">
        <v>28</v>
      </c>
      <c r="P30">
        <f>IF(OR(LOG10(SUM(B$3:B30))=P29,P29=""),NA(),LOG10(SUM(B$3:B30)))</f>
        <v>2.3610796873548217</v>
      </c>
      <c r="Q30">
        <f>IF(OR(LOG10(SUM(C$3:C30))=Q29,Q29=""),NA(),LOG10(SUM(C$3:C30)))</f>
        <v>2.4254049236540847</v>
      </c>
      <c r="R30">
        <f>IF(OR(LOG10(SUM(D$3:D30))=R29,R29=""),NA(),LOG10(SUM(D$3:D30)))</f>
        <v>1.8431168676908625</v>
      </c>
      <c r="S30">
        <f>IF(OR(LOG10(SUM(E$3:E30))=S29,S29=""),NA(),LOG10(SUM(E$3:E30)))</f>
        <v>0.93709643196347636</v>
      </c>
      <c r="T30">
        <f>IF(OR(LOG10(SUM(F$3:F30))=T29,T29=""),NA(),LOG10(SUM(F$3:F30)))</f>
        <v>0.94680584505314991</v>
      </c>
      <c r="U30">
        <f>IF(OR(LOG10(SUM(G$3:G30))=U29,U29=""),NA(),LOG10(SUM(G$3:G30)))</f>
        <v>1.1174502809210511</v>
      </c>
      <c r="V30" t="e">
        <f>IF(OR(LOG10(SUM(H$3:H30))=V29,V29=""),NA(),LOG10(SUM(H$3:H30)))</f>
        <v>#N/A</v>
      </c>
      <c r="W30" t="e">
        <f>IF(OR(LOG10(SUM(I$3:I30))=W29,W29=""),NA(),LOG10(SUM(I$3:I30)))</f>
        <v>#N/A</v>
      </c>
      <c r="X30">
        <f>IF(OR(LOG10(SUM(J$3:J30))=X29,X29=""),NA(),LOG10(SUM(J$3:J30)))</f>
        <v>1.7985083889802644</v>
      </c>
      <c r="Y30" t="e">
        <f>IF(OR(LOG10(SUM(K$3:K30))=Y29,Y29=""),NA(),LOG10(SUM(K$3:K30)))</f>
        <v>#N/A</v>
      </c>
      <c r="Z30">
        <f>IF(OR(LOG10(SUM(L$3:L30))=Z29,Z29=""),NA(),LOG10(SUM(L$3:L30)))</f>
        <v>1.2542120153822804</v>
      </c>
      <c r="AA30">
        <f>IF(OR(LOG10(SUM(M$3:M30))=AA29,AA29=""),NA(),LOG10(SUM(M$3:M30)))</f>
        <v>1.3057210073997563</v>
      </c>
      <c r="AB30">
        <f>IF(OR(LOG10(SUM(N$3:N30))=AB29,AB29=""),NA(),LOG10(SUM(N$3:N30)))</f>
        <v>0.88323544739812643</v>
      </c>
      <c r="AD30" t="str">
        <f t="shared" si="3"/>
        <v>(28,2.36107968735482)</v>
      </c>
      <c r="AE30" t="str">
        <f t="shared" si="3"/>
        <v>(28,2.42540492365408)</v>
      </c>
      <c r="AF30" t="str">
        <f t="shared" si="3"/>
        <v>(28,1.84311686769086)</v>
      </c>
      <c r="AG30" t="str">
        <f t="shared" si="3"/>
        <v>(28,0.937096431963476)</v>
      </c>
      <c r="AH30" t="str">
        <f t="shared" si="3"/>
        <v>(28,0.94680584505315)</v>
      </c>
      <c r="AI30" t="str">
        <f t="shared" si="3"/>
        <v>(28,1.11745028092105)</v>
      </c>
      <c r="AJ30" t="str">
        <f t="shared" si="3"/>
        <v/>
      </c>
      <c r="AK30" t="str">
        <f t="shared" si="3"/>
        <v/>
      </c>
      <c r="AL30" t="str">
        <f t="shared" si="3"/>
        <v>(28,1.79850838898026)</v>
      </c>
      <c r="AM30" t="str">
        <f t="shared" si="3"/>
        <v/>
      </c>
      <c r="AN30" t="str">
        <f t="shared" si="3"/>
        <v>(28,1.25421201538228)</v>
      </c>
      <c r="AO30" t="str">
        <f t="shared" si="3"/>
        <v>(28,1.30572100739976)</v>
      </c>
      <c r="AP30" t="str">
        <f t="shared" si="3"/>
        <v>(28,0.883235447398126)</v>
      </c>
      <c r="AS30">
        <f t="shared" si="4"/>
        <v>4.6749999999999998</v>
      </c>
      <c r="AT30">
        <f t="shared" si="5"/>
        <v>0.4516</v>
      </c>
      <c r="AU30">
        <f t="shared" si="6"/>
        <v>0.4516</v>
      </c>
      <c r="AV30">
        <f t="shared" si="7"/>
        <v>1.1819</v>
      </c>
      <c r="AX30">
        <f>LOG10(SUM(AS$3:AS30))</f>
        <v>1.7970915708975519</v>
      </c>
      <c r="AY30">
        <f>LOG10(SUM(AT$3:AT30))</f>
        <v>0.88323544739812643</v>
      </c>
      <c r="AZ30">
        <f>LOG10(SUM(AU$3:AU30))</f>
        <v>0.88323544739812643</v>
      </c>
      <c r="BA30">
        <f>LOG10(SUM(AV$3:AV30))</f>
        <v>1.244309289572044</v>
      </c>
      <c r="BC30" t="str">
        <f t="shared" si="8"/>
        <v>(28,1.79709157089755)</v>
      </c>
      <c r="BD30" t="str">
        <f t="shared" si="9"/>
        <v>(28,0.883235447398126)</v>
      </c>
      <c r="BE30" t="str">
        <f t="shared" si="10"/>
        <v>(28,0.883235447398126)</v>
      </c>
      <c r="BF30" t="str">
        <f t="shared" si="11"/>
        <v>(28,1.24430928957204)</v>
      </c>
    </row>
    <row r="31" spans="1:58">
      <c r="A31">
        <v>29</v>
      </c>
      <c r="B31">
        <f>IF(OR(Sorting!B32=0,Sorting!A32="Grand Total"),NA(),Sorting!B32)</f>
        <v>16.6554</v>
      </c>
      <c r="C31">
        <f>IF(OR(Sorting!D32=0,Sorting!C32="Grand Total"),NA(),Sorting!D32)</f>
        <v>19.1234</v>
      </c>
      <c r="D31">
        <f>IF(OR(Sorting!F32=0,Sorting!E32="Grand Total"),NA(),Sorting!F32)</f>
        <v>5.1265999999999998</v>
      </c>
      <c r="E31">
        <f>IF(OR(Sorting!H32=0,Sorting!G32="Grand Total"),NA(),Sorting!H32)</f>
        <v>0.52810000000000001</v>
      </c>
      <c r="F31">
        <f>IF(OR(Sorting!J32=0,Sorting!I32="Grand Total"),NA(),Sorting!J32)</f>
        <v>0.4546</v>
      </c>
      <c r="G31">
        <f>IF(OR(Sorting!L32=0,Sorting!K32="Grand Total"),NA(),Sorting!L32)</f>
        <v>0.85</v>
      </c>
      <c r="H31" t="e">
        <f>IF(OR(Sorting!O32=0,Sorting!N32="Grand Total"),NA(),Sorting!O32)</f>
        <v>#N/A</v>
      </c>
      <c r="I31" t="e">
        <f>IF(OR(Sorting!Q32=0,Sorting!P32="Grand Total"),NA(),Sorting!Q32)</f>
        <v>#N/A</v>
      </c>
      <c r="J31">
        <f>IF(OR(Sorting!S32=0,Sorting!R32="Grand Total"),NA(),Sorting!S32)</f>
        <v>4.7055999999999996</v>
      </c>
      <c r="K31" t="e">
        <f>IF(OR(Sorting!U32=0,Sorting!T32="Grand Total"),NA(),Sorting!U32)</f>
        <v>#N/A</v>
      </c>
      <c r="L31">
        <f>IF(OR(Sorting!W32=0,Sorting!V32="Grand Total"),NA(),Sorting!W32)</f>
        <v>1.1998</v>
      </c>
      <c r="M31">
        <f>IF(OR(Sorting!Y32=0,Sorting!X32="Grand Total"),NA(),Sorting!Y32)</f>
        <v>1.3746</v>
      </c>
      <c r="N31">
        <f t="shared" si="2"/>
        <v>0.4546</v>
      </c>
      <c r="O31">
        <v>29</v>
      </c>
      <c r="P31">
        <f>IF(OR(LOG10(SUM(B$3:B31))=P30,P30=""),NA(),LOG10(SUM(B$3:B31)))</f>
        <v>2.3914862758911521</v>
      </c>
      <c r="Q31">
        <f>IF(OR(LOG10(SUM(C$3:C31))=Q30,Q30=""),NA(),LOG10(SUM(C$3:C31)))</f>
        <v>2.455521070765633</v>
      </c>
      <c r="R31">
        <f>IF(OR(LOG10(SUM(D$3:D31))=R30,R30=""),NA(),LOG10(SUM(D$3:D31)))</f>
        <v>1.8739480439884457</v>
      </c>
      <c r="S31">
        <f>IF(OR(LOG10(SUM(E$3:E31))=S30,S30=""),NA(),LOG10(SUM(E$3:E31)))</f>
        <v>0.96282848833920409</v>
      </c>
      <c r="T31">
        <f>IF(OR(LOG10(SUM(F$3:F31))=T30,T30=""),NA(),LOG10(SUM(F$3:F31)))</f>
        <v>0.96856699741693397</v>
      </c>
      <c r="U31">
        <f>IF(OR(LOG10(SUM(G$3:G31))=U30,U30=""),NA(),LOG10(SUM(G$3:G31)))</f>
        <v>1.1447422890728136</v>
      </c>
      <c r="V31" t="e">
        <f>IF(OR(LOG10(SUM(H$3:H31))=V30,V30=""),NA(),LOG10(SUM(H$3:H31)))</f>
        <v>#N/A</v>
      </c>
      <c r="W31" t="e">
        <f>IF(OR(LOG10(SUM(I$3:I31))=W30,W30=""),NA(),LOG10(SUM(I$3:I31)))</f>
        <v>#N/A</v>
      </c>
      <c r="X31">
        <f>IF(OR(LOG10(SUM(J$3:J31))=X30,X30=""),NA(),LOG10(SUM(J$3:J31)))</f>
        <v>1.8298503181296704</v>
      </c>
      <c r="Y31" t="e">
        <f>IF(OR(LOG10(SUM(K$3:K31))=Y30,Y30=""),NA(),LOG10(SUM(K$3:K31)))</f>
        <v>#N/A</v>
      </c>
      <c r="Z31">
        <f>IF(OR(LOG10(SUM(L$3:L31))=Z30,Z30=""),NA(),LOG10(SUM(L$3:L31)))</f>
        <v>1.2823025612186831</v>
      </c>
      <c r="AA31">
        <f>IF(OR(LOG10(SUM(M$3:M31))=AA30,AA30=""),NA(),LOG10(SUM(M$3:M31)))</f>
        <v>1.3342888487947249</v>
      </c>
      <c r="AB31">
        <f>IF(OR(LOG10(SUM(N$3:N31))=AB30,AB30=""),NA(),LOG10(SUM(N$3:N31)))</f>
        <v>0.90832950288986436</v>
      </c>
      <c r="AD31" t="str">
        <f t="shared" si="3"/>
        <v>(29,2.39148627589115)</v>
      </c>
      <c r="AE31" t="str">
        <f t="shared" si="3"/>
        <v>(29,2.45552107076563)</v>
      </c>
      <c r="AF31" t="str">
        <f t="shared" si="3"/>
        <v>(29,1.87394804398845)</v>
      </c>
      <c r="AG31" t="str">
        <f t="shared" si="3"/>
        <v>(29,0.962828488339204)</v>
      </c>
      <c r="AH31" t="str">
        <f t="shared" si="3"/>
        <v>(29,0.968566997416934)</v>
      </c>
      <c r="AI31" t="str">
        <f t="shared" si="3"/>
        <v>(29,1.14474228907281)</v>
      </c>
      <c r="AJ31" t="str">
        <f t="shared" si="3"/>
        <v/>
      </c>
      <c r="AK31" t="str">
        <f t="shared" si="3"/>
        <v/>
      </c>
      <c r="AL31" t="str">
        <f t="shared" si="3"/>
        <v>(29,1.82985031812967)</v>
      </c>
      <c r="AM31" t="str">
        <f t="shared" si="3"/>
        <v/>
      </c>
      <c r="AN31" t="str">
        <f t="shared" si="3"/>
        <v>(29,1.28230256121868)</v>
      </c>
      <c r="AO31" t="str">
        <f t="shared" si="3"/>
        <v>(29,1.33428884879472)</v>
      </c>
      <c r="AP31" t="str">
        <f t="shared" si="3"/>
        <v>(29,0.908329502889864)</v>
      </c>
      <c r="AS31">
        <f t="shared" si="4"/>
        <v>4.7055999999999996</v>
      </c>
      <c r="AT31">
        <f t="shared" si="5"/>
        <v>0.4546</v>
      </c>
      <c r="AU31">
        <f t="shared" si="6"/>
        <v>0.4546</v>
      </c>
      <c r="AV31">
        <f t="shared" si="7"/>
        <v>1.1998</v>
      </c>
      <c r="AX31">
        <f>LOG10(SUM(AS$3:AS31))</f>
        <v>1.828532295733369</v>
      </c>
      <c r="AY31">
        <f>LOG10(SUM(AT$3:AT31))</f>
        <v>0.90832950288986436</v>
      </c>
      <c r="AZ31">
        <f>LOG10(SUM(AU$3:AU31))</f>
        <v>0.90832950288986436</v>
      </c>
      <c r="BA31">
        <f>LOG10(SUM(AV$3:AV31))</f>
        <v>1.2730267499259993</v>
      </c>
      <c r="BC31" t="str">
        <f t="shared" si="8"/>
        <v>(29,1.82853229573337)</v>
      </c>
      <c r="BD31" t="str">
        <f t="shared" si="9"/>
        <v>(29,0.908329502889864)</v>
      </c>
      <c r="BE31" t="str">
        <f t="shared" si="10"/>
        <v>(29,0.908329502889864)</v>
      </c>
      <c r="BF31" t="str">
        <f t="shared" si="11"/>
        <v>(29,1.273026749926)</v>
      </c>
    </row>
    <row r="32" spans="1:58">
      <c r="A32">
        <v>30</v>
      </c>
      <c r="B32">
        <f>IF(OR(Sorting!B33=0,Sorting!A33="Grand Total"),NA(),Sorting!B33)</f>
        <v>16.904699999999998</v>
      </c>
      <c r="C32">
        <f>IF(OR(Sorting!D33=0,Sorting!C33="Grand Total"),NA(),Sorting!D33)</f>
        <v>19.459399999999999</v>
      </c>
      <c r="D32">
        <f>IF(OR(Sorting!F33=0,Sorting!E33="Grand Total"),NA(),Sorting!F33)</f>
        <v>5.2766000000000002</v>
      </c>
      <c r="E32">
        <f>IF(OR(Sorting!H33=0,Sorting!G33="Grand Total"),NA(),Sorting!H33)</f>
        <v>0.62339999999999995</v>
      </c>
      <c r="F32">
        <f>IF(OR(Sorting!J33=0,Sorting!I33="Grand Total"),NA(),Sorting!J33)</f>
        <v>0.45629999999999998</v>
      </c>
      <c r="G32">
        <f>IF(OR(Sorting!L33=0,Sorting!K33="Grand Total"),NA(),Sorting!L33)</f>
        <v>0.85940000000000005</v>
      </c>
      <c r="H32" t="e">
        <f>IF(OR(Sorting!O33=0,Sorting!N33="Grand Total"),NA(),Sorting!O33)</f>
        <v>#N/A</v>
      </c>
      <c r="I32" t="e">
        <f>IF(OR(Sorting!Q33=0,Sorting!P33="Grand Total"),NA(),Sorting!Q33)</f>
        <v>#N/A</v>
      </c>
      <c r="J32">
        <f>IF(OR(Sorting!S33=0,Sorting!R33="Grand Total"),NA(),Sorting!S33)</f>
        <v>5.1158000000000001</v>
      </c>
      <c r="K32" t="e">
        <f>IF(OR(Sorting!U33=0,Sorting!T33="Grand Total"),NA(),Sorting!U33)</f>
        <v>#N/A</v>
      </c>
      <c r="L32">
        <f>IF(OR(Sorting!W33=0,Sorting!V33="Grand Total"),NA(),Sorting!W33)</f>
        <v>1.2217</v>
      </c>
      <c r="M32">
        <f>IF(OR(Sorting!Y33=0,Sorting!X33="Grand Total"),NA(),Sorting!Y33)</f>
        <v>1.4083000000000001</v>
      </c>
      <c r="N32">
        <f t="shared" si="2"/>
        <v>0.45629999999999998</v>
      </c>
      <c r="O32">
        <v>30</v>
      </c>
      <c r="P32">
        <f>IF(OR(LOG10(SUM(B$3:B32))=P31,P31=""),NA(),LOG10(SUM(B$3:B32)))</f>
        <v>2.420314099966252</v>
      </c>
      <c r="Q32">
        <f>IF(OR(LOG10(SUM(C$3:C32))=Q31,Q31=""),NA(),LOG10(SUM(C$3:C32)))</f>
        <v>2.4841624096784747</v>
      </c>
      <c r="R32">
        <f>IF(OR(LOG10(SUM(D$3:D32))=R31,R31=""),NA(),LOG10(SUM(D$3:D32)))</f>
        <v>1.903549010740504</v>
      </c>
      <c r="S32">
        <f>IF(OR(LOG10(SUM(E$3:E32))=S31,S31=""),NA(),LOG10(SUM(E$3:E32)))</f>
        <v>0.99136343283551032</v>
      </c>
      <c r="T32">
        <f>IF(OR(LOG10(SUM(F$3:F32))=T31,T31=""),NA(),LOG10(SUM(F$3:F32)))</f>
        <v>0.98936526440400518</v>
      </c>
      <c r="U32">
        <f>IF(OR(LOG10(SUM(G$3:G32))=U31,U31=""),NA(),LOG10(SUM(G$3:G32)))</f>
        <v>1.1706957928742761</v>
      </c>
      <c r="V32" t="e">
        <f>IF(OR(LOG10(SUM(H$3:H32))=V31,V31=""),NA(),LOG10(SUM(H$3:H32)))</f>
        <v>#N/A</v>
      </c>
      <c r="W32" t="e">
        <f>IF(OR(LOG10(SUM(I$3:I32))=W31,W31=""),NA(),LOG10(SUM(I$3:I32)))</f>
        <v>#N/A</v>
      </c>
      <c r="X32">
        <f>IF(OR(LOG10(SUM(J$3:J32))=X31,X31=""),NA(),LOG10(SUM(J$3:J32)))</f>
        <v>1.8615391898641813</v>
      </c>
      <c r="Y32" t="e">
        <f>IF(OR(LOG10(SUM(K$3:K32))=Y31,Y31=""),NA(),LOG10(SUM(K$3:K32)))</f>
        <v>#N/A</v>
      </c>
      <c r="Z32">
        <f>IF(OR(LOG10(SUM(L$3:L32))=Z31,Z31=""),NA(),LOG10(SUM(L$3:L32)))</f>
        <v>1.3091530330495185</v>
      </c>
      <c r="AA32">
        <f>IF(OR(LOG10(SUM(M$3:M32))=AA31,AA31=""),NA(),LOG10(SUM(M$3:M32)))</f>
        <v>1.3617297242503659</v>
      </c>
      <c r="AB32">
        <f>IF(OR(LOG10(SUM(N$3:N32))=AB31,AB31=""),NA(),LOG10(SUM(N$3:N32)))</f>
        <v>0.93213878229812031</v>
      </c>
      <c r="AD32" t="str">
        <f t="shared" si="3"/>
        <v>(30,2.42031409996625)</v>
      </c>
      <c r="AE32" t="str">
        <f t="shared" si="3"/>
        <v>(30,2.48416240967847)</v>
      </c>
      <c r="AF32" t="str">
        <f t="shared" si="3"/>
        <v>(30,1.9035490107405)</v>
      </c>
      <c r="AG32" t="str">
        <f t="shared" si="3"/>
        <v>(30,0.99136343283551)</v>
      </c>
      <c r="AH32" t="str">
        <f t="shared" si="3"/>
        <v>(30,0.989365264404005)</v>
      </c>
      <c r="AI32" t="str">
        <f t="shared" si="3"/>
        <v>(30,1.17069579287428)</v>
      </c>
      <c r="AJ32" t="str">
        <f t="shared" si="3"/>
        <v/>
      </c>
      <c r="AK32" t="str">
        <f t="shared" si="3"/>
        <v/>
      </c>
      <c r="AL32" t="str">
        <f t="shared" si="3"/>
        <v>(30,1.86153918986418)</v>
      </c>
      <c r="AM32" t="str">
        <f t="shared" si="3"/>
        <v/>
      </c>
      <c r="AN32" t="str">
        <f t="shared" si="3"/>
        <v>(30,1.30915303304952)</v>
      </c>
      <c r="AO32" t="str">
        <f t="shared" si="3"/>
        <v>(30,1.36172972425037)</v>
      </c>
      <c r="AP32" t="str">
        <f t="shared" si="3"/>
        <v>(30,0.93213878229812)</v>
      </c>
      <c r="AS32">
        <f t="shared" si="4"/>
        <v>5.1158000000000001</v>
      </c>
      <c r="AT32">
        <f t="shared" si="5"/>
        <v>0.45629999999999998</v>
      </c>
      <c r="AU32">
        <f t="shared" si="6"/>
        <v>0.45629999999999998</v>
      </c>
      <c r="AV32">
        <f t="shared" si="7"/>
        <v>1.2217</v>
      </c>
      <c r="AX32">
        <f>LOG10(SUM(AS$3:AS32))</f>
        <v>1.8603140448351105</v>
      </c>
      <c r="AY32">
        <f>LOG10(SUM(AT$3:AT32))</f>
        <v>0.93213878229812031</v>
      </c>
      <c r="AZ32">
        <f>LOG10(SUM(AU$3:AU32))</f>
        <v>0.93213878229812031</v>
      </c>
      <c r="BA32">
        <f>LOG10(SUM(AV$3:AV32))</f>
        <v>1.3004389531685345</v>
      </c>
      <c r="BC32" t="str">
        <f t="shared" si="8"/>
        <v>(30,1.86031404483511)</v>
      </c>
      <c r="BD32" t="str">
        <f t="shared" si="9"/>
        <v>(30,0.93213878229812)</v>
      </c>
      <c r="BE32" t="str">
        <f t="shared" si="10"/>
        <v>(30,0.93213878229812)</v>
      </c>
      <c r="BF32" t="str">
        <f t="shared" si="11"/>
        <v>(30,1.30043895316853)</v>
      </c>
    </row>
    <row r="33" spans="1:58">
      <c r="A33">
        <v>31</v>
      </c>
      <c r="B33">
        <f>IF(OR(Sorting!B34=0,Sorting!A34="Grand Total"),NA(),Sorting!B34)</f>
        <v>43.8675</v>
      </c>
      <c r="C33">
        <f>IF(OR(Sorting!D34=0,Sorting!C34="Grand Total"),NA(),Sorting!D34)</f>
        <v>22.464099999999998</v>
      </c>
      <c r="D33">
        <f>IF(OR(Sorting!F34=0,Sorting!E34="Grand Total"),NA(),Sorting!F34)</f>
        <v>6.6718999999999999</v>
      </c>
      <c r="E33">
        <f>IF(OR(Sorting!H34=0,Sorting!G34="Grand Total"),NA(),Sorting!H34)</f>
        <v>0.8609</v>
      </c>
      <c r="F33">
        <f>IF(OR(Sorting!J34=0,Sorting!I34="Grand Total"),NA(),Sorting!J34)</f>
        <v>0.72499999999999998</v>
      </c>
      <c r="G33">
        <f>IF(OR(Sorting!L34=0,Sorting!K34="Grand Total"),NA(),Sorting!L34)</f>
        <v>1.1313</v>
      </c>
      <c r="H33" t="e">
        <f>IF(OR(Sorting!O34=0,Sorting!N34="Grand Total"),NA(),Sorting!O34)</f>
        <v>#N/A</v>
      </c>
      <c r="I33" t="e">
        <f>IF(OR(Sorting!Q34=0,Sorting!P34="Grand Total"),NA(),Sorting!Q34)</f>
        <v>#N/A</v>
      </c>
      <c r="J33">
        <f>IF(OR(Sorting!S34=0,Sorting!R34="Grand Total"),NA(),Sorting!S34)</f>
        <v>6.3517000000000001</v>
      </c>
      <c r="K33" t="e">
        <f>IF(OR(Sorting!U34=0,Sorting!T34="Grand Total"),NA(),Sorting!U34)</f>
        <v>#N/A</v>
      </c>
      <c r="L33">
        <f>IF(OR(Sorting!W34=0,Sorting!V34="Grand Total"),NA(),Sorting!W34)</f>
        <v>1.9683999999999999</v>
      </c>
      <c r="M33">
        <f>IF(OR(Sorting!Y34=0,Sorting!X34="Grand Total"),NA(),Sorting!Y34)</f>
        <v>1.8797999999999999</v>
      </c>
      <c r="N33">
        <f t="shared" si="2"/>
        <v>0.72499999999999998</v>
      </c>
      <c r="O33">
        <v>31</v>
      </c>
      <c r="P33">
        <f>IF(OR(LOG10(SUM(B$3:B33))=P32,P32=""),NA(),LOG10(SUM(B$3:B33)))</f>
        <v>2.4872580375348297</v>
      </c>
      <c r="Q33">
        <f>IF(OR(LOG10(SUM(C$3:C33))=Q32,Q32=""),NA(),LOG10(SUM(C$3:C33)))</f>
        <v>2.5150356945093058</v>
      </c>
      <c r="R33">
        <f>IF(OR(LOG10(SUM(D$3:D33))=R32,R32=""),NA(),LOG10(SUM(D$3:D33)))</f>
        <v>1.9383020230407795</v>
      </c>
      <c r="S33">
        <f>IF(OR(LOG10(SUM(E$3:E33))=S32,S32=""),NA(),LOG10(SUM(E$3:E33)))</f>
        <v>1.0279201364058028</v>
      </c>
      <c r="T33">
        <f>IF(OR(LOG10(SUM(F$3:F33))=T32,T32=""),NA(),LOG10(SUM(F$3:F33)))</f>
        <v>1.0204897286221786</v>
      </c>
      <c r="U33">
        <f>IF(OR(LOG10(SUM(G$3:G33))=U32,U32=""),NA(),LOG10(SUM(G$3:G33)))</f>
        <v>1.2026544832812325</v>
      </c>
      <c r="V33" t="e">
        <f>IF(OR(LOG10(SUM(H$3:H33))=V32,V32=""),NA(),LOG10(SUM(H$3:H33)))</f>
        <v>#N/A</v>
      </c>
      <c r="W33" t="e">
        <f>IF(OR(LOG10(SUM(I$3:I33))=W32,W32=""),NA(),LOG10(SUM(I$3:I33)))</f>
        <v>#N/A</v>
      </c>
      <c r="X33">
        <f>IF(OR(LOG10(SUM(J$3:J33))=X32,X32=""),NA(),LOG10(SUM(J$3:J33)))</f>
        <v>1.8979156088543963</v>
      </c>
      <c r="Y33" t="e">
        <f>IF(OR(LOG10(SUM(K$3:K33))=Y32,Y32=""),NA(),LOG10(SUM(K$3:K33)))</f>
        <v>#N/A</v>
      </c>
      <c r="Z33">
        <f>IF(OR(LOG10(SUM(L$3:L33))=Z32,Z32=""),NA(),LOG10(SUM(L$3:L33)))</f>
        <v>1.3491997944299987</v>
      </c>
      <c r="AA33">
        <f>IF(OR(LOG10(SUM(M$3:M33))=AA32,AA32=""),NA(),LOG10(SUM(M$3:M33)))</f>
        <v>1.3958486304586739</v>
      </c>
      <c r="AB33">
        <f>IF(OR(LOG10(SUM(N$3:N33))=AB32,AB32=""),NA(),LOG10(SUM(N$3:N33)))</f>
        <v>0.96747309140414017</v>
      </c>
      <c r="AD33" t="str">
        <f t="shared" si="3"/>
        <v>(31,2.48725803753483)</v>
      </c>
      <c r="AE33" t="str">
        <f t="shared" si="3"/>
        <v>(31,2.51503569450931)</v>
      </c>
      <c r="AF33" t="str">
        <f t="shared" si="3"/>
        <v>(31,1.93830202304078)</v>
      </c>
      <c r="AG33" t="str">
        <f t="shared" si="3"/>
        <v>(31,1.0279201364058)</v>
      </c>
      <c r="AH33" t="str">
        <f t="shared" si="3"/>
        <v>(31,1.02048972862218)</v>
      </c>
      <c r="AI33" t="str">
        <f t="shared" si="3"/>
        <v>(31,1.20265448328123)</v>
      </c>
      <c r="AJ33" t="str">
        <f t="shared" si="3"/>
        <v/>
      </c>
      <c r="AK33" t="str">
        <f t="shared" si="3"/>
        <v/>
      </c>
      <c r="AL33" t="str">
        <f t="shared" si="3"/>
        <v>(31,1.8979156088544)</v>
      </c>
      <c r="AM33" t="str">
        <f t="shared" si="3"/>
        <v/>
      </c>
      <c r="AN33" t="str">
        <f t="shared" si="3"/>
        <v>(31,1.34919979443)</v>
      </c>
      <c r="AO33" t="str">
        <f t="shared" si="3"/>
        <v>(31,1.39584863045867)</v>
      </c>
      <c r="AP33" t="str">
        <f t="shared" si="3"/>
        <v>(31,0.96747309140414)</v>
      </c>
      <c r="AS33">
        <f t="shared" si="4"/>
        <v>6.3517000000000001</v>
      </c>
      <c r="AT33">
        <f t="shared" si="5"/>
        <v>0.72499999999999998</v>
      </c>
      <c r="AU33">
        <f t="shared" si="6"/>
        <v>0.72499999999999998</v>
      </c>
      <c r="AV33">
        <f t="shared" si="7"/>
        <v>1.8797999999999999</v>
      </c>
      <c r="AX33">
        <f>LOG10(SUM(AS$3:AS33))</f>
        <v>1.8967890294102998</v>
      </c>
      <c r="AY33">
        <f>LOG10(SUM(AT$3:AT33))</f>
        <v>0.96747309140414017</v>
      </c>
      <c r="AZ33">
        <f>LOG10(SUM(AU$3:AU33))</f>
        <v>0.96747309140414017</v>
      </c>
      <c r="BA33">
        <f>LOG10(SUM(AV$3:AV33))</f>
        <v>1.339503116293937</v>
      </c>
      <c r="BC33" t="str">
        <f t="shared" si="8"/>
        <v>(31,1.8967890294103)</v>
      </c>
      <c r="BD33" t="str">
        <f t="shared" si="9"/>
        <v>(31,0.96747309140414)</v>
      </c>
      <c r="BE33" t="str">
        <f t="shared" si="10"/>
        <v>(31,0.96747309140414)</v>
      </c>
      <c r="BF33" t="str">
        <f t="shared" si="11"/>
        <v>(31,1.33950311629394)</v>
      </c>
    </row>
    <row r="34" spans="1:58">
      <c r="A34">
        <v>32</v>
      </c>
      <c r="B34">
        <f>IF(OR(Sorting!B35=0,Sorting!A35="Grand Total"),NA(),Sorting!B35)</f>
        <v>44.006700000000002</v>
      </c>
      <c r="C34">
        <f>IF(OR(Sorting!D35=0,Sorting!C35="Grand Total"),NA(),Sorting!D35)</f>
        <v>23.1812</v>
      </c>
      <c r="D34">
        <f>IF(OR(Sorting!F35=0,Sorting!E35="Grand Total"),NA(),Sorting!F35)</f>
        <v>6.6952999999999996</v>
      </c>
      <c r="E34">
        <f>IF(OR(Sorting!H35=0,Sorting!G35="Grand Total"),NA(),Sorting!H35)</f>
        <v>0.87660000000000005</v>
      </c>
      <c r="F34">
        <f>IF(OR(Sorting!J35=0,Sorting!I35="Grand Total"),NA(),Sorting!J35)</f>
        <v>0.72970000000000002</v>
      </c>
      <c r="G34">
        <f>IF(OR(Sorting!L35=0,Sorting!K35="Grand Total"),NA(),Sorting!L35)</f>
        <v>1.1561999999999999</v>
      </c>
      <c r="H34" t="e">
        <f>IF(OR(Sorting!O35=0,Sorting!N35="Grand Total"),NA(),Sorting!O35)</f>
        <v>#N/A</v>
      </c>
      <c r="I34" t="e">
        <f>IF(OR(Sorting!Q35=0,Sorting!P35="Grand Total"),NA(),Sorting!Q35)</f>
        <v>#N/A</v>
      </c>
      <c r="J34">
        <f>IF(OR(Sorting!S35=0,Sorting!R35="Grand Total"),NA(),Sorting!S35)</f>
        <v>6.3533999999999997</v>
      </c>
      <c r="K34" t="e">
        <f>IF(OR(Sorting!U35=0,Sorting!T35="Grand Total"),NA(),Sorting!U35)</f>
        <v>#N/A</v>
      </c>
      <c r="L34">
        <f>IF(OR(Sorting!W35=0,Sorting!V35="Grand Total"),NA(),Sorting!W35)</f>
        <v>2.0510000000000002</v>
      </c>
      <c r="M34">
        <f>IF(OR(Sorting!Y35=0,Sorting!X35="Grand Total"),NA(),Sorting!Y35)</f>
        <v>1.8996999999999999</v>
      </c>
      <c r="N34">
        <f t="shared" si="2"/>
        <v>0.72970000000000002</v>
      </c>
      <c r="O34">
        <v>32</v>
      </c>
      <c r="P34">
        <f>IF(OR(LOG10(SUM(B$3:B34))=P33,P33=""),NA(),LOG10(SUM(B$3:B34)))</f>
        <v>2.5454200678338905</v>
      </c>
      <c r="Q34">
        <f>IF(OR(LOG10(SUM(C$3:C34))=Q33,Q33=""),NA(),LOG10(SUM(C$3:C34)))</f>
        <v>2.5447484847719126</v>
      </c>
      <c r="R34">
        <f>IF(OR(LOG10(SUM(D$3:D34))=R33,R33=""),NA(),LOG10(SUM(D$3:D34)))</f>
        <v>1.9705876708570533</v>
      </c>
      <c r="S34">
        <f>IF(OR(LOG10(SUM(E$3:E34))=S33,S33=""),NA(),LOG10(SUM(E$3:E34)))</f>
        <v>1.0622283885350754</v>
      </c>
      <c r="T34">
        <f>IF(OR(LOG10(SUM(F$3:F34))=T33,T33=""),NA(),LOG10(SUM(F$3:F34)))</f>
        <v>1.0497140758159491</v>
      </c>
      <c r="U34">
        <f>IF(OR(LOG10(SUM(G$3:G34))=U33,U33=""),NA(),LOG10(SUM(G$3:G34)))</f>
        <v>1.2330545203417704</v>
      </c>
      <c r="V34" t="e">
        <f>IF(OR(LOG10(SUM(H$3:H34))=V33,V33=""),NA(),LOG10(SUM(H$3:H34)))</f>
        <v>#N/A</v>
      </c>
      <c r="W34" t="e">
        <f>IF(OR(LOG10(SUM(I$3:I34))=W33,W33=""),NA(),LOG10(SUM(I$3:I34)))</f>
        <v>#N/A</v>
      </c>
      <c r="X34">
        <f>IF(OR(LOG10(SUM(J$3:J34))=X33,X33=""),NA(),LOG10(SUM(J$3:J34)))</f>
        <v>1.9314878736039425</v>
      </c>
      <c r="Y34" t="e">
        <f>IF(OR(LOG10(SUM(K$3:K34))=Y33,Y33=""),NA(),LOG10(SUM(K$3:K34)))</f>
        <v>#N/A</v>
      </c>
      <c r="Z34">
        <f>IF(OR(LOG10(SUM(L$3:L34))=Z33,Z33=""),NA(),LOG10(SUM(L$3:L34)))</f>
        <v>1.3873364261933372</v>
      </c>
      <c r="AA34">
        <f>IF(OR(LOG10(SUM(M$3:M34))=AA33,AA33=""),NA(),LOG10(SUM(M$3:M34)))</f>
        <v>1.4278040857794203</v>
      </c>
      <c r="AB34">
        <f>IF(OR(LOG10(SUM(N$3:N34))=AB33,AB33=""),NA(),LOG10(SUM(N$3:N34)))</f>
        <v>1.000351636136924</v>
      </c>
      <c r="AD34" t="str">
        <f t="shared" si="3"/>
        <v>(32,2.54542006783389)</v>
      </c>
      <c r="AE34" t="str">
        <f t="shared" si="3"/>
        <v>(32,2.54474848477191)</v>
      </c>
      <c r="AF34" t="str">
        <f t="shared" si="3"/>
        <v>(32,1.97058767085705)</v>
      </c>
      <c r="AG34" t="str">
        <f t="shared" si="3"/>
        <v>(32,1.06222838853508)</v>
      </c>
      <c r="AH34" t="str">
        <f t="shared" si="3"/>
        <v>(32,1.04971407581595)</v>
      </c>
      <c r="AI34" t="str">
        <f t="shared" si="3"/>
        <v>(32,1.23305452034177)</v>
      </c>
      <c r="AJ34" t="str">
        <f t="shared" si="3"/>
        <v/>
      </c>
      <c r="AK34" t="str">
        <f t="shared" si="3"/>
        <v/>
      </c>
      <c r="AL34" t="str">
        <f t="shared" si="3"/>
        <v>(32,1.93148787360394)</v>
      </c>
      <c r="AM34" t="str">
        <f t="shared" si="3"/>
        <v/>
      </c>
      <c r="AN34" t="str">
        <f t="shared" si="3"/>
        <v>(32,1.38733642619334)</v>
      </c>
      <c r="AO34" t="str">
        <f t="shared" si="3"/>
        <v>(32,1.42780408577942)</v>
      </c>
      <c r="AP34" t="str">
        <f t="shared" si="3"/>
        <v>(32,1.00035163613692)</v>
      </c>
      <c r="AS34">
        <f t="shared" si="4"/>
        <v>6.3533999999999997</v>
      </c>
      <c r="AT34">
        <f t="shared" si="5"/>
        <v>0.72970000000000002</v>
      </c>
      <c r="AU34">
        <f t="shared" si="6"/>
        <v>0.72970000000000002</v>
      </c>
      <c r="AV34">
        <f t="shared" si="7"/>
        <v>1.8996999999999999</v>
      </c>
      <c r="AX34">
        <f>LOG10(SUM(AS$3:AS34))</f>
        <v>1.9304452018188858</v>
      </c>
      <c r="AY34">
        <f>LOG10(SUM(AT$3:AT34))</f>
        <v>1.000351636136924</v>
      </c>
      <c r="AZ34">
        <f>LOG10(SUM(AU$3:AU34))</f>
        <v>1.000351636136924</v>
      </c>
      <c r="BA34">
        <f>LOG10(SUM(AV$3:AV34))</f>
        <v>1.3757056699164563</v>
      </c>
      <c r="BC34" t="str">
        <f t="shared" si="8"/>
        <v>(32,1.93044520181889)</v>
      </c>
      <c r="BD34" t="str">
        <f t="shared" si="9"/>
        <v>(32,1.00035163613692)</v>
      </c>
      <c r="BE34" t="str">
        <f t="shared" si="10"/>
        <v>(32,1.00035163613692)</v>
      </c>
      <c r="BF34" t="str">
        <f t="shared" si="11"/>
        <v>(32,1.37570566991646)</v>
      </c>
    </row>
    <row r="35" spans="1:58">
      <c r="A35">
        <v>33</v>
      </c>
      <c r="B35">
        <f>IF(OR(Sorting!B36=0,Sorting!A36="Grand Total"),NA(),Sorting!B36)</f>
        <v>46.436399999999999</v>
      </c>
      <c r="C35">
        <f>IF(OR(Sorting!D36=0,Sorting!C36="Grand Total"),NA(),Sorting!D36)</f>
        <v>45.831299999999999</v>
      </c>
      <c r="D35">
        <f>IF(OR(Sorting!F36=0,Sorting!E36="Grand Total"),NA(),Sorting!F36)</f>
        <v>6.7718999999999996</v>
      </c>
      <c r="E35">
        <f>IF(OR(Sorting!H36=0,Sorting!G36="Grand Total"),NA(),Sorting!H36)</f>
        <v>0.9516</v>
      </c>
      <c r="F35">
        <f>IF(OR(Sorting!J36=0,Sorting!I36="Grand Total"),NA(),Sorting!J36)</f>
        <v>0.7641</v>
      </c>
      <c r="G35">
        <f>IF(OR(Sorting!L36=0,Sorting!K36="Grand Total"),NA(),Sorting!L36)</f>
        <v>1.1780999999999999</v>
      </c>
      <c r="H35" t="e">
        <f>IF(OR(Sorting!O36=0,Sorting!N36="Grand Total"),NA(),Sorting!O36)</f>
        <v>#N/A</v>
      </c>
      <c r="I35" t="e">
        <f>IF(OR(Sorting!Q36=0,Sorting!P36="Grand Total"),NA(),Sorting!Q36)</f>
        <v>#N/A</v>
      </c>
      <c r="J35">
        <f>IF(OR(Sorting!S36=0,Sorting!R36="Grand Total"),NA(),Sorting!S36)</f>
        <v>6.3613</v>
      </c>
      <c r="K35" t="e">
        <f>IF(OR(Sorting!U36=0,Sorting!T36="Grand Total"),NA(),Sorting!U36)</f>
        <v>#N/A</v>
      </c>
      <c r="L35">
        <f>IF(OR(Sorting!W36=0,Sorting!V36="Grand Total"),NA(),Sorting!W36)</f>
        <v>2.536</v>
      </c>
      <c r="M35">
        <f>IF(OR(Sorting!Y36=0,Sorting!X36="Grand Total"),NA(),Sorting!Y36)</f>
        <v>1.9138999999999999</v>
      </c>
      <c r="N35">
        <f t="shared" si="2"/>
        <v>0.7641</v>
      </c>
      <c r="O35">
        <v>33</v>
      </c>
      <c r="P35">
        <f>IF(OR(LOG10(SUM(B$3:B35))=P34,P34=""),NA(),LOG10(SUM(B$3:B35)))</f>
        <v>2.5993673959811967</v>
      </c>
      <c r="Q35">
        <f>IF(OR(LOG10(SUM(C$3:C35))=Q34,Q34=""),NA(),LOG10(SUM(C$3:C35)))</f>
        <v>2.5981118428941388</v>
      </c>
      <c r="R35">
        <f>IF(OR(LOG10(SUM(D$3:D35))=R34,R34=""),NA(),LOG10(SUM(D$3:D35)))</f>
        <v>2.0009704317323567</v>
      </c>
      <c r="S35">
        <f>IF(OR(LOG10(SUM(E$3:E35))=S34,S34=""),NA(),LOG10(SUM(E$3:E35)))</f>
        <v>1.0966389286642346</v>
      </c>
      <c r="T35">
        <f>IF(OR(LOG10(SUM(F$3:F35))=T34,T34=""),NA(),LOG10(SUM(F$3:F35)))</f>
        <v>1.078344423469568</v>
      </c>
      <c r="U35">
        <f>IF(OR(LOG10(SUM(G$3:G35))=U34,U34=""),NA(),LOG10(SUM(G$3:G35)))</f>
        <v>1.2619856944553705</v>
      </c>
      <c r="V35" t="e">
        <f>IF(OR(LOG10(SUM(H$3:H35))=V34,V34=""),NA(),LOG10(SUM(H$3:H35)))</f>
        <v>#N/A</v>
      </c>
      <c r="W35" t="e">
        <f>IF(OR(LOG10(SUM(I$3:I35))=W34,W34=""),NA(),LOG10(SUM(I$3:I35)))</f>
        <v>#N/A</v>
      </c>
      <c r="X35">
        <f>IF(OR(LOG10(SUM(J$3:J35))=X34,X34=""),NA(),LOG10(SUM(J$3:J35)))</f>
        <v>1.9626874807170815</v>
      </c>
      <c r="Y35" t="e">
        <f>IF(OR(LOG10(SUM(K$3:K35))=Y34,Y34=""),NA(),LOG10(SUM(K$3:K35)))</f>
        <v>#N/A</v>
      </c>
      <c r="Z35">
        <f>IF(OR(LOG10(SUM(L$3:L35))=Z34,Z34=""),NA(),LOG10(SUM(L$3:L35)))</f>
        <v>1.430284731089956</v>
      </c>
      <c r="AA35">
        <f>IF(OR(LOG10(SUM(M$3:M35))=AA34,AA34=""),NA(),LOG10(SUM(M$3:M35)))</f>
        <v>1.4577835262166188</v>
      </c>
      <c r="AB35">
        <f>IF(OR(LOG10(SUM(N$3:N35))=AB34,AB34=""),NA(),LOG10(SUM(N$3:N35)))</f>
        <v>1.0323044080601236</v>
      </c>
      <c r="AD35" t="str">
        <f t="shared" si="3"/>
        <v>(33,2.5993673959812)</v>
      </c>
      <c r="AE35" t="str">
        <f t="shared" si="3"/>
        <v>(33,2.59811184289414)</v>
      </c>
      <c r="AF35" t="str">
        <f t="shared" si="3"/>
        <v>(33,2.00097043173236)</v>
      </c>
      <c r="AG35" t="str">
        <f t="shared" si="3"/>
        <v>(33,1.09663892866423)</v>
      </c>
      <c r="AH35" t="str">
        <f t="shared" si="3"/>
        <v>(33,1.07834442346957)</v>
      </c>
      <c r="AI35" t="str">
        <f t="shared" si="3"/>
        <v>(33,1.26198569445537)</v>
      </c>
      <c r="AJ35" t="str">
        <f t="shared" si="3"/>
        <v/>
      </c>
      <c r="AK35" t="str">
        <f t="shared" si="3"/>
        <v/>
      </c>
      <c r="AL35" t="str">
        <f t="shared" si="3"/>
        <v>(33,1.96268748071708)</v>
      </c>
      <c r="AM35" t="str">
        <f t="shared" si="3"/>
        <v/>
      </c>
      <c r="AN35" t="str">
        <f t="shared" si="3"/>
        <v>(33,1.43028473108996)</v>
      </c>
      <c r="AO35" t="str">
        <f t="shared" si="3"/>
        <v>(33,1.45778352621662)</v>
      </c>
      <c r="AP35" t="str">
        <f t="shared" si="3"/>
        <v>(33,1.03230440806012)</v>
      </c>
      <c r="AS35">
        <f t="shared" si="4"/>
        <v>6.3613</v>
      </c>
      <c r="AT35">
        <f t="shared" si="5"/>
        <v>0.7641</v>
      </c>
      <c r="AU35">
        <f t="shared" si="6"/>
        <v>0.7641</v>
      </c>
      <c r="AV35">
        <f t="shared" si="7"/>
        <v>1.9138999999999999</v>
      </c>
      <c r="AX35">
        <f>LOG10(SUM(AS$3:AS35))</f>
        <v>1.9617171677191518</v>
      </c>
      <c r="AY35">
        <f>LOG10(SUM(AT$3:AT35))</f>
        <v>1.0323044080601236</v>
      </c>
      <c r="AZ35">
        <f>LOG10(SUM(AU$3:AU35))</f>
        <v>1.0323044080601236</v>
      </c>
      <c r="BA35">
        <f>LOG10(SUM(AV$3:AV35))</f>
        <v>1.409361574117727</v>
      </c>
      <c r="BC35" t="str">
        <f t="shared" si="8"/>
        <v>(33,1.96171716771915)</v>
      </c>
      <c r="BD35" t="str">
        <f t="shared" si="9"/>
        <v>(33,1.03230440806012)</v>
      </c>
      <c r="BE35" t="str">
        <f t="shared" si="10"/>
        <v>(33,1.03230440806012)</v>
      </c>
      <c r="BF35" t="str">
        <f t="shared" si="11"/>
        <v>(33,1.40936157411773)</v>
      </c>
    </row>
    <row r="36" spans="1:58">
      <c r="A36">
        <v>34</v>
      </c>
      <c r="B36">
        <f>IF(OR(Sorting!B37=0,Sorting!A37="Grand Total"),NA(),Sorting!B37)</f>
        <v>46.563800000000001</v>
      </c>
      <c r="C36">
        <f>IF(OR(Sorting!D37=0,Sorting!C37="Grand Total"),NA(),Sorting!D37)</f>
        <v>45.85</v>
      </c>
      <c r="D36">
        <f>IF(OR(Sorting!F37=0,Sorting!E37="Grand Total"),NA(),Sorting!F37)</f>
        <v>6.7718999999999996</v>
      </c>
      <c r="E36">
        <f>IF(OR(Sorting!H37=0,Sorting!G37="Grand Total"),NA(),Sorting!H37)</f>
        <v>0.95630000000000004</v>
      </c>
      <c r="F36">
        <f>IF(OR(Sorting!J37=0,Sorting!I37="Grand Total"),NA(),Sorting!J37)</f>
        <v>0.78129999999999999</v>
      </c>
      <c r="G36">
        <f>IF(OR(Sorting!L37=0,Sorting!K37="Grand Total"),NA(),Sorting!L37)</f>
        <v>1.325</v>
      </c>
      <c r="H36" t="e">
        <f>IF(OR(Sorting!O37=0,Sorting!N37="Grand Total"),NA(),Sorting!O37)</f>
        <v>#N/A</v>
      </c>
      <c r="I36" t="e">
        <f>IF(OR(Sorting!Q37=0,Sorting!P37="Grand Total"),NA(),Sorting!Q37)</f>
        <v>#N/A</v>
      </c>
      <c r="J36">
        <f>IF(OR(Sorting!S37=0,Sorting!R37="Grand Total"),NA(),Sorting!S37)</f>
        <v>6.3909000000000002</v>
      </c>
      <c r="K36" t="e">
        <f>IF(OR(Sorting!U37=0,Sorting!T37="Grand Total"),NA(),Sorting!U37)</f>
        <v>#N/A</v>
      </c>
      <c r="L36">
        <f>IF(OR(Sorting!W37=0,Sorting!V37="Grand Total"),NA(),Sorting!W37)</f>
        <v>2.6644999999999999</v>
      </c>
      <c r="M36">
        <f>IF(OR(Sorting!Y37=0,Sorting!X37="Grand Total"),NA(),Sorting!Y37)</f>
        <v>2.2204000000000002</v>
      </c>
      <c r="N36">
        <f t="shared" si="2"/>
        <v>0.78129999999999999</v>
      </c>
      <c r="O36">
        <v>34</v>
      </c>
      <c r="P36">
        <f>IF(OR(LOG10(SUM(B$3:B36))=P35,P35=""),NA(),LOG10(SUM(B$3:B36)))</f>
        <v>2.6474724607701092</v>
      </c>
      <c r="Q36">
        <f>IF(OR(LOG10(SUM(C$3:C36))=Q35,Q35=""),NA(),LOG10(SUM(C$3:C36)))</f>
        <v>2.6456482991179082</v>
      </c>
      <c r="R36">
        <f>IF(OR(LOG10(SUM(D$3:D36))=R35,R35=""),NA(),LOG10(SUM(D$3:D36)))</f>
        <v>2.0293659184795003</v>
      </c>
      <c r="S36">
        <f>IF(OR(LOG10(SUM(E$3:E36))=S35,S35=""),NA(),LOG10(SUM(E$3:E36)))</f>
        <v>1.1286738473085902</v>
      </c>
      <c r="T36">
        <f>IF(OR(LOG10(SUM(F$3:F36))=T35,T35=""),NA(),LOG10(SUM(F$3:F36)))</f>
        <v>1.1057894059517335</v>
      </c>
      <c r="U36">
        <f>IF(OR(LOG10(SUM(G$3:G36))=U35,U35=""),NA(),LOG10(SUM(G$3:G36)))</f>
        <v>1.2923757074380928</v>
      </c>
      <c r="V36" t="e">
        <f>IF(OR(LOG10(SUM(H$3:H36))=V35,V35=""),NA(),LOG10(SUM(H$3:H36)))</f>
        <v>#N/A</v>
      </c>
      <c r="W36" t="e">
        <f>IF(OR(LOG10(SUM(I$3:I36))=W35,W35=""),NA(),LOG10(SUM(I$3:I36)))</f>
        <v>#N/A</v>
      </c>
      <c r="X36">
        <f>IF(OR(LOG10(SUM(J$3:J36))=X35,X35=""),NA(),LOG10(SUM(J$3:J36)))</f>
        <v>1.9919261433670563</v>
      </c>
      <c r="Y36" t="e">
        <f>IF(OR(LOG10(SUM(K$3:K36))=Y35,Y35=""),NA(),LOG10(SUM(K$3:K36)))</f>
        <v>#N/A</v>
      </c>
      <c r="Z36">
        <f>IF(OR(LOG10(SUM(L$3:L36))=Z35,Z35=""),NA(),LOG10(SUM(L$3:L36)))</f>
        <v>1.4712550292326654</v>
      </c>
      <c r="AA36">
        <f>IF(OR(LOG10(SUM(M$3:M36))=AA35,AA35=""),NA(),LOG10(SUM(M$3:M36)))</f>
        <v>1.4901537977399775</v>
      </c>
      <c r="AB36">
        <f>IF(OR(LOG10(SUM(N$3:N36))=AB35,AB35=""),NA(),LOG10(SUM(N$3:N36)))</f>
        <v>1.0627135686805871</v>
      </c>
      <c r="AD36" t="str">
        <f t="shared" si="3"/>
        <v>(34,2.64747246077011)</v>
      </c>
      <c r="AE36" t="str">
        <f t="shared" si="3"/>
        <v>(34,2.64564829911791)</v>
      </c>
      <c r="AF36" t="str">
        <f t="shared" si="3"/>
        <v>(34,2.0293659184795)</v>
      </c>
      <c r="AG36" t="str">
        <f t="shared" si="3"/>
        <v>(34,1.12867384730859)</v>
      </c>
      <c r="AH36" t="str">
        <f t="shared" si="3"/>
        <v>(34,1.10578940595173)</v>
      </c>
      <c r="AI36" t="str">
        <f t="shared" si="3"/>
        <v>(34,1.29237570743809)</v>
      </c>
      <c r="AJ36" t="str">
        <f t="shared" si="3"/>
        <v/>
      </c>
      <c r="AK36" t="str">
        <f t="shared" si="3"/>
        <v/>
      </c>
      <c r="AL36" t="str">
        <f t="shared" si="3"/>
        <v>(34,1.99192614336706)</v>
      </c>
      <c r="AM36" t="str">
        <f t="shared" si="3"/>
        <v/>
      </c>
      <c r="AN36" t="str">
        <f t="shared" si="3"/>
        <v>(34,1.47125502923267)</v>
      </c>
      <c r="AO36" t="str">
        <f t="shared" si="3"/>
        <v>(34,1.49015379773998)</v>
      </c>
      <c r="AP36" t="str">
        <f t="shared" si="3"/>
        <v>(34,1.06271356868059)</v>
      </c>
      <c r="AS36">
        <f t="shared" si="4"/>
        <v>6.3909000000000002</v>
      </c>
      <c r="AT36">
        <f t="shared" si="5"/>
        <v>0.78129999999999999</v>
      </c>
      <c r="AU36">
        <f t="shared" si="6"/>
        <v>0.78129999999999999</v>
      </c>
      <c r="AV36">
        <f t="shared" si="7"/>
        <v>2.2204000000000002</v>
      </c>
      <c r="AX36">
        <f>LOG10(SUM(AS$3:AS36))</f>
        <v>1.9910190717513634</v>
      </c>
      <c r="AY36">
        <f>LOG10(SUM(AT$3:AT36))</f>
        <v>1.0627135686805871</v>
      </c>
      <c r="AZ36">
        <f>LOG10(SUM(AU$3:AU36))</f>
        <v>1.0627135686805871</v>
      </c>
      <c r="BA36">
        <f>LOG10(SUM(AV$3:AV36))</f>
        <v>1.4453955672868399</v>
      </c>
      <c r="BC36" t="str">
        <f t="shared" si="8"/>
        <v>(34,1.99101907175136)</v>
      </c>
      <c r="BD36" t="str">
        <f t="shared" si="9"/>
        <v>(34,1.06271356868059)</v>
      </c>
      <c r="BE36" t="str">
        <f t="shared" si="10"/>
        <v>(34,1.06271356868059)</v>
      </c>
      <c r="BF36" t="str">
        <f t="shared" si="11"/>
        <v>(34,1.44539556728684)</v>
      </c>
    </row>
    <row r="37" spans="1:58">
      <c r="A37">
        <v>35</v>
      </c>
      <c r="B37">
        <f>IF(OR(Sorting!B38=0,Sorting!A38="Grand Total"),NA(),Sorting!B38)</f>
        <v>46.583500000000001</v>
      </c>
      <c r="C37">
        <f>IF(OR(Sorting!D38=0,Sorting!C38="Grand Total"),NA(),Sorting!D38)</f>
        <v>51.151600000000002</v>
      </c>
      <c r="D37">
        <f>IF(OR(Sorting!F38=0,Sorting!E38="Grand Total"),NA(),Sorting!F38)</f>
        <v>6.8061999999999996</v>
      </c>
      <c r="E37">
        <f>IF(OR(Sorting!H38=0,Sorting!G38="Grand Total"),NA(),Sorting!H38)</f>
        <v>1.0046999999999999</v>
      </c>
      <c r="F37">
        <f>IF(OR(Sorting!J38=0,Sorting!I38="Grand Total"),NA(),Sorting!J38)</f>
        <v>0.78439999999999999</v>
      </c>
      <c r="G37">
        <f>IF(OR(Sorting!L38=0,Sorting!K38="Grand Total"),NA(),Sorting!L38)</f>
        <v>1.3514999999999999</v>
      </c>
      <c r="H37" t="e">
        <f>IF(OR(Sorting!O38=0,Sorting!N38="Grand Total"),NA(),Sorting!O38)</f>
        <v>#N/A</v>
      </c>
      <c r="I37" t="e">
        <f>IF(OR(Sorting!Q38=0,Sorting!P38="Grand Total"),NA(),Sorting!Q38)</f>
        <v>#N/A</v>
      </c>
      <c r="J37">
        <f>IF(OR(Sorting!S38=0,Sorting!R38="Grand Total"),NA(),Sorting!S38)</f>
        <v>6.4455999999999998</v>
      </c>
      <c r="K37" t="e">
        <f>IF(OR(Sorting!U38=0,Sorting!T38="Grand Total"),NA(),Sorting!U38)</f>
        <v>#N/A</v>
      </c>
      <c r="L37">
        <f>IF(OR(Sorting!W38=0,Sorting!V38="Grand Total"),NA(),Sorting!W38)</f>
        <v>2.6913999999999998</v>
      </c>
      <c r="M37">
        <f>IF(OR(Sorting!Y38=0,Sorting!X38="Grand Total"),NA(),Sorting!Y38)</f>
        <v>2.2210000000000001</v>
      </c>
      <c r="N37">
        <f t="shared" si="2"/>
        <v>0.78439999999999999</v>
      </c>
      <c r="O37">
        <v>35</v>
      </c>
      <c r="P37">
        <f>IF(OR(LOG10(SUM(B$3:B37))=P36,P36=""),NA(),LOG10(SUM(B$3:B37)))</f>
        <v>2.6907939311444871</v>
      </c>
      <c r="Q37">
        <f>IF(OR(LOG10(SUM(C$3:C37))=Q36,Q36=""),NA(),LOG10(SUM(C$3:C37)))</f>
        <v>2.6931830370539829</v>
      </c>
      <c r="R37">
        <f>IF(OR(LOG10(SUM(D$3:D37))=R36,R36=""),NA(),LOG10(SUM(D$3:D37)))</f>
        <v>2.0561491313374805</v>
      </c>
      <c r="S37">
        <f>IF(OR(LOG10(SUM(E$3:E37))=S36,S36=""),NA(),LOG10(SUM(E$3:E37)))</f>
        <v>1.1599640123855286</v>
      </c>
      <c r="T37">
        <f>IF(OR(LOG10(SUM(F$3:F37))=T36,T36=""),NA(),LOG10(SUM(F$3:F37)))</f>
        <v>1.1317020511477651</v>
      </c>
      <c r="U37">
        <f>IF(OR(LOG10(SUM(G$3:G37))=U36,U36=""),NA(),LOG10(SUM(G$3:G37)))</f>
        <v>1.321327041075808</v>
      </c>
      <c r="V37" t="e">
        <f>IF(OR(LOG10(SUM(H$3:H37))=V36,V36=""),NA(),LOG10(SUM(H$3:H37)))</f>
        <v>#N/A</v>
      </c>
      <c r="W37" t="e">
        <f>IF(OR(LOG10(SUM(I$3:I37))=W36,W36=""),NA(),LOG10(SUM(I$3:I37)))</f>
        <v>#N/A</v>
      </c>
      <c r="X37">
        <f>IF(OR(LOG10(SUM(J$3:J37))=X36,X36=""),NA(),LOG10(SUM(J$3:J37)))</f>
        <v>2.0195470464926664</v>
      </c>
      <c r="Y37" t="e">
        <f>IF(OR(LOG10(SUM(K$3:K37))=Y36,Y36=""),NA(),LOG10(SUM(K$3:K37)))</f>
        <v>#N/A</v>
      </c>
      <c r="Z37">
        <f>IF(OR(LOG10(SUM(L$3:L37))=Z36,Z36=""),NA(),LOG10(SUM(L$3:L37)))</f>
        <v>1.5090532499701683</v>
      </c>
      <c r="AA37">
        <f>IF(OR(LOG10(SUM(M$3:M37))=AA36,AA36=""),NA(),LOG10(SUM(M$3:M37)))</f>
        <v>1.5202856642431348</v>
      </c>
      <c r="AB37">
        <f>IF(OR(LOG10(SUM(N$3:N37))=AB36,AB36=""),NA(),LOG10(SUM(N$3:N37)))</f>
        <v>1.091241245918968</v>
      </c>
      <c r="AD37" t="str">
        <f t="shared" si="3"/>
        <v>(35,2.69079393114449)</v>
      </c>
      <c r="AE37" t="str">
        <f t="shared" si="3"/>
        <v>(35,2.69318303705398)</v>
      </c>
      <c r="AF37" t="str">
        <f t="shared" si="3"/>
        <v>(35,2.05614913133748)</v>
      </c>
      <c r="AG37" t="str">
        <f t="shared" si="3"/>
        <v>(35,1.15996401238553)</v>
      </c>
      <c r="AH37" t="str">
        <f t="shared" si="3"/>
        <v>(35,1.13170205114777)</v>
      </c>
      <c r="AI37" t="str">
        <f t="shared" si="3"/>
        <v>(35,1.32132704107581)</v>
      </c>
      <c r="AJ37" t="str">
        <f t="shared" ref="AJ37:AP69" si="12">_xlfn.IFNA("("&amp;$O37&amp;","&amp;V37&amp;")","")</f>
        <v/>
      </c>
      <c r="AK37" t="str">
        <f t="shared" si="12"/>
        <v/>
      </c>
      <c r="AL37" t="str">
        <f t="shared" si="12"/>
        <v>(35,2.01954704649267)</v>
      </c>
      <c r="AM37" t="str">
        <f t="shared" si="12"/>
        <v/>
      </c>
      <c r="AN37" t="str">
        <f t="shared" si="12"/>
        <v>(35,1.50905324997017)</v>
      </c>
      <c r="AO37" t="str">
        <f t="shared" si="12"/>
        <v>(35,1.52028566424313)</v>
      </c>
      <c r="AP37" t="str">
        <f t="shared" si="12"/>
        <v>(35,1.09124124591897)</v>
      </c>
      <c r="AS37">
        <f t="shared" si="4"/>
        <v>6.4455999999999998</v>
      </c>
      <c r="AT37">
        <f t="shared" si="5"/>
        <v>0.78439999999999999</v>
      </c>
      <c r="AU37">
        <f t="shared" si="6"/>
        <v>0.78439999999999999</v>
      </c>
      <c r="AV37">
        <f t="shared" si="7"/>
        <v>2.2210000000000001</v>
      </c>
      <c r="AX37">
        <f>LOG10(SUM(AS$3:AS37))</f>
        <v>2.018695922742423</v>
      </c>
      <c r="AY37">
        <f>LOG10(SUM(AT$3:AT37))</f>
        <v>1.091241245918968</v>
      </c>
      <c r="AZ37">
        <f>LOG10(SUM(AU$3:AU37))</f>
        <v>1.091241245918968</v>
      </c>
      <c r="BA37">
        <f>LOG10(SUM(AV$3:AV37))</f>
        <v>1.4786761375021737</v>
      </c>
      <c r="BC37" t="str">
        <f t="shared" si="8"/>
        <v>(35,2.01869592274242)</v>
      </c>
      <c r="BD37" t="str">
        <f t="shared" si="9"/>
        <v>(35,1.09124124591897)</v>
      </c>
      <c r="BE37" t="str">
        <f t="shared" si="10"/>
        <v>(35,1.09124124591897)</v>
      </c>
      <c r="BF37" t="str">
        <f t="shared" si="11"/>
        <v>(35,1.47867613750217)</v>
      </c>
    </row>
    <row r="38" spans="1:58">
      <c r="A38">
        <v>36</v>
      </c>
      <c r="B38">
        <f>IF(OR(Sorting!B39=0,Sorting!A39="Grand Total"),NA(),Sorting!B39)</f>
        <v>139.6566</v>
      </c>
      <c r="C38">
        <f>IF(OR(Sorting!D39=0,Sorting!C39="Grand Total"),NA(),Sorting!D39)</f>
        <v>51.610900000000001</v>
      </c>
      <c r="D38">
        <f>IF(OR(Sorting!F39=0,Sorting!E39="Grand Total"),NA(),Sorting!F39)</f>
        <v>6.8562000000000003</v>
      </c>
      <c r="E38">
        <f>IF(OR(Sorting!H39=0,Sorting!G39="Grand Total"),NA(),Sorting!H39)</f>
        <v>1.2546999999999999</v>
      </c>
      <c r="F38">
        <f>IF(OR(Sorting!J39=0,Sorting!I39="Grand Total"),NA(),Sorting!J39)</f>
        <v>0.82030000000000003</v>
      </c>
      <c r="G38">
        <f>IF(OR(Sorting!L39=0,Sorting!K39="Grand Total"),NA(),Sorting!L39)</f>
        <v>1.3531</v>
      </c>
      <c r="H38" t="e">
        <f>IF(OR(Sorting!O39=0,Sorting!N39="Grand Total"),NA(),Sorting!O39)</f>
        <v>#N/A</v>
      </c>
      <c r="I38" t="e">
        <f>IF(OR(Sorting!Q39=0,Sorting!P39="Grand Total"),NA(),Sorting!Q39)</f>
        <v>#N/A</v>
      </c>
      <c r="J38">
        <f>IF(OR(Sorting!S39=0,Sorting!R39="Grand Total"),NA(),Sorting!S39)</f>
        <v>6.4634999999999998</v>
      </c>
      <c r="K38" t="e">
        <f>IF(OR(Sorting!U39=0,Sorting!T39="Grand Total"),NA(),Sorting!U39)</f>
        <v>#N/A</v>
      </c>
      <c r="L38">
        <f>IF(OR(Sorting!W39=0,Sorting!V39="Grand Total"),NA(),Sorting!W39)</f>
        <v>2.7061000000000002</v>
      </c>
      <c r="M38">
        <f>IF(OR(Sorting!Y39=0,Sorting!X39="Grand Total"),NA(),Sorting!Y39)</f>
        <v>2.2254999999999998</v>
      </c>
      <c r="N38">
        <f t="shared" si="2"/>
        <v>0.82030000000000003</v>
      </c>
      <c r="O38">
        <v>36</v>
      </c>
      <c r="P38">
        <f>IF(OR(LOG10(SUM(B$3:B38))=P37,P37=""),NA(),LOG10(SUM(B$3:B38)))</f>
        <v>2.799569079871326</v>
      </c>
      <c r="Q38">
        <f>IF(OR(LOG10(SUM(C$3:C38))=Q37,Q37=""),NA(),LOG10(SUM(C$3:C38)))</f>
        <v>2.7363906053941021</v>
      </c>
      <c r="R38">
        <f>IF(OR(LOG10(SUM(D$3:D38))=R37,R37=""),NA(),LOG10(SUM(D$3:D38)))</f>
        <v>2.0815561222719277</v>
      </c>
      <c r="S38">
        <f>IF(OR(LOG10(SUM(E$3:E38))=S37,S37=""),NA(),LOG10(SUM(E$3:E38)))</f>
        <v>1.1961181277915032</v>
      </c>
      <c r="T38">
        <f>IF(OR(LOG10(SUM(F$3:F38))=T37,T37=""),NA(),LOG10(SUM(F$3:F38)))</f>
        <v>1.1572421367615293</v>
      </c>
      <c r="U38">
        <f>IF(OR(LOG10(SUM(G$3:G38))=U37,U37=""),NA(),LOG10(SUM(G$3:G38)))</f>
        <v>1.3484995702838378</v>
      </c>
      <c r="V38" t="e">
        <f>IF(OR(LOG10(SUM(H$3:H38))=V37,V37=""),NA(),LOG10(SUM(H$3:H38)))</f>
        <v>#N/A</v>
      </c>
      <c r="W38" t="e">
        <f>IF(OR(LOG10(SUM(I$3:I38))=W37,W37=""),NA(),LOG10(SUM(I$3:I38)))</f>
        <v>#N/A</v>
      </c>
      <c r="X38">
        <f>IF(OR(LOG10(SUM(J$3:J38))=X37,X37=""),NA(),LOG10(SUM(J$3:J38)))</f>
        <v>2.0455858234577726</v>
      </c>
      <c r="Y38" t="e">
        <f>IF(OR(LOG10(SUM(K$3:K38))=Y37,Y37=""),NA(),LOG10(SUM(K$3:K38)))</f>
        <v>#N/A</v>
      </c>
      <c r="Z38">
        <f>IF(OR(LOG10(SUM(L$3:L38))=Z37,Z37=""),NA(),LOG10(SUM(L$3:L38)))</f>
        <v>1.5440059978494338</v>
      </c>
      <c r="AA38">
        <f>IF(OR(LOG10(SUM(M$3:M38))=AA37,AA37=""),NA(),LOG10(SUM(M$3:M38)))</f>
        <v>1.5485171691467539</v>
      </c>
      <c r="AB38">
        <f>IF(OR(LOG10(SUM(N$3:N38))=AB37,AB37=""),NA(),LOG10(SUM(N$3:N38)))</f>
        <v>1.1191964832343131</v>
      </c>
      <c r="AD38" t="str">
        <f t="shared" ref="AD38:AI69" si="13">_xlfn.IFNA("("&amp;$O38&amp;","&amp;P38&amp;")","")</f>
        <v>(36,2.79956907987133)</v>
      </c>
      <c r="AE38" t="str">
        <f t="shared" si="13"/>
        <v>(36,2.7363906053941)</v>
      </c>
      <c r="AF38" t="str">
        <f t="shared" si="13"/>
        <v>(36,2.08155612227193)</v>
      </c>
      <c r="AG38" t="str">
        <f t="shared" si="13"/>
        <v>(36,1.1961181277915)</v>
      </c>
      <c r="AH38" t="str">
        <f t="shared" si="13"/>
        <v>(36,1.15724213676153)</v>
      </c>
      <c r="AI38" t="str">
        <f t="shared" si="13"/>
        <v>(36,1.34849957028384)</v>
      </c>
      <c r="AJ38" t="str">
        <f t="shared" si="12"/>
        <v/>
      </c>
      <c r="AK38" t="str">
        <f t="shared" si="12"/>
        <v/>
      </c>
      <c r="AL38" t="str">
        <f t="shared" si="12"/>
        <v>(36,2.04558582345777)</v>
      </c>
      <c r="AM38" t="str">
        <f t="shared" si="12"/>
        <v/>
      </c>
      <c r="AN38" t="str">
        <f t="shared" si="12"/>
        <v>(36,1.54400599784943)</v>
      </c>
      <c r="AO38" t="str">
        <f t="shared" si="12"/>
        <v>(36,1.54851716914675)</v>
      </c>
      <c r="AP38" t="str">
        <f t="shared" si="12"/>
        <v>(36,1.11919648323431)</v>
      </c>
      <c r="AS38">
        <f t="shared" si="4"/>
        <v>6.4634999999999998</v>
      </c>
      <c r="AT38">
        <f t="shared" si="5"/>
        <v>0.82030000000000003</v>
      </c>
      <c r="AU38">
        <f t="shared" si="6"/>
        <v>0.82030000000000003</v>
      </c>
      <c r="AV38">
        <f t="shared" si="7"/>
        <v>2.2254999999999998</v>
      </c>
      <c r="AX38">
        <f>LOG10(SUM(AS$3:AS38))</f>
        <v>2.0447842761640223</v>
      </c>
      <c r="AY38">
        <f>LOG10(SUM(AT$3:AT38))</f>
        <v>1.1191964832343131</v>
      </c>
      <c r="AZ38">
        <f>LOG10(SUM(AU$3:AU38))</f>
        <v>1.1191964832343131</v>
      </c>
      <c r="BA38">
        <f>LOG10(SUM(AV$3:AV38))</f>
        <v>1.5096473454513837</v>
      </c>
      <c r="BC38" t="str">
        <f t="shared" si="8"/>
        <v>(36,2.04478427616402)</v>
      </c>
      <c r="BD38" t="str">
        <f t="shared" si="9"/>
        <v>(36,1.11919648323431)</v>
      </c>
      <c r="BE38" t="str">
        <f t="shared" si="10"/>
        <v>(36,1.11919648323431)</v>
      </c>
      <c r="BF38" t="str">
        <f t="shared" si="11"/>
        <v>(36,1.50964734545138)</v>
      </c>
    </row>
    <row r="39" spans="1:58">
      <c r="A39">
        <v>37</v>
      </c>
      <c r="B39">
        <f>IF(OR(Sorting!B40=0,Sorting!A40="Grand Total"),NA(),Sorting!B40)</f>
        <v>139.72909999999999</v>
      </c>
      <c r="C39">
        <f>IF(OR(Sorting!D40=0,Sorting!C40="Grand Total"),NA(),Sorting!D40)</f>
        <v>52.171900000000001</v>
      </c>
      <c r="D39">
        <f>IF(OR(Sorting!F40=0,Sorting!E40="Grand Total"),NA(),Sorting!F40)</f>
        <v>6.8563000000000001</v>
      </c>
      <c r="E39">
        <f>IF(OR(Sorting!H40=0,Sorting!G40="Grand Total"),NA(),Sorting!H40)</f>
        <v>1.2797000000000001</v>
      </c>
      <c r="F39">
        <f>IF(OR(Sorting!J40=0,Sorting!I40="Grand Total"),NA(),Sorting!J40)</f>
        <v>0.82650000000000001</v>
      </c>
      <c r="G39">
        <f>IF(OR(Sorting!L40=0,Sorting!K40="Grand Total"),NA(),Sorting!L40)</f>
        <v>1.3641000000000001</v>
      </c>
      <c r="H39" t="e">
        <f>IF(OR(Sorting!O40=0,Sorting!N40="Grand Total"),NA(),Sorting!O40)</f>
        <v>#N/A</v>
      </c>
      <c r="I39" t="e">
        <f>IF(OR(Sorting!Q40=0,Sorting!P40="Grand Total"),NA(),Sorting!Q40)</f>
        <v>#N/A</v>
      </c>
      <c r="J39">
        <f>IF(OR(Sorting!S40=0,Sorting!R40="Grand Total"),NA(),Sorting!S40)</f>
        <v>6.5331999999999999</v>
      </c>
      <c r="K39" t="e">
        <f>IF(OR(Sorting!U40=0,Sorting!T40="Grand Total"),NA(),Sorting!U40)</f>
        <v>#N/A</v>
      </c>
      <c r="L39">
        <f>IF(OR(Sorting!W40=0,Sorting!V40="Grand Total"),NA(),Sorting!W40)</f>
        <v>2.8723999999999998</v>
      </c>
      <c r="M39">
        <f>IF(OR(Sorting!Y40=0,Sorting!X40="Grand Total"),NA(),Sorting!Y40)</f>
        <v>2.2416</v>
      </c>
      <c r="N39">
        <f t="shared" si="2"/>
        <v>0.82650000000000001</v>
      </c>
      <c r="O39">
        <v>37</v>
      </c>
      <c r="P39">
        <f>IF(OR(LOG10(SUM(B$3:B39))=P38,P38=""),NA(),LOG10(SUM(B$3:B39)))</f>
        <v>2.8865249597647487</v>
      </c>
      <c r="Q39">
        <f>IF(OR(LOG10(SUM(C$3:C39))=Q38,Q38=""),NA(),LOG10(SUM(C$3:C39)))</f>
        <v>2.7760939820530486</v>
      </c>
      <c r="R39">
        <f>IF(OR(LOG10(SUM(D$3:D39))=R38,R38=""),NA(),LOG10(SUM(D$3:D39)))</f>
        <v>2.1055588911452459</v>
      </c>
      <c r="S39">
        <f>IF(OR(LOG10(SUM(E$3:E39))=S38,S38=""),NA(),LOG10(SUM(E$3:E39)))</f>
        <v>1.2301320262862674</v>
      </c>
      <c r="T39">
        <f>IF(OR(LOG10(SUM(F$3:F39))=T38,T38=""),NA(),LOG10(SUM(F$3:F39)))</f>
        <v>1.181540619034898</v>
      </c>
      <c r="U39">
        <f>IF(OR(LOG10(SUM(G$3:G39))=U38,U38=""),NA(),LOG10(SUM(G$3:G39)))</f>
        <v>1.3742734777507821</v>
      </c>
      <c r="V39" t="e">
        <f>IF(OR(LOG10(SUM(H$3:H39))=V38,V38=""),NA(),LOG10(SUM(H$3:H39)))</f>
        <v>#N/A</v>
      </c>
      <c r="W39" t="e">
        <f>IF(OR(LOG10(SUM(I$3:I39))=W38,W38=""),NA(),LOG10(SUM(I$3:I39)))</f>
        <v>#N/A</v>
      </c>
      <c r="X39">
        <f>IF(OR(LOG10(SUM(J$3:J39))=X38,X38=""),NA(),LOG10(SUM(J$3:J39)))</f>
        <v>2.0704087989297228</v>
      </c>
      <c r="Y39" t="e">
        <f>IF(OR(LOG10(SUM(K$3:K39))=Y38,Y38=""),NA(),LOG10(SUM(K$3:K39)))</f>
        <v>#N/A</v>
      </c>
      <c r="Z39">
        <f>IF(OR(LOG10(SUM(L$3:L39))=Z38,Z38=""),NA(),LOG10(SUM(L$3:L39)))</f>
        <v>1.5782654872064696</v>
      </c>
      <c r="AA39">
        <f>IF(OR(LOG10(SUM(M$3:M39))=AA38,AA38=""),NA(),LOG10(SUM(M$3:M39)))</f>
        <v>1.5752109450836147</v>
      </c>
      <c r="AB39">
        <f>IF(OR(LOG10(SUM(N$3:N39))=AB38,AB38=""),NA(),LOG10(SUM(N$3:N39)))</f>
        <v>1.1456531543155519</v>
      </c>
      <c r="AD39" t="str">
        <f t="shared" si="13"/>
        <v>(37,2.88652495976475)</v>
      </c>
      <c r="AE39" t="str">
        <f t="shared" si="13"/>
        <v>(37,2.77609398205305)</v>
      </c>
      <c r="AF39" t="str">
        <f t="shared" si="13"/>
        <v>(37,2.10555889114525)</v>
      </c>
      <c r="AG39" t="str">
        <f t="shared" si="13"/>
        <v>(37,1.23013202628627)</v>
      </c>
      <c r="AH39" t="str">
        <f t="shared" si="13"/>
        <v>(37,1.1815406190349)</v>
      </c>
      <c r="AI39" t="str">
        <f t="shared" si="13"/>
        <v>(37,1.37427347775078)</v>
      </c>
      <c r="AJ39" t="str">
        <f t="shared" si="12"/>
        <v/>
      </c>
      <c r="AK39" t="str">
        <f t="shared" si="12"/>
        <v/>
      </c>
      <c r="AL39" t="str">
        <f t="shared" si="12"/>
        <v>(37,2.07040879892972)</v>
      </c>
      <c r="AM39" t="str">
        <f t="shared" si="12"/>
        <v/>
      </c>
      <c r="AN39" t="str">
        <f t="shared" si="12"/>
        <v>(37,1.57826548720647)</v>
      </c>
      <c r="AO39" t="str">
        <f t="shared" si="12"/>
        <v>(37,1.57521094508361)</v>
      </c>
      <c r="AP39" t="str">
        <f t="shared" si="12"/>
        <v>(37,1.14565315431555)</v>
      </c>
      <c r="AS39">
        <f t="shared" si="4"/>
        <v>6.5331999999999999</v>
      </c>
      <c r="AT39">
        <f t="shared" si="5"/>
        <v>0.82650000000000001</v>
      </c>
      <c r="AU39">
        <f t="shared" si="6"/>
        <v>0.82650000000000001</v>
      </c>
      <c r="AV39">
        <f t="shared" si="7"/>
        <v>2.2416</v>
      </c>
      <c r="AX39">
        <f>LOG10(SUM(AS$3:AS39))</f>
        <v>2.0696518198116789</v>
      </c>
      <c r="AY39">
        <f>LOG10(SUM(AT$3:AT39))</f>
        <v>1.1456531543155519</v>
      </c>
      <c r="AZ39">
        <f>LOG10(SUM(AU$3:AU39))</f>
        <v>1.1456531543155519</v>
      </c>
      <c r="BA39">
        <f>LOG10(SUM(AV$3:AV39))</f>
        <v>1.538758420483161</v>
      </c>
      <c r="BC39" t="str">
        <f t="shared" si="8"/>
        <v>(37,2.06965181981168)</v>
      </c>
      <c r="BD39" t="str">
        <f t="shared" si="9"/>
        <v>(37,1.14565315431555)</v>
      </c>
      <c r="BE39" t="str">
        <f t="shared" si="10"/>
        <v>(37,1.14565315431555)</v>
      </c>
      <c r="BF39" t="str">
        <f t="shared" si="11"/>
        <v>(37,1.53875842048316)</v>
      </c>
    </row>
    <row r="40" spans="1:58">
      <c r="A40">
        <v>38</v>
      </c>
      <c r="B40">
        <f>IF(OR(Sorting!B41=0,Sorting!A41="Grand Total"),NA(),Sorting!B41)</f>
        <v>139.94110000000001</v>
      </c>
      <c r="C40">
        <f>IF(OR(Sorting!D41=0,Sorting!C41="Grand Total"),NA(),Sorting!D41)</f>
        <v>52.378100000000003</v>
      </c>
      <c r="D40">
        <f>IF(OR(Sorting!F41=0,Sorting!E41="Grand Total"),NA(),Sorting!F41)</f>
        <v>6.9733999999999998</v>
      </c>
      <c r="E40">
        <f>IF(OR(Sorting!H41=0,Sorting!G41="Grand Total"),NA(),Sorting!H41)</f>
        <v>1.3514999999999999</v>
      </c>
      <c r="F40">
        <f>IF(OR(Sorting!J41=0,Sorting!I41="Grand Total"),NA(),Sorting!J41)</f>
        <v>0.84060000000000001</v>
      </c>
      <c r="G40">
        <f>IF(OR(Sorting!L41=0,Sorting!K41="Grand Total"),NA(),Sorting!L41)</f>
        <v>1.3812</v>
      </c>
      <c r="H40" t="e">
        <f>IF(OR(Sorting!O41=0,Sorting!N41="Grand Total"),NA(),Sorting!O41)</f>
        <v>#N/A</v>
      </c>
      <c r="I40" t="e">
        <f>IF(OR(Sorting!Q41=0,Sorting!P41="Grand Total"),NA(),Sorting!Q41)</f>
        <v>#N/A</v>
      </c>
      <c r="J40">
        <f>IF(OR(Sorting!S41=0,Sorting!R41="Grand Total"),NA(),Sorting!S41)</f>
        <v>6.5505000000000004</v>
      </c>
      <c r="K40" t="e">
        <f>IF(OR(Sorting!U41=0,Sorting!T41="Grand Total"),NA(),Sorting!U41)</f>
        <v>#N/A</v>
      </c>
      <c r="L40">
        <f>IF(OR(Sorting!W41=0,Sorting!V41="Grand Total"),NA(),Sorting!W41)</f>
        <v>3.9203000000000001</v>
      </c>
      <c r="M40">
        <f>IF(OR(Sorting!Y41=0,Sorting!X41="Grand Total"),NA(),Sorting!Y41)</f>
        <v>2.2562000000000002</v>
      </c>
      <c r="N40">
        <f t="shared" si="2"/>
        <v>0.84060000000000001</v>
      </c>
      <c r="O40">
        <v>38</v>
      </c>
      <c r="P40">
        <f>IF(OR(LOG10(SUM(B$3:B40))=P39,P39=""),NA(),LOG10(SUM(B$3:B40)))</f>
        <v>2.959042251364274</v>
      </c>
      <c r="Q40">
        <f>IF(OR(LOG10(SUM(C$3:C40))=Q39,Q39=""),NA(),LOG10(SUM(C$3:C40)))</f>
        <v>2.8126076393786037</v>
      </c>
      <c r="R40">
        <f>IF(OR(LOG10(SUM(D$3:D40))=R39,R39=""),NA(),LOG10(SUM(D$3:D40)))</f>
        <v>2.1286825663726527</v>
      </c>
      <c r="S40">
        <f>IF(OR(LOG10(SUM(E$3:E40))=S39,S39=""),NA(),LOG10(SUM(E$3:E40)))</f>
        <v>1.2633780186500057</v>
      </c>
      <c r="T40">
        <f>IF(OR(LOG10(SUM(F$3:F40))=T39,T39=""),NA(),LOG10(SUM(F$3:F40)))</f>
        <v>1.2049335223541449</v>
      </c>
      <c r="U40">
        <f>IF(OR(LOG10(SUM(G$3:G40))=U39,U39=""),NA(),LOG10(SUM(G$3:G40)))</f>
        <v>1.3988996071409407</v>
      </c>
      <c r="V40" t="e">
        <f>IF(OR(LOG10(SUM(H$3:H40))=V39,V39=""),NA(),LOG10(SUM(H$3:H40)))</f>
        <v>#N/A</v>
      </c>
      <c r="W40" t="e">
        <f>IF(OR(LOG10(SUM(I$3:I40))=W39,W39=""),NA(),LOG10(SUM(I$3:I40)))</f>
        <v>#N/A</v>
      </c>
      <c r="X40">
        <f>IF(OR(LOG10(SUM(J$3:J40))=X39,X39=""),NA(),LOG10(SUM(J$3:J40)))</f>
        <v>2.093949872208078</v>
      </c>
      <c r="Y40" t="e">
        <f>IF(OR(LOG10(SUM(K$3:K40))=Y39,Y39=""),NA(),LOG10(SUM(K$3:K40)))</f>
        <v>#N/A</v>
      </c>
      <c r="Z40">
        <f>IF(OR(LOG10(SUM(L$3:L40))=Z39,Z39=""),NA(),LOG10(SUM(L$3:L40)))</f>
        <v>1.6210484681812656</v>
      </c>
      <c r="AA40">
        <f>IF(OR(LOG10(SUM(M$3:M40))=AA39,AA39=""),NA(),LOG10(SUM(M$3:M40)))</f>
        <v>1.6005176820283258</v>
      </c>
      <c r="AB40">
        <f>IF(OR(LOG10(SUM(N$3:N40))=AB39,AB39=""),NA(),LOG10(SUM(N$3:N40)))</f>
        <v>1.1710034903685986</v>
      </c>
      <c r="AD40" t="str">
        <f t="shared" si="13"/>
        <v>(38,2.95904225136427)</v>
      </c>
      <c r="AE40" t="str">
        <f t="shared" si="13"/>
        <v>(38,2.8126076393786)</v>
      </c>
      <c r="AF40" t="str">
        <f t="shared" si="13"/>
        <v>(38,2.12868256637265)</v>
      </c>
      <c r="AG40" t="str">
        <f t="shared" si="13"/>
        <v>(38,1.26337801865001)</v>
      </c>
      <c r="AH40" t="str">
        <f t="shared" si="13"/>
        <v>(38,1.20493352235414)</v>
      </c>
      <c r="AI40" t="str">
        <f t="shared" si="13"/>
        <v>(38,1.39889960714094)</v>
      </c>
      <c r="AJ40" t="str">
        <f t="shared" si="12"/>
        <v/>
      </c>
      <c r="AK40" t="str">
        <f t="shared" si="12"/>
        <v/>
      </c>
      <c r="AL40" t="str">
        <f t="shared" si="12"/>
        <v>(38,2.09394987220808)</v>
      </c>
      <c r="AM40" t="str">
        <f t="shared" si="12"/>
        <v/>
      </c>
      <c r="AN40" t="str">
        <f t="shared" si="12"/>
        <v>(38,1.62104846818127)</v>
      </c>
      <c r="AO40" t="str">
        <f t="shared" si="12"/>
        <v>(38,1.60051768202833)</v>
      </c>
      <c r="AP40" t="str">
        <f t="shared" si="12"/>
        <v>(38,1.1710034903686)</v>
      </c>
      <c r="AS40">
        <f t="shared" si="4"/>
        <v>6.5505000000000004</v>
      </c>
      <c r="AT40">
        <f t="shared" si="5"/>
        <v>0.84060000000000001</v>
      </c>
      <c r="AU40">
        <f t="shared" si="6"/>
        <v>0.84060000000000001</v>
      </c>
      <c r="AV40">
        <f t="shared" si="7"/>
        <v>2.2562000000000002</v>
      </c>
      <c r="AX40">
        <f>LOG10(SUM(AS$3:AS40))</f>
        <v>2.0932328661169399</v>
      </c>
      <c r="AY40">
        <f>LOG10(SUM(AT$3:AT40))</f>
        <v>1.1710034903685986</v>
      </c>
      <c r="AZ40">
        <f>LOG10(SUM(AU$3:AU40))</f>
        <v>1.1710034903685986</v>
      </c>
      <c r="BA40">
        <f>LOG10(SUM(AV$3:AV40))</f>
        <v>1.5662123314060419</v>
      </c>
      <c r="BC40" t="str">
        <f t="shared" si="8"/>
        <v>(38,2.09323286611694)</v>
      </c>
      <c r="BD40" t="str">
        <f t="shared" si="9"/>
        <v>(38,1.1710034903686)</v>
      </c>
      <c r="BE40" t="str">
        <f t="shared" si="10"/>
        <v>(38,1.1710034903686)</v>
      </c>
      <c r="BF40" t="str">
        <f t="shared" si="11"/>
        <v>(38,1.56621233140604)</v>
      </c>
    </row>
    <row r="41" spans="1:58">
      <c r="A41">
        <v>39</v>
      </c>
      <c r="B41">
        <f>IF(OR(Sorting!B42=0,Sorting!A42="Grand Total"),NA(),Sorting!B42)</f>
        <v>149.89930000000001</v>
      </c>
      <c r="C41">
        <f>IF(OR(Sorting!D42=0,Sorting!C42="Grand Total"),NA(),Sorting!D42)</f>
        <v>52.676600000000001</v>
      </c>
      <c r="D41">
        <f>IF(OR(Sorting!F42=0,Sorting!E42="Grand Total"),NA(),Sorting!F42)</f>
        <v>6.9813000000000001</v>
      </c>
      <c r="E41">
        <f>IF(OR(Sorting!H42=0,Sorting!G42="Grand Total"),NA(),Sorting!H42)</f>
        <v>1.4234</v>
      </c>
      <c r="F41">
        <f>IF(OR(Sorting!J42=0,Sorting!I42="Grand Total"),NA(),Sorting!J42)</f>
        <v>0.84219999999999995</v>
      </c>
      <c r="G41">
        <f>IF(OR(Sorting!L42=0,Sorting!K42="Grand Total"),NA(),Sorting!L42)</f>
        <v>1.3953</v>
      </c>
      <c r="H41" t="e">
        <f>IF(OR(Sorting!O42=0,Sorting!N42="Grand Total"),NA(),Sorting!O42)</f>
        <v>#N/A</v>
      </c>
      <c r="I41" t="e">
        <f>IF(OR(Sorting!Q42=0,Sorting!P42="Grand Total"),NA(),Sorting!Q42)</f>
        <v>#N/A</v>
      </c>
      <c r="J41">
        <f>IF(OR(Sorting!S42=0,Sorting!R42="Grand Total"),NA(),Sorting!S42)</f>
        <v>6.6997</v>
      </c>
      <c r="K41" t="e">
        <f>IF(OR(Sorting!U42=0,Sorting!T42="Grand Total"),NA(),Sorting!U42)</f>
        <v>#N/A</v>
      </c>
      <c r="L41">
        <f>IF(OR(Sorting!W42=0,Sorting!V42="Grand Total"),NA(),Sorting!W42)</f>
        <v>3.9285999999999999</v>
      </c>
      <c r="M41">
        <f>IF(OR(Sorting!Y42=0,Sorting!X42="Grand Total"),NA(),Sorting!Y42)</f>
        <v>2.2875000000000001</v>
      </c>
      <c r="N41">
        <f t="shared" si="2"/>
        <v>0.84219999999999995</v>
      </c>
      <c r="O41">
        <v>39</v>
      </c>
      <c r="P41">
        <f>IF(OR(LOG10(SUM(B$3:B41))=P40,P40=""),NA(),LOG10(SUM(B$3:B41)))</f>
        <v>3.0252653428797482</v>
      </c>
      <c r="Q41">
        <f>IF(OR(LOG10(SUM(C$3:C41))=Q40,Q40=""),NA(),LOG10(SUM(C$3:C41)))</f>
        <v>2.8464726997235461</v>
      </c>
      <c r="R41">
        <f>IF(OR(LOG10(SUM(D$3:D41))=R40,R40=""),NA(),LOG10(SUM(D$3:D41)))</f>
        <v>2.1506612836489016</v>
      </c>
      <c r="S41">
        <f>IF(OR(LOG10(SUM(E$3:E41))=S40,S40=""),NA(),LOG10(SUM(E$3:E41)))</f>
        <v>1.2958418829402656</v>
      </c>
      <c r="T41">
        <f>IF(OR(LOG10(SUM(F$3:F41))=T40,T40=""),NA(),LOG10(SUM(F$3:F41)))</f>
        <v>1.2271717148099963</v>
      </c>
      <c r="U41">
        <f>IF(OR(LOG10(SUM(G$3:G41))=U40,U40=""),NA(),LOG10(SUM(G$3:G41)))</f>
        <v>1.4224355279301342</v>
      </c>
      <c r="V41" t="e">
        <f>IF(OR(LOG10(SUM(H$3:H41))=V40,V40=""),NA(),LOG10(SUM(H$3:H41)))</f>
        <v>#N/A</v>
      </c>
      <c r="W41" t="e">
        <f>IF(OR(LOG10(SUM(I$3:I41))=W40,W40=""),NA(),LOG10(SUM(I$3:I41)))</f>
        <v>#N/A</v>
      </c>
      <c r="X41">
        <f>IF(OR(LOG10(SUM(J$3:J41))=X40,X40=""),NA(),LOG10(SUM(J$3:J41)))</f>
        <v>2.116775718386612</v>
      </c>
      <c r="Y41" t="e">
        <f>IF(OR(LOG10(SUM(K$3:K41))=Y40,Y40=""),NA(),LOG10(SUM(K$3:K41)))</f>
        <v>#N/A</v>
      </c>
      <c r="Z41">
        <f>IF(OR(LOG10(SUM(L$3:L41))=Z40,Z40=""),NA(),LOG10(SUM(L$3:L41)))</f>
        <v>1.6600710739846782</v>
      </c>
      <c r="AA41">
        <f>IF(OR(LOG10(SUM(M$3:M41))=AA40,AA40=""),NA(),LOG10(SUM(M$3:M41)))</f>
        <v>1.6247532714510351</v>
      </c>
      <c r="AB41">
        <f>IF(OR(LOG10(SUM(N$3:N41))=AB40,AB40=""),NA(),LOG10(SUM(N$3:N41)))</f>
        <v>1.1949997033720086</v>
      </c>
      <c r="AD41" t="str">
        <f t="shared" si="13"/>
        <v>(39,3.02526534287975)</v>
      </c>
      <c r="AE41" t="str">
        <f t="shared" si="13"/>
        <v>(39,2.84647269972355)</v>
      </c>
      <c r="AF41" t="str">
        <f t="shared" si="13"/>
        <v>(39,2.1506612836489)</v>
      </c>
      <c r="AG41" t="str">
        <f t="shared" si="13"/>
        <v>(39,1.29584188294027)</v>
      </c>
      <c r="AH41" t="str">
        <f t="shared" si="13"/>
        <v>(39,1.22717171481)</v>
      </c>
      <c r="AI41" t="str">
        <f t="shared" si="13"/>
        <v>(39,1.42243552793013)</v>
      </c>
      <c r="AJ41" t="str">
        <f t="shared" si="12"/>
        <v/>
      </c>
      <c r="AK41" t="str">
        <f t="shared" si="12"/>
        <v/>
      </c>
      <c r="AL41" t="str">
        <f t="shared" si="12"/>
        <v>(39,2.11677571838661)</v>
      </c>
      <c r="AM41" t="str">
        <f t="shared" si="12"/>
        <v/>
      </c>
      <c r="AN41" t="str">
        <f t="shared" si="12"/>
        <v>(39,1.66007107398468)</v>
      </c>
      <c r="AO41" t="str">
        <f t="shared" si="12"/>
        <v>(39,1.62475327145104)</v>
      </c>
      <c r="AP41" t="str">
        <f t="shared" si="12"/>
        <v>(39,1.19499970337201)</v>
      </c>
      <c r="AS41">
        <f t="shared" si="4"/>
        <v>6.6997</v>
      </c>
      <c r="AT41">
        <f t="shared" si="5"/>
        <v>0.84219999999999995</v>
      </c>
      <c r="AU41">
        <f t="shared" si="6"/>
        <v>0.84219999999999995</v>
      </c>
      <c r="AV41">
        <f t="shared" si="7"/>
        <v>2.2875000000000001</v>
      </c>
      <c r="AX41">
        <f>LOG10(SUM(AS$3:AS41))</f>
        <v>2.1160954525926727</v>
      </c>
      <c r="AY41">
        <f>LOG10(SUM(AT$3:AT41))</f>
        <v>1.1949997033720086</v>
      </c>
      <c r="AZ41">
        <f>LOG10(SUM(AU$3:AU41))</f>
        <v>1.1949997033720086</v>
      </c>
      <c r="BA41">
        <f>LOG10(SUM(AV$3:AV41))</f>
        <v>1.5923810831968144</v>
      </c>
      <c r="BC41" t="str">
        <f t="shared" si="8"/>
        <v>(39,2.11609545259267)</v>
      </c>
      <c r="BD41" t="str">
        <f t="shared" si="9"/>
        <v>(39,1.19499970337201)</v>
      </c>
      <c r="BE41" t="str">
        <f t="shared" si="10"/>
        <v>(39,1.19499970337201)</v>
      </c>
      <c r="BF41" t="str">
        <f t="shared" si="11"/>
        <v>(39,1.59238108319681)</v>
      </c>
    </row>
    <row r="42" spans="1:58">
      <c r="A42">
        <v>40</v>
      </c>
      <c r="B42">
        <f>IF(OR(Sorting!B43=0,Sorting!A43="Grand Total"),NA(),Sorting!B43)</f>
        <v>151.25280000000001</v>
      </c>
      <c r="C42">
        <f>IF(OR(Sorting!D43=0,Sorting!C43="Grand Total"),NA(),Sorting!D43)</f>
        <v>80.082800000000006</v>
      </c>
      <c r="D42">
        <f>IF(OR(Sorting!F43=0,Sorting!E43="Grand Total"),NA(),Sorting!F43)</f>
        <v>7.0171999999999999</v>
      </c>
      <c r="E42">
        <f>IF(OR(Sorting!H43=0,Sorting!G43="Grand Total"),NA(),Sorting!H43)</f>
        <v>1.9328000000000001</v>
      </c>
      <c r="F42">
        <f>IF(OR(Sorting!J43=0,Sorting!I43="Grand Total"),NA(),Sorting!J43)</f>
        <v>0.92179999999999995</v>
      </c>
      <c r="G42">
        <f>IF(OR(Sorting!L43=0,Sorting!K43="Grand Total"),NA(),Sorting!L43)</f>
        <v>1.4016</v>
      </c>
      <c r="H42" t="e">
        <f>IF(OR(Sorting!O43=0,Sorting!N43="Grand Total"),NA(),Sorting!O43)</f>
        <v>#N/A</v>
      </c>
      <c r="I42" t="e">
        <f>IF(OR(Sorting!Q43=0,Sorting!P43="Grand Total"),NA(),Sorting!Q43)</f>
        <v>#N/A</v>
      </c>
      <c r="J42">
        <f>IF(OR(Sorting!S43=0,Sorting!R43="Grand Total"),NA(),Sorting!S43)</f>
        <v>6.76</v>
      </c>
      <c r="K42" t="e">
        <f>IF(OR(Sorting!U43=0,Sorting!T43="Grand Total"),NA(),Sorting!U43)</f>
        <v>#N/A</v>
      </c>
      <c r="L42">
        <f>IF(OR(Sorting!W43=0,Sorting!V43="Grand Total"),NA(),Sorting!W43)</f>
        <v>4.5255999999999998</v>
      </c>
      <c r="M42">
        <f>IF(OR(Sorting!Y43=0,Sorting!X43="Grand Total"),NA(),Sorting!Y43)</f>
        <v>2.2888000000000002</v>
      </c>
      <c r="N42">
        <f t="shared" si="2"/>
        <v>0.92179999999999995</v>
      </c>
      <c r="O42">
        <v>40</v>
      </c>
      <c r="P42">
        <f>IF(OR(LOG10(SUM(B$3:B42))=P41,P41=""),NA(),LOG10(SUM(B$3:B42)))</f>
        <v>3.083199331973832</v>
      </c>
      <c r="Q42">
        <f>IF(OR(LOG10(SUM(C$3:C42))=Q41,Q41=""),NA(),LOG10(SUM(C$3:C42)))</f>
        <v>2.8933744405462338</v>
      </c>
      <c r="R42">
        <f>IF(OR(LOG10(SUM(D$3:D42))=R41,R41=""),NA(),LOG10(SUM(D$3:D42)))</f>
        <v>2.1716860930987369</v>
      </c>
      <c r="S42">
        <f>IF(OR(LOG10(SUM(E$3:E42))=S41,S41=""),NA(),LOG10(SUM(E$3:E42)))</f>
        <v>1.3363656598786331</v>
      </c>
      <c r="T42">
        <f>IF(OR(LOG10(SUM(F$3:F42))=T41,T41=""),NA(),LOG10(SUM(F$3:F42)))</f>
        <v>1.250273586232246</v>
      </c>
      <c r="U42">
        <f>IF(OR(LOG10(SUM(G$3:G42))=U41,U41=""),NA(),LOG10(SUM(G$3:G42)))</f>
        <v>1.4448595050797497</v>
      </c>
      <c r="V42" t="e">
        <f>IF(OR(LOG10(SUM(H$3:H42))=V41,V41=""),NA(),LOG10(SUM(H$3:H42)))</f>
        <v>#N/A</v>
      </c>
      <c r="W42" t="e">
        <f>IF(OR(LOG10(SUM(I$3:I42))=W41,W41=""),NA(),LOG10(SUM(I$3:I42)))</f>
        <v>#N/A</v>
      </c>
      <c r="X42">
        <f>IF(OR(LOG10(SUM(J$3:J42))=X41,X41=""),NA(),LOG10(SUM(J$3:J42)))</f>
        <v>2.1386518884358399</v>
      </c>
      <c r="Y42" t="e">
        <f>IF(OR(LOG10(SUM(K$3:K42))=Y41,Y41=""),NA(),LOG10(SUM(K$3:K42)))</f>
        <v>#N/A</v>
      </c>
      <c r="Z42">
        <f>IF(OR(LOG10(SUM(L$3:L42))=Z41,Z41=""),NA(),LOG10(SUM(L$3:L42)))</f>
        <v>1.7010660547719914</v>
      </c>
      <c r="AA42">
        <f>IF(OR(LOG10(SUM(M$3:M42))=AA41,AA41=""),NA(),LOG10(SUM(M$3:M42)))</f>
        <v>1.6477202976254166</v>
      </c>
      <c r="AB42">
        <f>IF(OR(LOG10(SUM(N$3:N42))=AB41,AB41=""),NA(),LOG10(SUM(N$3:N42)))</f>
        <v>1.2198280609760699</v>
      </c>
      <c r="AD42" t="str">
        <f t="shared" si="13"/>
        <v>(40,3.08319933197383)</v>
      </c>
      <c r="AE42" t="str">
        <f t="shared" si="13"/>
        <v>(40,2.89337444054623)</v>
      </c>
      <c r="AF42" t="str">
        <f t="shared" si="13"/>
        <v>(40,2.17168609309874)</v>
      </c>
      <c r="AG42" t="str">
        <f t="shared" si="13"/>
        <v>(40,1.33636565987863)</v>
      </c>
      <c r="AH42" t="str">
        <f t="shared" si="13"/>
        <v>(40,1.25027358623225)</v>
      </c>
      <c r="AI42" t="str">
        <f t="shared" si="13"/>
        <v>(40,1.44485950507975)</v>
      </c>
      <c r="AJ42" t="str">
        <f t="shared" si="12"/>
        <v/>
      </c>
      <c r="AK42" t="str">
        <f t="shared" si="12"/>
        <v/>
      </c>
      <c r="AL42" t="str">
        <f t="shared" si="12"/>
        <v>(40,2.13865188843584)</v>
      </c>
      <c r="AM42" t="str">
        <f t="shared" si="12"/>
        <v/>
      </c>
      <c r="AN42" t="str">
        <f t="shared" si="12"/>
        <v>(40,1.70106605477199)</v>
      </c>
      <c r="AO42" t="str">
        <f t="shared" si="12"/>
        <v>(40,1.64772029762542)</v>
      </c>
      <c r="AP42" t="str">
        <f t="shared" si="12"/>
        <v>(40,1.21982806097607)</v>
      </c>
      <c r="AS42">
        <f t="shared" si="4"/>
        <v>6.76</v>
      </c>
      <c r="AT42">
        <f t="shared" si="5"/>
        <v>0.92179999999999995</v>
      </c>
      <c r="AU42">
        <f t="shared" si="6"/>
        <v>0.92179999999999995</v>
      </c>
      <c r="AV42">
        <f t="shared" si="7"/>
        <v>2.2888000000000002</v>
      </c>
      <c r="AX42">
        <f>LOG10(SUM(AS$3:AS42))</f>
        <v>2.1380050650003279</v>
      </c>
      <c r="AY42">
        <f>LOG10(SUM(AT$3:AT42))</f>
        <v>1.2198280609760699</v>
      </c>
      <c r="AZ42">
        <f>LOG10(SUM(AU$3:AU42))</f>
        <v>1.2198280609760699</v>
      </c>
      <c r="BA42">
        <f>LOG10(SUM(AV$3:AV42))</f>
        <v>1.6170758640289935</v>
      </c>
      <c r="BC42" t="str">
        <f t="shared" si="8"/>
        <v>(40,2.13800506500033)</v>
      </c>
      <c r="BD42" t="str">
        <f t="shared" si="9"/>
        <v>(40,1.21982806097607)</v>
      </c>
      <c r="BE42" t="str">
        <f t="shared" si="10"/>
        <v>(40,1.21982806097607)</v>
      </c>
      <c r="BF42" t="str">
        <f t="shared" si="11"/>
        <v>(40,1.61707586402899)</v>
      </c>
    </row>
    <row r="43" spans="1:58">
      <c r="A43">
        <v>41</v>
      </c>
      <c r="B43">
        <f>IF(OR(Sorting!B44=0,Sorting!A44="Grand Total"),NA(),Sorting!B44)</f>
        <v>151.83189999999999</v>
      </c>
      <c r="C43">
        <f>IF(OR(Sorting!D44=0,Sorting!C44="Grand Total"),NA(),Sorting!D44)</f>
        <v>80.6203</v>
      </c>
      <c r="D43">
        <f>IF(OR(Sorting!F44=0,Sorting!E44="Grand Total"),NA(),Sorting!F44)</f>
        <v>7.0781999999999998</v>
      </c>
      <c r="E43">
        <f>IF(OR(Sorting!H44=0,Sorting!G44="Grand Total"),NA(),Sorting!H44)</f>
        <v>2.0186999999999999</v>
      </c>
      <c r="F43">
        <f>IF(OR(Sorting!J44=0,Sorting!I44="Grand Total"),NA(),Sorting!J44)</f>
        <v>1.014</v>
      </c>
      <c r="G43">
        <f>IF(OR(Sorting!L44=0,Sorting!K44="Grand Total"),NA(),Sorting!L44)</f>
        <v>1.4672000000000001</v>
      </c>
      <c r="H43" t="e">
        <f>IF(OR(Sorting!O44=0,Sorting!N44="Grand Total"),NA(),Sorting!O44)</f>
        <v>#N/A</v>
      </c>
      <c r="I43" t="e">
        <f>IF(OR(Sorting!Q44=0,Sorting!P44="Grand Total"),NA(),Sorting!Q44)</f>
        <v>#N/A</v>
      </c>
      <c r="J43">
        <f>IF(OR(Sorting!S44=0,Sorting!R44="Grand Total"),NA(),Sorting!S44)</f>
        <v>6.8158000000000003</v>
      </c>
      <c r="K43" t="e">
        <f>IF(OR(Sorting!U44=0,Sorting!T44="Grand Total"),NA(),Sorting!U44)</f>
        <v>#N/A</v>
      </c>
      <c r="L43">
        <f>IF(OR(Sorting!W44=0,Sorting!V44="Grand Total"),NA(),Sorting!W44)</f>
        <v>4.5427</v>
      </c>
      <c r="M43">
        <f>IF(OR(Sorting!Y44=0,Sorting!X44="Grand Total"),NA(),Sorting!Y44)</f>
        <v>2.4173</v>
      </c>
      <c r="N43">
        <f t="shared" si="2"/>
        <v>1.014</v>
      </c>
      <c r="O43">
        <v>41</v>
      </c>
      <c r="P43">
        <f>IF(OR(LOG10(SUM(B$3:B43))=P42,P42=""),NA(),LOG10(SUM(B$3:B43)))</f>
        <v>3.1344913312464362</v>
      </c>
      <c r="Q43">
        <f>IF(OR(LOG10(SUM(C$3:C43))=Q42,Q42=""),NA(),LOG10(SUM(C$3:C43)))</f>
        <v>2.9359716923543382</v>
      </c>
      <c r="R43">
        <f>IF(OR(LOG10(SUM(D$3:D43))=R42,R42=""),NA(),LOG10(SUM(D$3:D43)))</f>
        <v>2.19191021828036</v>
      </c>
      <c r="S43">
        <f>IF(OR(LOG10(SUM(E$3:E43))=S42,S42=""),NA(),LOG10(SUM(E$3:E43)))</f>
        <v>1.3750048155306398</v>
      </c>
      <c r="T43">
        <f>IF(OR(LOG10(SUM(F$3:F43))=T42,T42=""),NA(),LOG10(SUM(F$3:F43)))</f>
        <v>1.2743426161168829</v>
      </c>
      <c r="U43">
        <f>IF(OR(LOG10(SUM(G$3:G43))=U42,U42=""),NA(),LOG10(SUM(G$3:G43)))</f>
        <v>1.4671550785422356</v>
      </c>
      <c r="V43" t="e">
        <f>IF(OR(LOG10(SUM(H$3:H43))=V42,V42=""),NA(),LOG10(SUM(H$3:H43)))</f>
        <v>#N/A</v>
      </c>
      <c r="W43" t="e">
        <f>IF(OR(LOG10(SUM(I$3:I43))=W42,W42=""),NA(),LOG10(SUM(I$3:I43)))</f>
        <v>#N/A</v>
      </c>
      <c r="X43">
        <f>IF(OR(LOG10(SUM(J$3:J43))=X42,X42=""),NA(),LOG10(SUM(J$3:J43)))</f>
        <v>2.1596465860755085</v>
      </c>
      <c r="Y43" t="e">
        <f>IF(OR(LOG10(SUM(K$3:K43))=Y42,Y42=""),NA(),LOG10(SUM(K$3:K43)))</f>
        <v>#N/A</v>
      </c>
      <c r="Z43">
        <f>IF(OR(LOG10(SUM(L$3:L43))=Z42,Z42=""),NA(),LOG10(SUM(L$3:L43)))</f>
        <v>1.738658495072807</v>
      </c>
      <c r="AA43">
        <f>IF(OR(LOG10(SUM(M$3:M43))=AA42,AA42=""),NA(),LOG10(SUM(M$3:M43)))</f>
        <v>1.670726280710469</v>
      </c>
      <c r="AB43">
        <f>IF(OR(LOG10(SUM(N$3:N43))=AB42,AB42=""),NA(),LOG10(SUM(N$3:N43)))</f>
        <v>1.245594090396378</v>
      </c>
      <c r="AD43" t="str">
        <f t="shared" si="13"/>
        <v>(41,3.13449133124644)</v>
      </c>
      <c r="AE43" t="str">
        <f t="shared" si="13"/>
        <v>(41,2.93597169235434)</v>
      </c>
      <c r="AF43" t="str">
        <f t="shared" si="13"/>
        <v>(41,2.19191021828036)</v>
      </c>
      <c r="AG43" t="str">
        <f t="shared" si="13"/>
        <v>(41,1.37500481553064)</v>
      </c>
      <c r="AH43" t="str">
        <f t="shared" si="13"/>
        <v>(41,1.27434261611688)</v>
      </c>
      <c r="AI43" t="str">
        <f t="shared" si="13"/>
        <v>(41,1.46715507854224)</v>
      </c>
      <c r="AJ43" t="str">
        <f t="shared" si="12"/>
        <v/>
      </c>
      <c r="AK43" t="str">
        <f t="shared" si="12"/>
        <v/>
      </c>
      <c r="AL43" t="str">
        <f t="shared" si="12"/>
        <v>(41,2.15964658607551)</v>
      </c>
      <c r="AM43" t="str">
        <f t="shared" si="12"/>
        <v/>
      </c>
      <c r="AN43" t="str">
        <f t="shared" si="12"/>
        <v>(41,1.73865849507281)</v>
      </c>
      <c r="AO43" t="str">
        <f t="shared" si="12"/>
        <v>(41,1.67072628071047)</v>
      </c>
      <c r="AP43" t="str">
        <f t="shared" si="12"/>
        <v>(41,1.24559409039638)</v>
      </c>
      <c r="AS43">
        <f t="shared" si="4"/>
        <v>6.8158000000000003</v>
      </c>
      <c r="AT43">
        <f t="shared" si="5"/>
        <v>1.014</v>
      </c>
      <c r="AU43">
        <f t="shared" si="6"/>
        <v>1.014</v>
      </c>
      <c r="AV43">
        <f t="shared" si="7"/>
        <v>2.4173</v>
      </c>
      <c r="AX43">
        <f>LOG10(SUM(AS$3:AS43))</f>
        <v>2.1590303093313854</v>
      </c>
      <c r="AY43">
        <f>LOG10(SUM(AT$3:AT43))</f>
        <v>1.245594090396378</v>
      </c>
      <c r="AZ43">
        <f>LOG10(SUM(AU$3:AU43))</f>
        <v>1.245594090396378</v>
      </c>
      <c r="BA43">
        <f>LOG10(SUM(AV$3:AV43))</f>
        <v>1.6417169698661249</v>
      </c>
      <c r="BC43" t="str">
        <f t="shared" si="8"/>
        <v>(41,2.15903030933139)</v>
      </c>
      <c r="BD43" t="str">
        <f t="shared" si="9"/>
        <v>(41,1.24559409039638)</v>
      </c>
      <c r="BE43" t="str">
        <f t="shared" si="10"/>
        <v>(41,1.24559409039638)</v>
      </c>
      <c r="BF43" t="str">
        <f t="shared" si="11"/>
        <v>(41,1.64171696986612)</v>
      </c>
    </row>
    <row r="44" spans="1:58">
      <c r="A44">
        <v>42</v>
      </c>
      <c r="B44">
        <f>IF(OR(Sorting!B45=0,Sorting!A45="Grand Total"),NA(),Sorting!B45)</f>
        <v>219.36670000000001</v>
      </c>
      <c r="C44">
        <f>IF(OR(Sorting!D45=0,Sorting!C45="Grand Total"),NA(),Sorting!D45)</f>
        <v>80.671899999999994</v>
      </c>
      <c r="D44">
        <f>IF(OR(Sorting!F45=0,Sorting!E45="Grand Total"),NA(),Sorting!F45)</f>
        <v>7.5688000000000004</v>
      </c>
      <c r="E44">
        <f>IF(OR(Sorting!H45=0,Sorting!G45="Grand Total"),NA(),Sorting!H45)</f>
        <v>3.5297000000000001</v>
      </c>
      <c r="F44">
        <f>IF(OR(Sorting!J45=0,Sorting!I45="Grand Total"),NA(),Sorting!J45)</f>
        <v>2.0125000000000002</v>
      </c>
      <c r="G44">
        <f>IF(OR(Sorting!L45=0,Sorting!K45="Grand Total"),NA(),Sorting!L45)</f>
        <v>3.0125000000000002</v>
      </c>
      <c r="H44" t="e">
        <f>IF(OR(Sorting!O45=0,Sorting!N45="Grand Total"),NA(),Sorting!O45)</f>
        <v>#N/A</v>
      </c>
      <c r="I44" t="e">
        <f>IF(OR(Sorting!Q45=0,Sorting!P45="Grand Total"),NA(),Sorting!Q45)</f>
        <v>#N/A</v>
      </c>
      <c r="J44">
        <f>IF(OR(Sorting!S45=0,Sorting!R45="Grand Total"),NA(),Sorting!S45)</f>
        <v>7.2263999999999999</v>
      </c>
      <c r="K44" t="e">
        <f>IF(OR(Sorting!U45=0,Sorting!T45="Grand Total"),NA(),Sorting!U45)</f>
        <v>#N/A</v>
      </c>
      <c r="L44">
        <f>IF(OR(Sorting!W45=0,Sorting!V45="Grand Total"),NA(),Sorting!W45)</f>
        <v>7.8000999999999996</v>
      </c>
      <c r="M44">
        <f>IF(OR(Sorting!Y45=0,Sorting!X45="Grand Total"),NA(),Sorting!Y45)</f>
        <v>6.3103999999999996</v>
      </c>
      <c r="N44">
        <f t="shared" si="2"/>
        <v>2.0125000000000002</v>
      </c>
      <c r="O44">
        <v>42</v>
      </c>
      <c r="P44">
        <f>IF(OR(LOG10(SUM(B$3:B44))=P43,P43=""),NA(),LOG10(SUM(B$3:B44)))</f>
        <v>3.1993032375382953</v>
      </c>
      <c r="Q44">
        <f>IF(OR(LOG10(SUM(C$3:C44))=Q43,Q43=""),NA(),LOG10(SUM(C$3:C44)))</f>
        <v>2.9747852627394837</v>
      </c>
      <c r="R44">
        <f>IF(OR(LOG10(SUM(D$3:D44))=R43,R43=""),NA(),LOG10(SUM(D$3:D44)))</f>
        <v>2.2125423553352097</v>
      </c>
      <c r="S44">
        <f>IF(OR(LOG10(SUM(E$3:E44))=S43,S43=""),NA(),LOG10(SUM(E$3:E44)))</f>
        <v>1.4352660893076084</v>
      </c>
      <c r="T44">
        <f>IF(OR(LOG10(SUM(F$3:F44))=T43,T43=""),NA(),LOG10(SUM(F$3:F44)))</f>
        <v>1.3184911547918832</v>
      </c>
      <c r="U44">
        <f>IF(OR(LOG10(SUM(G$3:G44))=U43,U43=""),NA(),LOG10(SUM(G$3:G44)))</f>
        <v>1.509631226890235</v>
      </c>
      <c r="V44" t="e">
        <f>IF(OR(LOG10(SUM(H$3:H44))=V43,V43=""),NA(),LOG10(SUM(H$3:H44)))</f>
        <v>#N/A</v>
      </c>
      <c r="W44" t="e">
        <f>IF(OR(LOG10(SUM(I$3:I44))=W43,W43=""),NA(),LOG10(SUM(I$3:I44)))</f>
        <v>#N/A</v>
      </c>
      <c r="X44">
        <f>IF(OR(LOG10(SUM(J$3:J44))=X43,X43=""),NA(),LOG10(SUM(J$3:J44)))</f>
        <v>2.1808504331981058</v>
      </c>
      <c r="Y44" t="e">
        <f>IF(OR(LOG10(SUM(K$3:K44))=Y43,Y43=""),NA(),LOG10(SUM(K$3:K44)))</f>
        <v>#N/A</v>
      </c>
      <c r="Z44">
        <f>IF(OR(LOG10(SUM(L$3:L44))=Z43,Z43=""),NA(),LOG10(SUM(L$3:L44)))</f>
        <v>1.7964681747804265</v>
      </c>
      <c r="AA44">
        <f>IF(OR(LOG10(SUM(M$3:M44))=AA43,AA43=""),NA(),LOG10(SUM(M$3:M44)))</f>
        <v>1.7256029449586245</v>
      </c>
      <c r="AB44">
        <f>IF(OR(LOG10(SUM(N$3:N44))=AB43,AB43=""),NA(),LOG10(SUM(N$3:N44)))</f>
        <v>1.2926060248540643</v>
      </c>
      <c r="AD44" t="str">
        <f t="shared" si="13"/>
        <v>(42,3.1993032375383)</v>
      </c>
      <c r="AE44" t="str">
        <f t="shared" si="13"/>
        <v>(42,2.97478526273948)</v>
      </c>
      <c r="AF44" t="str">
        <f t="shared" si="13"/>
        <v>(42,2.21254235533521)</v>
      </c>
      <c r="AG44" t="str">
        <f t="shared" si="13"/>
        <v>(42,1.43526608930761)</v>
      </c>
      <c r="AH44" t="str">
        <f t="shared" si="13"/>
        <v>(42,1.31849115479188)</v>
      </c>
      <c r="AI44" t="str">
        <f t="shared" si="13"/>
        <v>(42,1.50963122689023)</v>
      </c>
      <c r="AJ44" t="str">
        <f t="shared" si="12"/>
        <v/>
      </c>
      <c r="AK44" t="str">
        <f t="shared" si="12"/>
        <v/>
      </c>
      <c r="AL44" t="str">
        <f t="shared" si="12"/>
        <v>(42,2.18085043319811)</v>
      </c>
      <c r="AM44" t="str">
        <f t="shared" si="12"/>
        <v/>
      </c>
      <c r="AN44" t="str">
        <f t="shared" si="12"/>
        <v>(42,1.79646817478043)</v>
      </c>
      <c r="AO44" t="str">
        <f t="shared" si="12"/>
        <v>(42,1.72560294495862)</v>
      </c>
      <c r="AP44" t="str">
        <f t="shared" si="12"/>
        <v>(42,1.29260602485406)</v>
      </c>
      <c r="AS44">
        <f t="shared" si="4"/>
        <v>7.2263999999999999</v>
      </c>
      <c r="AT44">
        <f t="shared" si="5"/>
        <v>2.0125000000000002</v>
      </c>
      <c r="AU44">
        <f t="shared" si="6"/>
        <v>2.0125000000000002</v>
      </c>
      <c r="AV44">
        <f t="shared" si="7"/>
        <v>6.3103999999999996</v>
      </c>
      <c r="AX44">
        <f>LOG10(SUM(AS$3:AS44))</f>
        <v>2.180263542477729</v>
      </c>
      <c r="AY44">
        <f>LOG10(SUM(AT$3:AT44))</f>
        <v>1.2926060248540643</v>
      </c>
      <c r="AZ44">
        <f>LOG10(SUM(AU$3:AU44))</f>
        <v>1.2926060248540643</v>
      </c>
      <c r="BA44">
        <f>LOG10(SUM(AV$3:AV44))</f>
        <v>1.700140153026467</v>
      </c>
      <c r="BC44" t="str">
        <f t="shared" si="8"/>
        <v>(42,2.18026354247773)</v>
      </c>
      <c r="BD44" t="str">
        <f t="shared" si="9"/>
        <v>(42,1.29260602485406)</v>
      </c>
      <c r="BE44" t="str">
        <f t="shared" si="10"/>
        <v>(42,1.29260602485406)</v>
      </c>
      <c r="BF44" t="str">
        <f t="shared" si="11"/>
        <v>(42,1.70014015302647)</v>
      </c>
    </row>
    <row r="45" spans="1:58">
      <c r="A45">
        <v>43</v>
      </c>
      <c r="B45">
        <f>IF(OR(Sorting!B46=0,Sorting!A46="Grand Total"),NA(),Sorting!B46)</f>
        <v>245.60929999999999</v>
      </c>
      <c r="C45">
        <f>IF(OR(Sorting!D46=0,Sorting!C46="Grand Total"),NA(),Sorting!D46)</f>
        <v>81.003100000000003</v>
      </c>
      <c r="D45">
        <f>IF(OR(Sorting!F46=0,Sorting!E46="Grand Total"),NA(),Sorting!F46)</f>
        <v>7.5968</v>
      </c>
      <c r="E45">
        <f>IF(OR(Sorting!H46=0,Sorting!G46="Grand Total"),NA(),Sorting!H46)</f>
        <v>3.5531999999999999</v>
      </c>
      <c r="F45">
        <f>IF(OR(Sorting!J46=0,Sorting!I46="Grand Total"),NA(),Sorting!J46)</f>
        <v>2.3828</v>
      </c>
      <c r="G45">
        <f>IF(OR(Sorting!L46=0,Sorting!K46="Grand Total"),NA(),Sorting!L46)</f>
        <v>3.2046999999999999</v>
      </c>
      <c r="H45" t="e">
        <f>IF(OR(Sorting!O46=0,Sorting!N46="Grand Total"),NA(),Sorting!O46)</f>
        <v>#N/A</v>
      </c>
      <c r="I45" t="e">
        <f>IF(OR(Sorting!Q46=0,Sorting!P46="Grand Total"),NA(),Sorting!Q46)</f>
        <v>#N/A</v>
      </c>
      <c r="J45">
        <f>IF(OR(Sorting!S46=0,Sorting!R46="Grand Total"),NA(),Sorting!S46)</f>
        <v>7.2660999999999998</v>
      </c>
      <c r="K45" t="e">
        <f>IF(OR(Sorting!U46=0,Sorting!T46="Grand Total"),NA(),Sorting!U46)</f>
        <v>#N/A</v>
      </c>
      <c r="L45">
        <f>IF(OR(Sorting!W46=0,Sorting!V46="Grand Total"),NA(),Sorting!W46)</f>
        <v>9.9434000000000005</v>
      </c>
      <c r="M45">
        <f>IF(OR(Sorting!Y46=0,Sorting!X46="Grand Total"),NA(),Sorting!Y46)</f>
        <v>6.3973000000000004</v>
      </c>
      <c r="N45">
        <f t="shared" si="2"/>
        <v>2.3828</v>
      </c>
      <c r="O45">
        <v>43</v>
      </c>
      <c r="P45">
        <f>IF(OR(LOG10(SUM(B$3:B45))=P44,P44=""),NA(),LOG10(SUM(B$3:B45)))</f>
        <v>3.2619671157837242</v>
      </c>
      <c r="Q45">
        <f>IF(OR(LOG10(SUM(C$3:C45))=Q44,Q44=""),NA(),LOG10(SUM(C$3:C45)))</f>
        <v>3.0105532070969825</v>
      </c>
      <c r="R45">
        <f>IF(OR(LOG10(SUM(D$3:D45))=R44,R44=""),NA(),LOG10(SUM(D$3:D45)))</f>
        <v>2.2323098403279875</v>
      </c>
      <c r="S45">
        <f>IF(OR(LOG10(SUM(E$3:E45))=S44,S44=""),NA(),LOG10(SUM(E$3:E45)))</f>
        <v>1.4885070028429377</v>
      </c>
      <c r="T45">
        <f>IF(OR(LOG10(SUM(F$3:F45))=T44,T44=""),NA(),LOG10(SUM(F$3:F45)))</f>
        <v>1.3655497551439935</v>
      </c>
      <c r="U45">
        <f>IF(OR(LOG10(SUM(G$3:G45))=U44,U44=""),NA(),LOG10(SUM(G$3:G45)))</f>
        <v>1.5506758738948914</v>
      </c>
      <c r="V45" t="e">
        <f>IF(OR(LOG10(SUM(H$3:H45))=V44,V44=""),NA(),LOG10(SUM(H$3:H45)))</f>
        <v>#N/A</v>
      </c>
      <c r="W45" t="e">
        <f>IF(OR(LOG10(SUM(I$3:I45))=W44,W44=""),NA(),LOG10(SUM(I$3:I45)))</f>
        <v>#N/A</v>
      </c>
      <c r="X45">
        <f>IF(OR(LOG10(SUM(J$3:J45))=X44,X44=""),NA(),LOG10(SUM(J$3:J45)))</f>
        <v>2.2011755503074162</v>
      </c>
      <c r="Y45" t="e">
        <f>IF(OR(LOG10(SUM(K$3:K45))=Y44,Y44=""),NA(),LOG10(SUM(K$3:K45)))</f>
        <v>#N/A</v>
      </c>
      <c r="Z45">
        <f>IF(OR(LOG10(SUM(L$3:L45))=Z44,Z44=""),NA(),LOG10(SUM(L$3:L45)))</f>
        <v>1.8605063005098124</v>
      </c>
      <c r="AA45">
        <f>IF(OR(LOG10(SUM(M$3:M45))=AA44,AA44=""),NA(),LOG10(SUM(M$3:M45)))</f>
        <v>1.7749510432078681</v>
      </c>
      <c r="AB45">
        <f>IF(OR(LOG10(SUM(N$3:N45))=AB44,AB44=""),NA(),LOG10(SUM(N$3:N45)))</f>
        <v>1.3423950430212366</v>
      </c>
      <c r="AD45" t="str">
        <f t="shared" si="13"/>
        <v>(43,3.26196711578372)</v>
      </c>
      <c r="AE45" t="str">
        <f t="shared" si="13"/>
        <v>(43,3.01055320709698)</v>
      </c>
      <c r="AF45" t="str">
        <f t="shared" si="13"/>
        <v>(43,2.23230984032799)</v>
      </c>
      <c r="AG45" t="str">
        <f t="shared" si="13"/>
        <v>(43,1.48850700284294)</v>
      </c>
      <c r="AH45" t="str">
        <f t="shared" si="13"/>
        <v>(43,1.36554975514399)</v>
      </c>
      <c r="AI45" t="str">
        <f t="shared" si="13"/>
        <v>(43,1.55067587389489)</v>
      </c>
      <c r="AJ45" t="str">
        <f t="shared" si="12"/>
        <v/>
      </c>
      <c r="AK45" t="str">
        <f t="shared" si="12"/>
        <v/>
      </c>
      <c r="AL45" t="str">
        <f t="shared" si="12"/>
        <v>(43,2.20117555030742)</v>
      </c>
      <c r="AM45" t="str">
        <f t="shared" si="12"/>
        <v/>
      </c>
      <c r="AN45" t="str">
        <f t="shared" si="12"/>
        <v>(43,1.86050630050981)</v>
      </c>
      <c r="AO45" t="str">
        <f t="shared" si="12"/>
        <v>(43,1.77495104320787)</v>
      </c>
      <c r="AP45" t="str">
        <f t="shared" si="12"/>
        <v>(43,1.34239504302124)</v>
      </c>
      <c r="AS45">
        <f t="shared" si="4"/>
        <v>7.2660999999999998</v>
      </c>
      <c r="AT45">
        <f t="shared" si="5"/>
        <v>2.3828</v>
      </c>
      <c r="AU45">
        <f t="shared" si="6"/>
        <v>2.3828</v>
      </c>
      <c r="AV45">
        <f t="shared" si="7"/>
        <v>6.3973000000000004</v>
      </c>
      <c r="AX45">
        <f>LOG10(SUM(AS$3:AS45))</f>
        <v>2.2006155107509522</v>
      </c>
      <c r="AY45">
        <f>LOG10(SUM(AT$3:AT45))</f>
        <v>1.3423950430212366</v>
      </c>
      <c r="AZ45">
        <f>LOG10(SUM(AU$3:AU45))</f>
        <v>1.3423950430212366</v>
      </c>
      <c r="BA45">
        <f>LOG10(SUM(AV$3:AV45))</f>
        <v>1.7522958867385354</v>
      </c>
      <c r="BC45" t="str">
        <f t="shared" si="8"/>
        <v>(43,2.20061551075095)</v>
      </c>
      <c r="BD45" t="str">
        <f t="shared" si="9"/>
        <v>(43,1.34239504302124)</v>
      </c>
      <c r="BE45" t="str">
        <f t="shared" si="10"/>
        <v>(43,1.34239504302124)</v>
      </c>
      <c r="BF45" t="str">
        <f t="shared" si="11"/>
        <v>(43,1.75229588673854)</v>
      </c>
    </row>
    <row r="46" spans="1:58">
      <c r="A46">
        <v>44</v>
      </c>
      <c r="B46">
        <f>IF(OR(Sorting!B47=0,Sorting!A47="Grand Total"),NA(),Sorting!B47)</f>
        <v>246.68190000000001</v>
      </c>
      <c r="C46">
        <f>IF(OR(Sorting!D47=0,Sorting!C47="Grand Total"),NA(),Sorting!D47)</f>
        <v>81.114099999999993</v>
      </c>
      <c r="D46">
        <f>IF(OR(Sorting!F47=0,Sorting!E47="Grand Total"),NA(),Sorting!F47)</f>
        <v>8.4421999999999997</v>
      </c>
      <c r="E46">
        <f>IF(OR(Sorting!H47=0,Sorting!G47="Grand Total"),NA(),Sorting!H47)</f>
        <v>220.12190000000001</v>
      </c>
      <c r="F46">
        <f>IF(OR(Sorting!J47=0,Sorting!I47="Grand Total"),NA(),Sorting!J47)</f>
        <v>51.774999999999999</v>
      </c>
      <c r="G46">
        <f>IF(OR(Sorting!L47=0,Sorting!K47="Grand Total"),NA(),Sorting!L47)</f>
        <v>8.3000000000000007</v>
      </c>
      <c r="H46" t="e">
        <f>IF(OR(Sorting!O47=0,Sorting!N47="Grand Total"),NA(),Sorting!O47)</f>
        <v>#N/A</v>
      </c>
      <c r="I46" t="e">
        <f>IF(OR(Sorting!Q47=0,Sorting!P47="Grand Total"),NA(),Sorting!Q47)</f>
        <v>#N/A</v>
      </c>
      <c r="J46">
        <f>IF(OR(Sorting!S47=0,Sorting!R47="Grand Total"),NA(),Sorting!S47)</f>
        <v>7.8570000000000002</v>
      </c>
      <c r="K46" t="e">
        <f>IF(OR(Sorting!U47=0,Sorting!T47="Grand Total"),NA(),Sorting!U47)</f>
        <v>#N/A</v>
      </c>
      <c r="L46">
        <f>IF(OR(Sorting!W47=0,Sorting!V47="Grand Total"),NA(),Sorting!W47)</f>
        <v>43.883299999999998</v>
      </c>
      <c r="M46">
        <f>IF(OR(Sorting!Y47=0,Sorting!X47="Grand Total"),NA(),Sorting!Y47)</f>
        <v>6.649</v>
      </c>
      <c r="N46">
        <f t="shared" si="2"/>
        <v>6.649</v>
      </c>
      <c r="O46">
        <v>44</v>
      </c>
      <c r="P46">
        <f>IF(OR(LOG10(SUM(B$3:B46))=P45,P45=""),NA(),LOG10(SUM(B$3:B46)))</f>
        <v>3.316943521573116</v>
      </c>
      <c r="Q46">
        <f>IF(OR(LOG10(SUM(C$3:C46))=Q45,Q45=""),NA(),LOG10(SUM(C$3:C46)))</f>
        <v>3.0436417872371138</v>
      </c>
      <c r="R46">
        <f>IF(OR(LOG10(SUM(D$3:D46))=R45,R45=""),NA(),LOG10(SUM(D$3:D46)))</f>
        <v>2.2532706262904494</v>
      </c>
      <c r="S46">
        <f>IF(OR(LOG10(SUM(E$3:E46))=S45,S45=""),NA(),LOG10(SUM(E$3:E46)))</f>
        <v>2.3995332018900677</v>
      </c>
      <c r="T46">
        <f>IF(OR(LOG10(SUM(F$3:F46))=T45,T45=""),NA(),LOG10(SUM(F$3:F46)))</f>
        <v>1.8749355893398796</v>
      </c>
      <c r="U46">
        <f>IF(OR(LOG10(SUM(G$3:G46))=U45,U45=""),NA(),LOG10(SUM(G$3:G46)))</f>
        <v>1.6418368625725686</v>
      </c>
      <c r="V46" t="e">
        <f>IF(OR(LOG10(SUM(H$3:H46))=V45,V45=""),NA(),LOG10(SUM(H$3:H46)))</f>
        <v>#N/A</v>
      </c>
      <c r="W46" t="e">
        <f>IF(OR(LOG10(SUM(I$3:I46))=W45,W45=""),NA(),LOG10(SUM(I$3:I46)))</f>
        <v>#N/A</v>
      </c>
      <c r="X46">
        <f>IF(OR(LOG10(SUM(J$3:J46))=X45,X45=""),NA(),LOG10(SUM(J$3:J46)))</f>
        <v>2.2221332929851161</v>
      </c>
      <c r="Y46" t="e">
        <f>IF(OR(LOG10(SUM(K$3:K46))=Y45,Y45=""),NA(),LOG10(SUM(K$3:K46)))</f>
        <v>#N/A</v>
      </c>
      <c r="Z46">
        <f>IF(OR(LOG10(SUM(L$3:L46))=Z45,Z45=""),NA(),LOG10(SUM(L$3:L46)))</f>
        <v>2.0659955122268054</v>
      </c>
      <c r="AA46">
        <f>IF(OR(LOG10(SUM(M$3:M46))=AA45,AA45=""),NA(),LOG10(SUM(M$3:M46)))</f>
        <v>1.820913748746712</v>
      </c>
      <c r="AB46">
        <f>IF(OR(LOG10(SUM(N$3:N46))=AB45,AB45=""),NA(),LOG10(SUM(N$3:N46)))</f>
        <v>1.4570882440899415</v>
      </c>
      <c r="AD46" t="str">
        <f t="shared" si="13"/>
        <v>(44,3.31694352157312)</v>
      </c>
      <c r="AE46" t="str">
        <f t="shared" si="13"/>
        <v>(44,3.04364178723711)</v>
      </c>
      <c r="AF46" t="str">
        <f t="shared" si="13"/>
        <v>(44,2.25327062629045)</v>
      </c>
      <c r="AG46" t="str">
        <f t="shared" si="13"/>
        <v>(44,2.39953320189007)</v>
      </c>
      <c r="AH46" t="str">
        <f t="shared" si="13"/>
        <v>(44,1.87493558933988)</v>
      </c>
      <c r="AI46" t="str">
        <f t="shared" si="13"/>
        <v>(44,1.64183686257257)</v>
      </c>
      <c r="AJ46" t="str">
        <f t="shared" si="12"/>
        <v/>
      </c>
      <c r="AK46" t="str">
        <f t="shared" si="12"/>
        <v/>
      </c>
      <c r="AL46" t="str">
        <f t="shared" si="12"/>
        <v>(44,2.22213329298512)</v>
      </c>
      <c r="AM46" t="str">
        <f t="shared" si="12"/>
        <v/>
      </c>
      <c r="AN46" t="str">
        <f t="shared" si="12"/>
        <v>(44,2.06599551222681)</v>
      </c>
      <c r="AO46" t="str">
        <f t="shared" si="12"/>
        <v>(44,1.82091374874671)</v>
      </c>
      <c r="AP46" t="str">
        <f t="shared" si="12"/>
        <v>(44,1.45708824408994)</v>
      </c>
      <c r="AS46">
        <f t="shared" si="4"/>
        <v>7.8570000000000002</v>
      </c>
      <c r="AT46">
        <f t="shared" si="5"/>
        <v>6.649</v>
      </c>
      <c r="AU46">
        <f t="shared" si="6"/>
        <v>8.3000000000000007</v>
      </c>
      <c r="AV46">
        <f t="shared" si="7"/>
        <v>6.649</v>
      </c>
      <c r="AX46">
        <f>LOG10(SUM(AS$3:AS46))</f>
        <v>2.2215996537378175</v>
      </c>
      <c r="AY46">
        <f>LOG10(SUM(AT$3:AT46))</f>
        <v>1.4570882440899415</v>
      </c>
      <c r="AZ46">
        <f>LOG10(SUM(AU$3:AU46))</f>
        <v>1.4814225616270051</v>
      </c>
      <c r="BA46">
        <f>LOG10(SUM(AV$3:AV46))</f>
        <v>1.8005878701989042</v>
      </c>
      <c r="BC46" t="str">
        <f t="shared" si="8"/>
        <v>(44,2.22159965373782)</v>
      </c>
      <c r="BD46" t="str">
        <f t="shared" si="9"/>
        <v>(44,1.45708824408994)</v>
      </c>
      <c r="BE46" t="str">
        <f t="shared" si="10"/>
        <v>(44,1.48142256162701)</v>
      </c>
      <c r="BF46" t="str">
        <f t="shared" si="11"/>
        <v>(44,1.8005878701989)</v>
      </c>
    </row>
    <row r="47" spans="1:58">
      <c r="A47">
        <v>45</v>
      </c>
      <c r="B47">
        <f>IF(OR(Sorting!B48=0,Sorting!A48="Grand Total"),NA(),Sorting!B48)</f>
        <v>246.70349999999999</v>
      </c>
      <c r="C47">
        <f>IF(OR(Sorting!D48=0,Sorting!C48="Grand Total"),NA(),Sorting!D48)</f>
        <v>81.174999999999997</v>
      </c>
      <c r="D47">
        <f>IF(OR(Sorting!F48=0,Sorting!E48="Grand Total"),NA(),Sorting!F48)</f>
        <v>8.6187000000000005</v>
      </c>
      <c r="E47">
        <f>IF(OR(Sorting!H48=0,Sorting!G48="Grand Total"),NA(),Sorting!H48)</f>
        <v>347.08280000000002</v>
      </c>
      <c r="F47">
        <f>IF(OR(Sorting!J48=0,Sorting!I48="Grand Total"),NA(),Sorting!J48)</f>
        <v>52.426600000000001</v>
      </c>
      <c r="G47">
        <f>IF(OR(Sorting!L48=0,Sorting!K48="Grand Total"),NA(),Sorting!L48)</f>
        <v>8.3234999999999992</v>
      </c>
      <c r="H47" t="e">
        <f>IF(OR(Sorting!O48=0,Sorting!N48="Grand Total"),NA(),Sorting!O48)</f>
        <v>#N/A</v>
      </c>
      <c r="I47" t="e">
        <f>IF(OR(Sorting!Q48=0,Sorting!P48="Grand Total"),NA(),Sorting!Q48)</f>
        <v>#N/A</v>
      </c>
      <c r="J47">
        <f>IF(OR(Sorting!S48=0,Sorting!R48="Grand Total"),NA(),Sorting!S48)</f>
        <v>7.9222999999999999</v>
      </c>
      <c r="K47" t="e">
        <f>IF(OR(Sorting!U48=0,Sorting!T48="Grand Total"),NA(),Sorting!U48)</f>
        <v>#N/A</v>
      </c>
      <c r="L47">
        <f>IF(OR(Sorting!W48=0,Sorting!V48="Grand Total"),NA(),Sorting!W48)</f>
        <v>45.303800000000003</v>
      </c>
      <c r="M47">
        <f>IF(OR(Sorting!Y48=0,Sorting!X48="Grand Total"),NA(),Sorting!Y48)</f>
        <v>6.6676000000000002</v>
      </c>
      <c r="N47">
        <f t="shared" si="2"/>
        <v>6.6676000000000002</v>
      </c>
      <c r="O47">
        <v>45</v>
      </c>
      <c r="P47">
        <f>IF(OR(LOG10(SUM(B$3:B47))=P46,P46=""),NA(),LOG10(SUM(B$3:B47)))</f>
        <v>3.3657401020100202</v>
      </c>
      <c r="Q47">
        <f>IF(OR(LOG10(SUM(C$3:C47))=Q46,Q46=""),NA(),LOG10(SUM(C$3:C47)))</f>
        <v>3.0744091534835714</v>
      </c>
      <c r="R47">
        <f>IF(OR(LOG10(SUM(D$3:D47))=R46,R46=""),NA(),LOG10(SUM(D$3:D47)))</f>
        <v>2.2736745433319077</v>
      </c>
      <c r="S47">
        <f>IF(OR(LOG10(SUM(E$3:E47))=S46,S46=""),NA(),LOG10(SUM(E$3:E47)))</f>
        <v>2.7767023459787814</v>
      </c>
      <c r="T47">
        <f>IF(OR(LOG10(SUM(F$3:F47))=T46,T46=""),NA(),LOG10(SUM(F$3:F47)))</f>
        <v>2.1051861313120357</v>
      </c>
      <c r="U47">
        <f>IF(OR(LOG10(SUM(G$3:G47))=U46,U46=""),NA(),LOG10(SUM(G$3:G47)))</f>
        <v>1.7173384153428546</v>
      </c>
      <c r="V47" t="e">
        <f>IF(OR(LOG10(SUM(H$3:H47))=V46,V46=""),NA(),LOG10(SUM(H$3:H47)))</f>
        <v>#N/A</v>
      </c>
      <c r="W47" t="e">
        <f>IF(OR(LOG10(SUM(I$3:I47))=W46,W46=""),NA(),LOG10(SUM(I$3:I47)))</f>
        <v>#N/A</v>
      </c>
      <c r="X47">
        <f>IF(OR(LOG10(SUM(J$3:J47))=X46,X46=""),NA(),LOG10(SUM(J$3:J47)))</f>
        <v>2.2422884302600079</v>
      </c>
      <c r="Y47" t="e">
        <f>IF(OR(LOG10(SUM(K$3:K47))=Y46,Y46=""),NA(),LOG10(SUM(K$3:K47)))</f>
        <v>#N/A</v>
      </c>
      <c r="Z47">
        <f>IF(OR(LOG10(SUM(L$3:L47))=Z46,Z46=""),NA(),LOG10(SUM(L$3:L47)))</f>
        <v>2.2087508422062174</v>
      </c>
      <c r="AA47">
        <f>IF(OR(LOG10(SUM(M$3:M47))=AA46,AA46=""),NA(),LOG10(SUM(M$3:M47)))</f>
        <v>1.8625851231060024</v>
      </c>
      <c r="AB47">
        <f>IF(OR(LOG10(SUM(N$3:N47))=AB46,AB46=""),NA(),LOG10(SUM(N$3:N47)))</f>
        <v>1.5479616701270538</v>
      </c>
      <c r="AD47" t="str">
        <f t="shared" si="13"/>
        <v>(45,3.36574010201002)</v>
      </c>
      <c r="AE47" t="str">
        <f t="shared" si="13"/>
        <v>(45,3.07440915348357)</v>
      </c>
      <c r="AF47" t="str">
        <f t="shared" si="13"/>
        <v>(45,2.27367454333191)</v>
      </c>
      <c r="AG47" t="str">
        <f t="shared" si="13"/>
        <v>(45,2.77670234597878)</v>
      </c>
      <c r="AH47" t="str">
        <f t="shared" si="13"/>
        <v>(45,2.10518613131204)</v>
      </c>
      <c r="AI47" t="str">
        <f t="shared" si="13"/>
        <v>(45,1.71733841534285)</v>
      </c>
      <c r="AJ47" t="str">
        <f t="shared" si="12"/>
        <v/>
      </c>
      <c r="AK47" t="str">
        <f t="shared" si="12"/>
        <v/>
      </c>
      <c r="AL47" t="str">
        <f t="shared" si="12"/>
        <v>(45,2.24228843026001)</v>
      </c>
      <c r="AM47" t="str">
        <f t="shared" si="12"/>
        <v/>
      </c>
      <c r="AN47" t="str">
        <f t="shared" si="12"/>
        <v>(45,2.20875084220622)</v>
      </c>
      <c r="AO47" t="str">
        <f t="shared" si="12"/>
        <v>(45,1.862585123106)</v>
      </c>
      <c r="AP47" t="str">
        <f t="shared" si="12"/>
        <v>(45,1.54796167012705)</v>
      </c>
      <c r="AS47">
        <f t="shared" si="4"/>
        <v>7.9222999999999999</v>
      </c>
      <c r="AT47">
        <f t="shared" si="5"/>
        <v>6.6676000000000002</v>
      </c>
      <c r="AU47">
        <f t="shared" si="6"/>
        <v>8.3234999999999992</v>
      </c>
      <c r="AV47">
        <f t="shared" si="7"/>
        <v>6.6676000000000002</v>
      </c>
      <c r="AX47">
        <f>LOG10(SUM(AS$3:AS47))</f>
        <v>2.241779004946844</v>
      </c>
      <c r="AY47">
        <f>LOG10(SUM(AT$3:AT47))</f>
        <v>1.5479616701270538</v>
      </c>
      <c r="AZ47">
        <f>LOG10(SUM(AU$3:AU47))</f>
        <v>1.586835883985503</v>
      </c>
      <c r="BA47">
        <f>LOG10(SUM(AV$3:AV47))</f>
        <v>1.8441589493499151</v>
      </c>
      <c r="BC47" t="str">
        <f t="shared" si="8"/>
        <v>(45,2.24177900494684)</v>
      </c>
      <c r="BD47" t="str">
        <f t="shared" si="9"/>
        <v>(45,1.54796167012705)</v>
      </c>
      <c r="BE47" t="str">
        <f t="shared" si="10"/>
        <v>(45,1.5868358839855)</v>
      </c>
      <c r="BF47" t="str">
        <f t="shared" si="11"/>
        <v>(45,1.84415894934992)</v>
      </c>
    </row>
    <row r="48" spans="1:58">
      <c r="A48">
        <v>46</v>
      </c>
      <c r="B48" t="e">
        <f>IF(OR(Sorting!B49=0,Sorting!A49="Grand Total"),NA(),Sorting!B49)</f>
        <v>#N/A</v>
      </c>
      <c r="C48">
        <f>IF(OR(Sorting!D49=0,Sorting!C49="Grand Total"),NA(),Sorting!D49)</f>
        <v>81.595299999999995</v>
      </c>
      <c r="D48">
        <f>IF(OR(Sorting!F49=0,Sorting!E49="Grand Total"),NA(),Sorting!F49)</f>
        <v>9.0124999999999993</v>
      </c>
      <c r="E48">
        <f>IF(OR(Sorting!H49=0,Sorting!G49="Grand Total"),NA(),Sorting!H49)</f>
        <v>347.6078</v>
      </c>
      <c r="F48">
        <f>IF(OR(Sorting!J49=0,Sorting!I49="Grand Total"),NA(),Sorting!J49)</f>
        <v>89.751599999999996</v>
      </c>
      <c r="G48">
        <f>IF(OR(Sorting!L49=0,Sorting!K49="Grand Total"),NA(),Sorting!L49)</f>
        <v>8.6593999999999998</v>
      </c>
      <c r="H48" t="e">
        <f>IF(OR(Sorting!O49=0,Sorting!N49="Grand Total"),NA(),Sorting!O49)</f>
        <v>#N/A</v>
      </c>
      <c r="I48" t="e">
        <f>IF(OR(Sorting!Q49=0,Sorting!P49="Grand Total"),NA(),Sorting!Q49)</f>
        <v>#N/A</v>
      </c>
      <c r="J48">
        <f>IF(OR(Sorting!S49=0,Sorting!R49="Grand Total"),NA(),Sorting!S49)</f>
        <v>8.3064</v>
      </c>
      <c r="K48" t="e">
        <f>IF(OR(Sorting!U49=0,Sorting!T49="Grand Total"),NA(),Sorting!U49)</f>
        <v>#N/A</v>
      </c>
      <c r="L48">
        <f>IF(OR(Sorting!W49=0,Sorting!V49="Grand Total"),NA(),Sorting!W49)</f>
        <v>154.6217</v>
      </c>
      <c r="M48">
        <f>IF(OR(Sorting!Y49=0,Sorting!X49="Grand Total"),NA(),Sorting!Y49)</f>
        <v>7.6894999999999998</v>
      </c>
      <c r="N48">
        <f t="shared" si="2"/>
        <v>7.6894999999999998</v>
      </c>
      <c r="O48">
        <v>46</v>
      </c>
      <c r="P48" t="e">
        <f>IF(OR(LOG10(SUM(B$3:B48))=P47,P47=""),NA(),LOG10(SUM(B$3:B48)))</f>
        <v>#N/A</v>
      </c>
      <c r="Q48">
        <f>IF(OR(LOG10(SUM(C$3:C48))=Q47,Q47=""),NA(),LOG10(SUM(C$3:C48)))</f>
        <v>3.1032842061684334</v>
      </c>
      <c r="R48">
        <f>IF(OR(LOG10(SUM(D$3:D48))=R47,R47=""),NA(),LOG10(SUM(D$3:D48)))</f>
        <v>2.2940325970855842</v>
      </c>
      <c r="S48">
        <f>IF(OR(LOG10(SUM(E$3:E48))=S47,S47=""),NA(),LOG10(SUM(E$3:E48)))</f>
        <v>2.9757117807409017</v>
      </c>
      <c r="T48">
        <f>IF(OR(LOG10(SUM(F$3:F48))=T47,T47=""),NA(),LOG10(SUM(F$3:F48)))</f>
        <v>2.336772833338514</v>
      </c>
      <c r="U48">
        <f>IF(OR(LOG10(SUM(G$3:G48))=U47,U47=""),NA(),LOG10(SUM(G$3:G48)))</f>
        <v>1.7840428454672133</v>
      </c>
      <c r="V48" t="e">
        <f>IF(OR(LOG10(SUM(H$3:H48))=V47,V47=""),NA(),LOG10(SUM(H$3:H48)))</f>
        <v>#N/A</v>
      </c>
      <c r="W48" t="e">
        <f>IF(OR(LOG10(SUM(I$3:I48))=W47,W47=""),NA(),LOG10(SUM(I$3:I48)))</f>
        <v>#N/A</v>
      </c>
      <c r="X48">
        <f>IF(OR(LOG10(SUM(J$3:J48))=X47,X47=""),NA(),LOG10(SUM(J$3:J48)))</f>
        <v>2.2624620062851224</v>
      </c>
      <c r="Y48" t="e">
        <f>IF(OR(LOG10(SUM(K$3:K48))=Y47,Y47=""),NA(),LOG10(SUM(K$3:K48)))</f>
        <v>#N/A</v>
      </c>
      <c r="Z48">
        <f>IF(OR(LOG10(SUM(L$3:L48))=Z47,Z47=""),NA(),LOG10(SUM(L$3:L48)))</f>
        <v>2.5001498543617497</v>
      </c>
      <c r="AA48">
        <f>IF(OR(LOG10(SUM(M$3:M48))=AA47,AA47=""),NA(),LOG10(SUM(M$3:M48)))</f>
        <v>1.9061496457850424</v>
      </c>
      <c r="AB48">
        <f>IF(OR(LOG10(SUM(N$3:N48))=AB47,AB47=""),NA(),LOG10(SUM(N$3:N48)))</f>
        <v>1.633515922382377</v>
      </c>
      <c r="AD48" t="str">
        <f t="shared" si="13"/>
        <v/>
      </c>
      <c r="AE48" t="str">
        <f t="shared" si="13"/>
        <v>(46,3.10328420616843)</v>
      </c>
      <c r="AF48" t="str">
        <f t="shared" si="13"/>
        <v>(46,2.29403259708558)</v>
      </c>
      <c r="AG48" t="str">
        <f t="shared" si="13"/>
        <v>(46,2.9757117807409)</v>
      </c>
      <c r="AH48" t="str">
        <f t="shared" si="13"/>
        <v>(46,2.33677283333851)</v>
      </c>
      <c r="AI48" t="str">
        <f t="shared" si="13"/>
        <v>(46,1.78404284546721)</v>
      </c>
      <c r="AJ48" t="str">
        <f t="shared" si="12"/>
        <v/>
      </c>
      <c r="AK48" t="str">
        <f t="shared" si="12"/>
        <v/>
      </c>
      <c r="AL48" t="str">
        <f t="shared" si="12"/>
        <v>(46,2.26246200628512)</v>
      </c>
      <c r="AM48" t="str">
        <f t="shared" si="12"/>
        <v/>
      </c>
      <c r="AN48" t="str">
        <f t="shared" si="12"/>
        <v>(46,2.50014985436175)</v>
      </c>
      <c r="AO48" t="str">
        <f t="shared" si="12"/>
        <v>(46,1.90614964578504)</v>
      </c>
      <c r="AP48" t="str">
        <f t="shared" si="12"/>
        <v>(46,1.63351592238238)</v>
      </c>
      <c r="AS48">
        <f t="shared" si="4"/>
        <v>8.3064</v>
      </c>
      <c r="AT48">
        <f t="shared" si="5"/>
        <v>7.6894999999999998</v>
      </c>
      <c r="AU48">
        <f t="shared" si="6"/>
        <v>8.6593999999999998</v>
      </c>
      <c r="AV48">
        <f t="shared" si="7"/>
        <v>7.6894999999999998</v>
      </c>
      <c r="AX48">
        <f>LOG10(SUM(AS$3:AS48))</f>
        <v>2.2619757162394762</v>
      </c>
      <c r="AY48">
        <f>LOG10(SUM(AT$3:AT48))</f>
        <v>1.633515922382377</v>
      </c>
      <c r="AZ48">
        <f>LOG10(SUM(AU$3:AU48))</f>
        <v>1.6746912460328709</v>
      </c>
      <c r="BA48">
        <f>LOG10(SUM(AV$3:AV48))</f>
        <v>1.8895162750215566</v>
      </c>
      <c r="BC48" t="str">
        <f t="shared" si="8"/>
        <v>(46,2.26197571623948)</v>
      </c>
      <c r="BD48" t="str">
        <f t="shared" si="9"/>
        <v>(46,1.63351592238238)</v>
      </c>
      <c r="BE48" t="str">
        <f t="shared" si="10"/>
        <v>(46,1.67469124603287)</v>
      </c>
      <c r="BF48" t="str">
        <f t="shared" si="11"/>
        <v>(46,1.88951627502156)</v>
      </c>
    </row>
    <row r="49" spans="1:58">
      <c r="A49">
        <v>47</v>
      </c>
      <c r="B49" t="e">
        <f>IF(OR(Sorting!B50=0,Sorting!A50="Grand Total"),NA(),Sorting!B50)</f>
        <v>#N/A</v>
      </c>
      <c r="C49">
        <f>IF(OR(Sorting!D50=0,Sorting!C50="Grand Total"),NA(),Sorting!D50)</f>
        <v>82.393799999999999</v>
      </c>
      <c r="D49">
        <f>IF(OR(Sorting!F50=0,Sorting!E50="Grand Total"),NA(),Sorting!F50)</f>
        <v>9.1219000000000001</v>
      </c>
      <c r="E49" t="e">
        <f>IF(OR(Sorting!H50=0,Sorting!G50="Grand Total"),NA(),Sorting!H50)</f>
        <v>#N/A</v>
      </c>
      <c r="F49">
        <f>IF(OR(Sorting!J50=0,Sorting!I50="Grand Total"),NA(),Sorting!J50)</f>
        <v>91.165599999999998</v>
      </c>
      <c r="G49">
        <f>IF(OR(Sorting!L50=0,Sorting!K50="Grand Total"),NA(),Sorting!L50)</f>
        <v>8.7608999999999995</v>
      </c>
      <c r="H49" t="e">
        <f>IF(OR(Sorting!O50=0,Sorting!N50="Grand Total"),NA(),Sorting!O50)</f>
        <v>#N/A</v>
      </c>
      <c r="I49" t="e">
        <f>IF(OR(Sorting!Q50=0,Sorting!P50="Grand Total"),NA(),Sorting!Q50)</f>
        <v>#N/A</v>
      </c>
      <c r="J49">
        <f>IF(OR(Sorting!S50=0,Sorting!R50="Grand Total"),NA(),Sorting!S50)</f>
        <v>8.3442000000000007</v>
      </c>
      <c r="K49" t="e">
        <f>IF(OR(Sorting!U50=0,Sorting!T50="Grand Total"),NA(),Sorting!U50)</f>
        <v>#N/A</v>
      </c>
      <c r="L49">
        <f>IF(OR(Sorting!W50=0,Sorting!V50="Grand Total"),NA(),Sorting!W50)</f>
        <v>155.48929999999999</v>
      </c>
      <c r="M49">
        <f>IF(OR(Sorting!Y50=0,Sorting!X50="Grand Total"),NA(),Sorting!Y50)</f>
        <v>7.6959999999999997</v>
      </c>
      <c r="N49">
        <f t="shared" si="2"/>
        <v>7.6959999999999997</v>
      </c>
      <c r="O49">
        <v>47</v>
      </c>
      <c r="P49" t="e">
        <f>IF(OR(LOG10(SUM(B$3:B49))=P48,P48=""),NA(),LOG10(SUM(B$3:B49)))</f>
        <v>#N/A</v>
      </c>
      <c r="Q49">
        <f>IF(OR(LOG10(SUM(C$3:C49))=Q48,Q48=""),NA(),LOG10(SUM(C$3:C49)))</f>
        <v>3.1306153252215001</v>
      </c>
      <c r="R49">
        <f>IF(OR(LOG10(SUM(D$3:D49))=R48,R48=""),NA(),LOG10(SUM(D$3:D49)))</f>
        <v>2.3137097073533042</v>
      </c>
      <c r="S49" t="e">
        <f>IF(OR(LOG10(SUM(E$3:E49))=S48,S48=""),NA(),LOG10(SUM(E$3:E49)))</f>
        <v>#N/A</v>
      </c>
      <c r="T49">
        <f>IF(OR(LOG10(SUM(F$3:F49))=T48,T48=""),NA(),LOG10(SUM(F$3:F49)))</f>
        <v>2.4890046553267711</v>
      </c>
      <c r="U49">
        <f>IF(OR(LOG10(SUM(G$3:G49))=U48,U48=""),NA(),LOG10(SUM(G$3:G49)))</f>
        <v>1.842486921067124</v>
      </c>
      <c r="V49" t="e">
        <f>IF(OR(LOG10(SUM(H$3:H49))=V48,V48=""),NA(),LOG10(SUM(H$3:H49)))</f>
        <v>#N/A</v>
      </c>
      <c r="W49" t="e">
        <f>IF(OR(LOG10(SUM(I$3:I49))=W48,W48=""),NA(),LOG10(SUM(I$3:I49)))</f>
        <v>#N/A</v>
      </c>
      <c r="X49">
        <f>IF(OR(LOG10(SUM(J$3:J49))=X48,X48=""),NA(),LOG10(SUM(J$3:J49)))</f>
        <v>2.2818257429910775</v>
      </c>
      <c r="Y49" t="e">
        <f>IF(OR(LOG10(SUM(K$3:K49))=Y48,Y48=""),NA(),LOG10(SUM(K$3:K49)))</f>
        <v>#N/A</v>
      </c>
      <c r="Z49">
        <f>IF(OR(LOG10(SUM(L$3:L49))=Z48,Z48=""),NA(),LOG10(SUM(L$3:L49)))</f>
        <v>2.6737820531233401</v>
      </c>
      <c r="AA49">
        <f>IF(OR(LOG10(SUM(M$3:M49))=AA48,AA48=""),NA(),LOG10(SUM(M$3:M49)))</f>
        <v>1.9457717960419774</v>
      </c>
      <c r="AB49">
        <f>IF(OR(LOG10(SUM(N$3:N49))=AB48,AB48=""),NA(),LOG10(SUM(N$3:N49)))</f>
        <v>1.7050139554682213</v>
      </c>
      <c r="AD49" t="str">
        <f t="shared" si="13"/>
        <v/>
      </c>
      <c r="AE49" t="str">
        <f t="shared" si="13"/>
        <v>(47,3.1306153252215)</v>
      </c>
      <c r="AF49" t="str">
        <f t="shared" si="13"/>
        <v>(47,2.3137097073533)</v>
      </c>
      <c r="AG49" t="str">
        <f t="shared" si="13"/>
        <v/>
      </c>
      <c r="AH49" t="str">
        <f t="shared" si="13"/>
        <v>(47,2.48900465532677)</v>
      </c>
      <c r="AI49" t="str">
        <f t="shared" si="13"/>
        <v>(47,1.84248692106712)</v>
      </c>
      <c r="AJ49" t="str">
        <f t="shared" si="12"/>
        <v/>
      </c>
      <c r="AK49" t="str">
        <f t="shared" si="12"/>
        <v/>
      </c>
      <c r="AL49" t="str">
        <f t="shared" si="12"/>
        <v>(47,2.28182574299108)</v>
      </c>
      <c r="AM49" t="str">
        <f t="shared" si="12"/>
        <v/>
      </c>
      <c r="AN49" t="str">
        <f t="shared" si="12"/>
        <v>(47,2.67378205312334)</v>
      </c>
      <c r="AO49" t="str">
        <f t="shared" si="12"/>
        <v>(47,1.94577179604198)</v>
      </c>
      <c r="AP49" t="str">
        <f t="shared" si="12"/>
        <v>(47,1.70501395546822)</v>
      </c>
      <c r="AS49">
        <f t="shared" si="4"/>
        <v>8.3442000000000007</v>
      </c>
      <c r="AT49">
        <f t="shared" si="5"/>
        <v>7.6959999999999997</v>
      </c>
      <c r="AU49">
        <f t="shared" si="6"/>
        <v>8.7608999999999995</v>
      </c>
      <c r="AV49">
        <f t="shared" si="7"/>
        <v>7.6959999999999997</v>
      </c>
      <c r="AX49">
        <f>LOG10(SUM(AS$3:AS49))</f>
        <v>2.2813606700883011</v>
      </c>
      <c r="AY49">
        <f>LOG10(SUM(AT$3:AT49))</f>
        <v>1.7050139554682213</v>
      </c>
      <c r="AZ49">
        <f>LOG10(SUM(AU$3:AU49))</f>
        <v>1.7485167255508891</v>
      </c>
      <c r="BA49">
        <f>LOG10(SUM(AV$3:AV49))</f>
        <v>1.9306143987930069</v>
      </c>
      <c r="BC49" t="str">
        <f t="shared" si="8"/>
        <v>(47,2.2813606700883)</v>
      </c>
      <c r="BD49" t="str">
        <f t="shared" si="9"/>
        <v>(47,1.70501395546822)</v>
      </c>
      <c r="BE49" t="str">
        <f t="shared" si="10"/>
        <v>(47,1.74851672555089)</v>
      </c>
      <c r="BF49" t="str">
        <f t="shared" si="11"/>
        <v>(47,1.93061439879301)</v>
      </c>
    </row>
    <row r="50" spans="1:58">
      <c r="A50">
        <v>48</v>
      </c>
      <c r="B50" t="e">
        <f>IF(OR(Sorting!B51=0,Sorting!A51="Grand Total"),NA(),Sorting!B51)</f>
        <v>#N/A</v>
      </c>
      <c r="C50">
        <f>IF(OR(Sorting!D51=0,Sorting!C51="Grand Total"),NA(),Sorting!D51)</f>
        <v>89.335899999999995</v>
      </c>
      <c r="D50">
        <f>IF(OR(Sorting!F51=0,Sorting!E51="Grand Total"),NA(),Sorting!F51)</f>
        <v>9.1531000000000002</v>
      </c>
      <c r="E50" t="e">
        <f>IF(OR(Sorting!H51=0,Sorting!G51="Grand Total"),NA(),Sorting!H51)</f>
        <v>#N/A</v>
      </c>
      <c r="F50">
        <f>IF(OR(Sorting!J51=0,Sorting!I51="Grand Total"),NA(),Sorting!J51)</f>
        <v>98.334299999999999</v>
      </c>
      <c r="G50">
        <f>IF(OR(Sorting!L51=0,Sorting!K51="Grand Total"),NA(),Sorting!L51)</f>
        <v>11.112500000000001</v>
      </c>
      <c r="H50" t="e">
        <f>IF(OR(Sorting!O51=0,Sorting!N51="Grand Total"),NA(),Sorting!O51)</f>
        <v>#N/A</v>
      </c>
      <c r="I50" t="e">
        <f>IF(OR(Sorting!Q51=0,Sorting!P51="Grand Total"),NA(),Sorting!Q51)</f>
        <v>#N/A</v>
      </c>
      <c r="J50">
        <f>IF(OR(Sorting!S51=0,Sorting!R51="Grand Total"),NA(),Sorting!S51)</f>
        <v>8.3475000000000001</v>
      </c>
      <c r="K50" t="e">
        <f>IF(OR(Sorting!U51=0,Sorting!T51="Grand Total"),NA(),Sorting!U51)</f>
        <v>#N/A</v>
      </c>
      <c r="L50" t="e">
        <f>IF(OR(Sorting!W51=0,Sorting!V51="Grand Total"),NA(),Sorting!W51)</f>
        <v>#N/A</v>
      </c>
      <c r="M50">
        <f>IF(OR(Sorting!Y51=0,Sorting!X51="Grand Total"),NA(),Sorting!Y51)</f>
        <v>8.3819999999999997</v>
      </c>
      <c r="N50">
        <f t="shared" si="2"/>
        <v>8.3475000000000001</v>
      </c>
      <c r="O50">
        <v>48</v>
      </c>
      <c r="P50" t="e">
        <f>IF(OR(LOG10(SUM(B$3:B50))=P49,P49=""),NA(),LOG10(SUM(B$3:B50)))</f>
        <v>#N/A</v>
      </c>
      <c r="Q50">
        <f>IF(OR(LOG10(SUM(C$3:C50))=Q49,Q49=""),NA(),LOG10(SUM(C$3:C50)))</f>
        <v>3.158426244258469</v>
      </c>
      <c r="R50">
        <f>IF(OR(LOG10(SUM(D$3:D50))=R49,R49=""),NA(),LOG10(SUM(D$3:D50)))</f>
        <v>2.3325967970362718</v>
      </c>
      <c r="S50" t="e">
        <f>IF(OR(LOG10(SUM(E$3:E50))=S49,S49=""),NA(),LOG10(SUM(E$3:E50)))</f>
        <v>#N/A</v>
      </c>
      <c r="T50">
        <f>IF(OR(LOG10(SUM(F$3:F50))=T49,T49=""),NA(),LOG10(SUM(F$3:F50)))</f>
        <v>2.609227611660911</v>
      </c>
      <c r="U50">
        <f>IF(OR(LOG10(SUM(G$3:G50))=U49,U49=""),NA(),LOG10(SUM(G$3:G50)))</f>
        <v>1.906835323737281</v>
      </c>
      <c r="V50" t="e">
        <f>IF(OR(LOG10(SUM(H$3:H50))=V49,V49=""),NA(),LOG10(SUM(H$3:H50)))</f>
        <v>#N/A</v>
      </c>
      <c r="W50" t="e">
        <f>IF(OR(LOG10(SUM(I$3:I50))=W49,W49=""),NA(),LOG10(SUM(I$3:I50)))</f>
        <v>#N/A</v>
      </c>
      <c r="X50">
        <f>IF(OR(LOG10(SUM(J$3:J50))=X49,X49=""),NA(),LOG10(SUM(J$3:J50)))</f>
        <v>2.3003700182784677</v>
      </c>
      <c r="Y50" t="e">
        <f>IF(OR(LOG10(SUM(K$3:K50))=Y49,Y49=""),NA(),LOG10(SUM(K$3:K50)))</f>
        <v>#N/A</v>
      </c>
      <c r="Z50" t="e">
        <f>IF(OR(LOG10(SUM(L$3:L50))=Z49,Z49=""),NA(),LOG10(SUM(L$3:L50)))</f>
        <v>#N/A</v>
      </c>
      <c r="AA50">
        <f>IF(OR(LOG10(SUM(M$3:M50))=AA49,AA49=""),NA(),LOG10(SUM(M$3:M50)))</f>
        <v>1.9851730991642134</v>
      </c>
      <c r="AB50">
        <f>IF(OR(LOG10(SUM(N$3:N50))=AB49,AB49=""),NA(),LOG10(SUM(N$3:N50)))</f>
        <v>1.771206663304618</v>
      </c>
      <c r="AD50" t="str">
        <f t="shared" si="13"/>
        <v/>
      </c>
      <c r="AE50" t="str">
        <f t="shared" si="13"/>
        <v>(48,3.15842624425847)</v>
      </c>
      <c r="AF50" t="str">
        <f t="shared" si="13"/>
        <v>(48,2.33259679703627)</v>
      </c>
      <c r="AG50" t="str">
        <f t="shared" si="13"/>
        <v/>
      </c>
      <c r="AH50" t="str">
        <f t="shared" si="13"/>
        <v>(48,2.60922761166091)</v>
      </c>
      <c r="AI50" t="str">
        <f t="shared" si="13"/>
        <v>(48,1.90683532373728)</v>
      </c>
      <c r="AJ50" t="str">
        <f t="shared" si="12"/>
        <v/>
      </c>
      <c r="AK50" t="str">
        <f t="shared" si="12"/>
        <v/>
      </c>
      <c r="AL50" t="str">
        <f t="shared" si="12"/>
        <v>(48,2.30037001827847)</v>
      </c>
      <c r="AM50" t="str">
        <f t="shared" si="12"/>
        <v/>
      </c>
      <c r="AN50" t="str">
        <f t="shared" si="12"/>
        <v/>
      </c>
      <c r="AO50" t="str">
        <f t="shared" si="12"/>
        <v>(48,1.98517309916421)</v>
      </c>
      <c r="AP50" t="str">
        <f t="shared" si="12"/>
        <v>(48,1.77120666330462)</v>
      </c>
      <c r="AS50">
        <f t="shared" si="4"/>
        <v>8.3475000000000001</v>
      </c>
      <c r="AT50">
        <f t="shared" si="5"/>
        <v>8.3819999999999997</v>
      </c>
      <c r="AU50">
        <f t="shared" si="6"/>
        <v>9.1531000000000002</v>
      </c>
      <c r="AV50">
        <f t="shared" si="7"/>
        <v>8.3475000000000001</v>
      </c>
      <c r="AX50">
        <f>LOG10(SUM(AS$3:AS50))</f>
        <v>2.2999243958536471</v>
      </c>
      <c r="AY50">
        <f>LOG10(SUM(AT$3:AT50))</f>
        <v>1.771460333767666</v>
      </c>
      <c r="AZ50">
        <f>LOG10(SUM(AU$3:AU50))</f>
        <v>1.8142176203850817</v>
      </c>
      <c r="BA50">
        <f>LOG10(SUM(AV$3:AV50))</f>
        <v>1.9711913943777395</v>
      </c>
      <c r="BC50" t="str">
        <f t="shared" si="8"/>
        <v>(48,2.29992439585365)</v>
      </c>
      <c r="BD50" t="str">
        <f t="shared" si="9"/>
        <v>(48,1.77146033376767)</v>
      </c>
      <c r="BE50" t="str">
        <f t="shared" si="10"/>
        <v>(48,1.81421762038508)</v>
      </c>
      <c r="BF50" t="str">
        <f t="shared" si="11"/>
        <v>(48,1.97119139437774)</v>
      </c>
    </row>
    <row r="51" spans="1:58">
      <c r="A51">
        <v>49</v>
      </c>
      <c r="B51" t="e">
        <f>IF(OR(Sorting!B52=0,Sorting!A52="Grand Total"),NA(),Sorting!B52)</f>
        <v>#N/A</v>
      </c>
      <c r="C51">
        <f>IF(OR(Sorting!D52=0,Sorting!C52="Grand Total"),NA(),Sorting!D52)</f>
        <v>91.573400000000007</v>
      </c>
      <c r="D51">
        <f>IF(OR(Sorting!F52=0,Sorting!E52="Grand Total"),NA(),Sorting!F52)</f>
        <v>9.2015999999999991</v>
      </c>
      <c r="E51" t="e">
        <f>IF(OR(Sorting!H52=0,Sorting!G52="Grand Total"),NA(),Sorting!H52)</f>
        <v>#N/A</v>
      </c>
      <c r="F51">
        <f>IF(OR(Sorting!J52=0,Sorting!I52="Grand Total"),NA(),Sorting!J52)</f>
        <v>98.498500000000007</v>
      </c>
      <c r="G51">
        <f>IF(OR(Sorting!L52=0,Sorting!K52="Grand Total"),NA(),Sorting!L52)</f>
        <v>11.2844</v>
      </c>
      <c r="H51" t="e">
        <f>IF(OR(Sorting!O52=0,Sorting!N52="Grand Total"),NA(),Sorting!O52)</f>
        <v>#N/A</v>
      </c>
      <c r="I51" t="e">
        <f>IF(OR(Sorting!Q52=0,Sorting!P52="Grand Total"),NA(),Sorting!Q52)</f>
        <v>#N/A</v>
      </c>
      <c r="J51">
        <f>IF(OR(Sorting!S52=0,Sorting!R52="Grand Total"),NA(),Sorting!S52)</f>
        <v>8.4065999999999992</v>
      </c>
      <c r="K51" t="e">
        <f>IF(OR(Sorting!U52=0,Sorting!T52="Grand Total"),NA(),Sorting!U52)</f>
        <v>#N/A</v>
      </c>
      <c r="L51" t="e">
        <f>IF(OR(Sorting!W52=0,Sorting!V52="Grand Total"),NA(),Sorting!W52)</f>
        <v>#N/A</v>
      </c>
      <c r="M51">
        <f>IF(OR(Sorting!Y52=0,Sorting!X52="Grand Total"),NA(),Sorting!Y52)</f>
        <v>8.3977000000000004</v>
      </c>
      <c r="N51">
        <f t="shared" si="2"/>
        <v>8.3977000000000004</v>
      </c>
      <c r="O51">
        <v>49</v>
      </c>
      <c r="P51" t="e">
        <f>IF(OR(LOG10(SUM(B$3:B51))=P50,P50=""),NA(),LOG10(SUM(B$3:B51)))</f>
        <v>#N/A</v>
      </c>
      <c r="Q51">
        <f>IF(OR(LOG10(SUM(C$3:C51))=Q50,Q50=""),NA(),LOG10(SUM(C$3:C51)))</f>
        <v>3.1851977556769415</v>
      </c>
      <c r="R51">
        <f>IF(OR(LOG10(SUM(D$3:D51))=R50,R50=""),NA(),LOG10(SUM(D$3:D51)))</f>
        <v>2.350790547426457</v>
      </c>
      <c r="S51" t="e">
        <f>IF(OR(LOG10(SUM(E$3:E51))=S50,S50=""),NA(),LOG10(SUM(E$3:E51)))</f>
        <v>#N/A</v>
      </c>
      <c r="T51">
        <f>IF(OR(LOG10(SUM(F$3:F51))=T50,T50=""),NA(),LOG10(SUM(F$3:F51)))</f>
        <v>2.7034245699999739</v>
      </c>
      <c r="U51">
        <f>IF(OR(LOG10(SUM(G$3:G51))=U50,U50=""),NA(),LOG10(SUM(G$3:G51)))</f>
        <v>1.9636806566805958</v>
      </c>
      <c r="V51" t="e">
        <f>IF(OR(LOG10(SUM(H$3:H51))=V50,V50=""),NA(),LOG10(SUM(H$3:H51)))</f>
        <v>#N/A</v>
      </c>
      <c r="W51" t="e">
        <f>IF(OR(LOG10(SUM(I$3:I51))=W50,W50=""),NA(),LOG10(SUM(I$3:I51)))</f>
        <v>#N/A</v>
      </c>
      <c r="X51">
        <f>IF(OR(LOG10(SUM(J$3:J51))=X50,X50=""),NA(),LOG10(SUM(J$3:J51)))</f>
        <v>2.3182781323270616</v>
      </c>
      <c r="Y51" t="e">
        <f>IF(OR(LOG10(SUM(K$3:K51))=Y50,Y50=""),NA(),LOG10(SUM(K$3:K51)))</f>
        <v>#N/A</v>
      </c>
      <c r="Z51" t="e">
        <f>IF(OR(LOG10(SUM(L$3:L51))=Z50,Z50=""),NA(),LOG10(SUM(L$3:L51)))</f>
        <v>#N/A</v>
      </c>
      <c r="AA51">
        <f>IF(OR(LOG10(SUM(M$3:M51))=AA50,AA50=""),NA(),LOG10(SUM(M$3:M51)))</f>
        <v>2.0213600879798692</v>
      </c>
      <c r="AB51">
        <f>IF(OR(LOG10(SUM(N$3:N51))=AB50,AB50=""),NA(),LOG10(SUM(N$3:N51)))</f>
        <v>1.8289555542822626</v>
      </c>
      <c r="AD51" t="str">
        <f t="shared" si="13"/>
        <v/>
      </c>
      <c r="AE51" t="str">
        <f t="shared" si="13"/>
        <v>(49,3.18519775567694)</v>
      </c>
      <c r="AF51" t="str">
        <f t="shared" si="13"/>
        <v>(49,2.35079054742646)</v>
      </c>
      <c r="AG51" t="str">
        <f t="shared" si="13"/>
        <v/>
      </c>
      <c r="AH51" t="str">
        <f t="shared" si="13"/>
        <v>(49,2.70342456999997)</v>
      </c>
      <c r="AI51" t="str">
        <f t="shared" si="13"/>
        <v>(49,1.9636806566806)</v>
      </c>
      <c r="AJ51" t="str">
        <f t="shared" si="12"/>
        <v/>
      </c>
      <c r="AK51" t="str">
        <f t="shared" si="12"/>
        <v/>
      </c>
      <c r="AL51" t="str">
        <f t="shared" si="12"/>
        <v>(49,2.31827813232706)</v>
      </c>
      <c r="AM51" t="str">
        <f t="shared" si="12"/>
        <v/>
      </c>
      <c r="AN51" t="str">
        <f t="shared" si="12"/>
        <v/>
      </c>
      <c r="AO51" t="str">
        <f t="shared" si="12"/>
        <v>(49,2.02136008797987)</v>
      </c>
      <c r="AP51" t="str">
        <f t="shared" si="12"/>
        <v>(49,1.82895555428226)</v>
      </c>
      <c r="AS51">
        <f t="shared" si="4"/>
        <v>8.4065999999999992</v>
      </c>
      <c r="AT51">
        <f t="shared" si="5"/>
        <v>8.3977000000000004</v>
      </c>
      <c r="AU51">
        <f t="shared" si="6"/>
        <v>9.2015999999999991</v>
      </c>
      <c r="AV51">
        <f t="shared" si="7"/>
        <v>8.3977000000000004</v>
      </c>
      <c r="AX51">
        <f>LOG10(SUM(AS$3:AS51))</f>
        <v>2.3178505202920934</v>
      </c>
      <c r="AY51">
        <f>LOG10(SUM(AT$3:AT51))</f>
        <v>1.8291776482691606</v>
      </c>
      <c r="AZ51">
        <f>LOG10(SUM(AU$3:AU51))</f>
        <v>1.8715560070708253</v>
      </c>
      <c r="BA51">
        <f>LOG10(SUM(AV$3:AV51))</f>
        <v>2.0085128783142037</v>
      </c>
      <c r="BC51" t="str">
        <f t="shared" si="8"/>
        <v>(49,2.31785052029209)</v>
      </c>
      <c r="BD51" t="str">
        <f t="shared" si="9"/>
        <v>(49,1.82917764826916)</v>
      </c>
      <c r="BE51" t="str">
        <f t="shared" si="10"/>
        <v>(49,1.87155600707083)</v>
      </c>
      <c r="BF51" t="str">
        <f t="shared" si="11"/>
        <v>(49,2.0085128783142)</v>
      </c>
    </row>
    <row r="52" spans="1:58">
      <c r="A52">
        <v>50</v>
      </c>
      <c r="B52" t="e">
        <f>IF(OR(Sorting!B53=0,Sorting!A53="Grand Total"),NA(),Sorting!B53)</f>
        <v>#N/A</v>
      </c>
      <c r="C52">
        <f>IF(OR(Sorting!D53=0,Sorting!C53="Grand Total"),NA(),Sorting!D53)</f>
        <v>129.63749999999999</v>
      </c>
      <c r="D52">
        <f>IF(OR(Sorting!F53=0,Sorting!E53="Grand Total"),NA(),Sorting!F53)</f>
        <v>9.2453000000000003</v>
      </c>
      <c r="E52" t="e">
        <f>IF(OR(Sorting!H53=0,Sorting!G53="Grand Total"),NA(),Sorting!H53)</f>
        <v>#N/A</v>
      </c>
      <c r="F52">
        <f>IF(OR(Sorting!J53=0,Sorting!I53="Grand Total"),NA(),Sorting!J53)</f>
        <v>144.62809999999999</v>
      </c>
      <c r="G52">
        <f>IF(OR(Sorting!L53=0,Sorting!K53="Grand Total"),NA(),Sorting!L53)</f>
        <v>11.324999999999999</v>
      </c>
      <c r="H52" t="e">
        <f>IF(OR(Sorting!O53=0,Sorting!N53="Grand Total"),NA(),Sorting!O53)</f>
        <v>#N/A</v>
      </c>
      <c r="I52" t="e">
        <f>IF(OR(Sorting!Q53=0,Sorting!P53="Grand Total"),NA(),Sorting!Q53)</f>
        <v>#N/A</v>
      </c>
      <c r="J52">
        <f>IF(OR(Sorting!S53=0,Sorting!R53="Grand Total"),NA(),Sorting!S53)</f>
        <v>8.4602000000000004</v>
      </c>
      <c r="K52" t="e">
        <f>IF(OR(Sorting!U53=0,Sorting!T53="Grand Total"),NA(),Sorting!U53)</f>
        <v>#N/A</v>
      </c>
      <c r="L52" t="e">
        <f>IF(OR(Sorting!W53=0,Sorting!V53="Grand Total"),NA(),Sorting!W53)</f>
        <v>#N/A</v>
      </c>
      <c r="M52">
        <f>IF(OR(Sorting!Y53=0,Sorting!X53="Grand Total"),NA(),Sorting!Y53)</f>
        <v>8.4398</v>
      </c>
      <c r="N52">
        <f t="shared" si="2"/>
        <v>8.4398</v>
      </c>
      <c r="O52">
        <v>50</v>
      </c>
      <c r="P52" t="e">
        <f>IF(OR(LOG10(SUM(B$3:B52))=P51,P51=""),NA(),LOG10(SUM(B$3:B52)))</f>
        <v>#N/A</v>
      </c>
      <c r="Q52">
        <f>IF(OR(LOG10(SUM(C$3:C52))=Q51,Q51=""),NA(),LOG10(SUM(C$3:C52)))</f>
        <v>3.2204800353707919</v>
      </c>
      <c r="R52">
        <f>IF(OR(LOG10(SUM(D$3:D52))=R51,R51=""),NA(),LOG10(SUM(D$3:D52)))</f>
        <v>2.3683339386716074</v>
      </c>
      <c r="S52" t="e">
        <f>IF(OR(LOG10(SUM(E$3:E52))=S51,S51=""),NA(),LOG10(SUM(E$3:E52)))</f>
        <v>#N/A</v>
      </c>
      <c r="T52">
        <f>IF(OR(LOG10(SUM(F$3:F52))=T51,T51=""),NA(),LOG10(SUM(F$3:F52)))</f>
        <v>2.8127683448932812</v>
      </c>
      <c r="U52">
        <f>IF(OR(LOG10(SUM(G$3:G52))=U51,U51=""),NA(),LOG10(SUM(G$3:G52)))</f>
        <v>2.01410999108582</v>
      </c>
      <c r="V52" t="e">
        <f>IF(OR(LOG10(SUM(H$3:H52))=V51,V51=""),NA(),LOG10(SUM(H$3:H52)))</f>
        <v>#N/A</v>
      </c>
      <c r="W52" t="e">
        <f>IF(OR(LOG10(SUM(I$3:I52))=W51,W51=""),NA(),LOG10(SUM(I$3:I52)))</f>
        <v>#N/A</v>
      </c>
      <c r="X52">
        <f>IF(OR(LOG10(SUM(J$3:J52))=X51,X51=""),NA(),LOG10(SUM(J$3:J52)))</f>
        <v>2.3355844595303568</v>
      </c>
      <c r="Y52" t="e">
        <f>IF(OR(LOG10(SUM(K$3:K52))=Y51,Y51=""),NA(),LOG10(SUM(K$3:K52)))</f>
        <v>#N/A</v>
      </c>
      <c r="Z52" t="e">
        <f>IF(OR(LOG10(SUM(L$3:L52))=Z51,Z51=""),NA(),LOG10(SUM(L$3:L52)))</f>
        <v>#N/A</v>
      </c>
      <c r="AA52">
        <f>IF(OR(LOG10(SUM(M$3:M52))=AA51,AA51=""),NA(),LOG10(SUM(M$3:M52)))</f>
        <v>2.0549235368666303</v>
      </c>
      <c r="AB52">
        <f>IF(OR(LOG10(SUM(N$3:N52))=AB51,AB51=""),NA(),LOG10(SUM(N$3:N52)))</f>
        <v>1.8801599445884523</v>
      </c>
      <c r="AD52" t="str">
        <f t="shared" si="13"/>
        <v/>
      </c>
      <c r="AE52" t="str">
        <f t="shared" si="13"/>
        <v>(50,3.22048003537079)</v>
      </c>
      <c r="AF52" t="str">
        <f t="shared" si="13"/>
        <v>(50,2.36833393867161)</v>
      </c>
      <c r="AG52" t="str">
        <f t="shared" si="13"/>
        <v/>
      </c>
      <c r="AH52" t="str">
        <f t="shared" si="13"/>
        <v>(50,2.81276834489328)</v>
      </c>
      <c r="AI52" t="str">
        <f t="shared" si="13"/>
        <v>(50,2.01410999108582)</v>
      </c>
      <c r="AJ52" t="str">
        <f t="shared" si="12"/>
        <v/>
      </c>
      <c r="AK52" t="str">
        <f t="shared" si="12"/>
        <v/>
      </c>
      <c r="AL52" t="str">
        <f t="shared" si="12"/>
        <v>(50,2.33558445953036)</v>
      </c>
      <c r="AM52" t="str">
        <f t="shared" si="12"/>
        <v/>
      </c>
      <c r="AN52" t="str">
        <f t="shared" si="12"/>
        <v/>
      </c>
      <c r="AO52" t="str">
        <f t="shared" si="12"/>
        <v>(50,2.05492353686663)</v>
      </c>
      <c r="AP52" t="str">
        <f t="shared" si="12"/>
        <v>(50,1.88015994458845)</v>
      </c>
      <c r="AS52">
        <f t="shared" si="4"/>
        <v>8.4602000000000004</v>
      </c>
      <c r="AT52">
        <f t="shared" si="5"/>
        <v>8.4398</v>
      </c>
      <c r="AU52">
        <f t="shared" si="6"/>
        <v>9.2453000000000003</v>
      </c>
      <c r="AV52">
        <f t="shared" si="7"/>
        <v>8.4398</v>
      </c>
      <c r="AX52">
        <f>LOG10(SUM(AS$3:AS52))</f>
        <v>2.3351735603854835</v>
      </c>
      <c r="AY52">
        <f>LOG10(SUM(AT$3:AT52))</f>
        <v>1.8803573435022443</v>
      </c>
      <c r="AZ52">
        <f>LOG10(SUM(AU$3:AU52))</f>
        <v>1.9224264857884208</v>
      </c>
      <c r="BA52">
        <f>LOG10(SUM(AV$3:AV52))</f>
        <v>2.0430449896153768</v>
      </c>
      <c r="BC52" t="str">
        <f t="shared" si="8"/>
        <v>(50,2.33517356038548)</v>
      </c>
      <c r="BD52" t="str">
        <f t="shared" si="9"/>
        <v>(50,1.88035734350224)</v>
      </c>
      <c r="BE52" t="str">
        <f t="shared" si="10"/>
        <v>(50,1.92242648578842)</v>
      </c>
      <c r="BF52" t="str">
        <f t="shared" si="11"/>
        <v>(50,2.04304498961538)</v>
      </c>
    </row>
    <row r="53" spans="1:58">
      <c r="A53">
        <v>51</v>
      </c>
      <c r="B53" t="e">
        <f>IF(OR(Sorting!B54=0,Sorting!A54="Grand Total"),NA(),Sorting!B54)</f>
        <v>#N/A</v>
      </c>
      <c r="C53">
        <f>IF(OR(Sorting!D54=0,Sorting!C54="Grand Total"),NA(),Sorting!D54)</f>
        <v>132.69059999999999</v>
      </c>
      <c r="D53">
        <f>IF(OR(Sorting!F54=0,Sorting!E54="Grand Total"),NA(),Sorting!F54)</f>
        <v>10.0625</v>
      </c>
      <c r="E53" t="e">
        <f>IF(OR(Sorting!H54=0,Sorting!G54="Grand Total"),NA(),Sorting!H54)</f>
        <v>#N/A</v>
      </c>
      <c r="F53">
        <f>IF(OR(Sorting!J54=0,Sorting!I54="Grand Total"),NA(),Sorting!J54)</f>
        <v>146.17339999999999</v>
      </c>
      <c r="G53">
        <f>IF(OR(Sorting!L54=0,Sorting!K54="Grand Total"),NA(),Sorting!L54)</f>
        <v>11.6203</v>
      </c>
      <c r="H53" t="e">
        <f>IF(OR(Sorting!O54=0,Sorting!N54="Grand Total"),NA(),Sorting!O54)</f>
        <v>#N/A</v>
      </c>
      <c r="I53" t="e">
        <f>IF(OR(Sorting!Q54=0,Sorting!P54="Grand Total"),NA(),Sorting!Q54)</f>
        <v>#N/A</v>
      </c>
      <c r="J53">
        <f>IF(OR(Sorting!S54=0,Sorting!R54="Grand Total"),NA(),Sorting!S54)</f>
        <v>9.4285999999999994</v>
      </c>
      <c r="K53" t="e">
        <f>IF(OR(Sorting!U54=0,Sorting!T54="Grand Total"),NA(),Sorting!U54)</f>
        <v>#N/A</v>
      </c>
      <c r="L53" t="e">
        <f>IF(OR(Sorting!W54=0,Sorting!V54="Grand Total"),NA(),Sorting!W54)</f>
        <v>#N/A</v>
      </c>
      <c r="M53">
        <f>IF(OR(Sorting!Y54=0,Sorting!X54="Grand Total"),NA(),Sorting!Y54)</f>
        <v>8.4400999999999993</v>
      </c>
      <c r="N53">
        <f t="shared" si="2"/>
        <v>8.4400999999999993</v>
      </c>
      <c r="O53">
        <v>51</v>
      </c>
      <c r="P53" t="e">
        <f>IF(OR(LOG10(SUM(B$3:B53))=P52,P52=""),NA(),LOG10(SUM(B$3:B53)))</f>
        <v>#N/A</v>
      </c>
      <c r="Q53">
        <f>IF(OR(LOG10(SUM(C$3:C53))=Q52,Q52=""),NA(),LOG10(SUM(C$3:C53)))</f>
        <v>3.2538497688665102</v>
      </c>
      <c r="R53">
        <f>IF(OR(LOG10(SUM(D$3:D53))=R52,R52=""),NA(),LOG10(SUM(D$3:D53)))</f>
        <v>2.3866555330357104</v>
      </c>
      <c r="S53" t="e">
        <f>IF(OR(LOG10(SUM(E$3:E53))=S52,S52=""),NA(),LOG10(SUM(E$3:E53)))</f>
        <v>#N/A</v>
      </c>
      <c r="T53">
        <f>IF(OR(LOG10(SUM(F$3:F53))=T52,T52=""),NA(),LOG10(SUM(F$3:F53)))</f>
        <v>2.9008892790969556</v>
      </c>
      <c r="U53">
        <f>IF(OR(LOG10(SUM(G$3:G53))=U52,U52=""),NA(),LOG10(SUM(G$3:G53)))</f>
        <v>2.0604054428757728</v>
      </c>
      <c r="V53" t="e">
        <f>IF(OR(LOG10(SUM(H$3:H53))=V52,V52=""),NA(),LOG10(SUM(H$3:H53)))</f>
        <v>#N/A</v>
      </c>
      <c r="W53" t="e">
        <f>IF(OR(LOG10(SUM(I$3:I53))=W52,W52=""),NA(),LOG10(SUM(I$3:I53)))</f>
        <v>#N/A</v>
      </c>
      <c r="X53">
        <f>IF(OR(LOG10(SUM(J$3:J53))=X52,X52=""),NA(),LOG10(SUM(J$3:J53)))</f>
        <v>2.3540924891014146</v>
      </c>
      <c r="Y53" t="e">
        <f>IF(OR(LOG10(SUM(K$3:K53))=Y52,Y52=""),NA(),LOG10(SUM(K$3:K53)))</f>
        <v>#N/A</v>
      </c>
      <c r="Z53" t="e">
        <f>IF(OR(LOG10(SUM(L$3:L53))=Z52,Z52=""),NA(),LOG10(SUM(L$3:L53)))</f>
        <v>#N/A</v>
      </c>
      <c r="AA53">
        <f>IF(OR(LOG10(SUM(M$3:M53))=AA52,AA52=""),NA(),LOG10(SUM(M$3:M53)))</f>
        <v>2.0860792285264766</v>
      </c>
      <c r="AB53">
        <f>IF(OR(LOG10(SUM(N$3:N53))=AB52,AB52=""),NA(),LOG10(SUM(N$3:N53)))</f>
        <v>1.9259604700383806</v>
      </c>
      <c r="AD53" t="str">
        <f t="shared" si="13"/>
        <v/>
      </c>
      <c r="AE53" t="str">
        <f t="shared" si="13"/>
        <v>(51,3.25384976886651)</v>
      </c>
      <c r="AF53" t="str">
        <f t="shared" si="13"/>
        <v>(51,2.38665553303571)</v>
      </c>
      <c r="AG53" t="str">
        <f t="shared" si="13"/>
        <v/>
      </c>
      <c r="AH53" t="str">
        <f t="shared" si="13"/>
        <v>(51,2.90088927909696)</v>
      </c>
      <c r="AI53" t="str">
        <f t="shared" si="13"/>
        <v>(51,2.06040544287577)</v>
      </c>
      <c r="AJ53" t="str">
        <f t="shared" si="12"/>
        <v/>
      </c>
      <c r="AK53" t="str">
        <f t="shared" si="12"/>
        <v/>
      </c>
      <c r="AL53" t="str">
        <f t="shared" si="12"/>
        <v>(51,2.35409248910141)</v>
      </c>
      <c r="AM53" t="str">
        <f t="shared" si="12"/>
        <v/>
      </c>
      <c r="AN53" t="str">
        <f t="shared" si="12"/>
        <v/>
      </c>
      <c r="AO53" t="str">
        <f t="shared" si="12"/>
        <v>(51,2.08607922852648)</v>
      </c>
      <c r="AP53" t="str">
        <f t="shared" si="12"/>
        <v>(51,1.92596047003838)</v>
      </c>
      <c r="AS53">
        <f t="shared" si="4"/>
        <v>9.4285999999999994</v>
      </c>
      <c r="AT53">
        <f t="shared" si="5"/>
        <v>8.4400999999999993</v>
      </c>
      <c r="AU53">
        <f t="shared" si="6"/>
        <v>10.0625</v>
      </c>
      <c r="AV53">
        <f t="shared" si="7"/>
        <v>8.4400999999999993</v>
      </c>
      <c r="AX53">
        <f>LOG10(SUM(AS$3:AS53))</f>
        <v>2.3536987408539924</v>
      </c>
      <c r="AY53">
        <f>LOG10(SUM(AT$3:AT53))</f>
        <v>1.9261381154974264</v>
      </c>
      <c r="AZ53">
        <f>LOG10(SUM(AU$3:AU53))</f>
        <v>1.9717623015315426</v>
      </c>
      <c r="BA53">
        <f>LOG10(SUM(AV$3:AV53))</f>
        <v>2.0750335336174048</v>
      </c>
      <c r="BC53" t="str">
        <f t="shared" si="8"/>
        <v>(51,2.35369874085399)</v>
      </c>
      <c r="BD53" t="str">
        <f t="shared" si="9"/>
        <v>(51,1.92613811549743)</v>
      </c>
      <c r="BE53" t="str">
        <f t="shared" si="10"/>
        <v>(51,1.97176230153154)</v>
      </c>
      <c r="BF53" t="str">
        <f t="shared" si="11"/>
        <v>(51,2.0750335336174)</v>
      </c>
    </row>
    <row r="54" spans="1:58">
      <c r="A54">
        <v>52</v>
      </c>
      <c r="B54" t="e">
        <f>IF(OR(Sorting!B55=0,Sorting!A55="Grand Total"),NA(),Sorting!B55)</f>
        <v>#N/A</v>
      </c>
      <c r="C54">
        <f>IF(OR(Sorting!D55=0,Sorting!C55="Grand Total"),NA(),Sorting!D55)</f>
        <v>145.9829</v>
      </c>
      <c r="D54">
        <f>IF(OR(Sorting!F55=0,Sorting!E55="Grand Total"),NA(),Sorting!F55)</f>
        <v>10.1172</v>
      </c>
      <c r="E54" t="e">
        <f>IF(OR(Sorting!H55=0,Sorting!G55="Grand Total"),NA(),Sorting!H55)</f>
        <v>#N/A</v>
      </c>
      <c r="F54">
        <f>IF(OR(Sorting!J55=0,Sorting!I55="Grand Total"),NA(),Sorting!J55)</f>
        <v>160.2047</v>
      </c>
      <c r="G54">
        <f>IF(OR(Sorting!L55=0,Sorting!K55="Grand Total"),NA(),Sorting!L55)</f>
        <v>12.2218</v>
      </c>
      <c r="H54" t="e">
        <f>IF(OR(Sorting!O55=0,Sorting!N55="Grand Total"),NA(),Sorting!O55)</f>
        <v>#N/A</v>
      </c>
      <c r="I54" t="e">
        <f>IF(OR(Sorting!Q55=0,Sorting!P55="Grand Total"),NA(),Sorting!Q55)</f>
        <v>#N/A</v>
      </c>
      <c r="J54">
        <f>IF(OR(Sorting!S55=0,Sorting!R55="Grand Total"),NA(),Sorting!S55)</f>
        <v>9.4536999999999995</v>
      </c>
      <c r="K54" t="e">
        <f>IF(OR(Sorting!U55=0,Sorting!T55="Grand Total"),NA(),Sorting!U55)</f>
        <v>#N/A</v>
      </c>
      <c r="L54" t="e">
        <f>IF(OR(Sorting!W55=0,Sorting!V55="Grand Total"),NA(),Sorting!W55)</f>
        <v>#N/A</v>
      </c>
      <c r="M54">
        <f>IF(OR(Sorting!Y55=0,Sorting!X55="Grand Total"),NA(),Sorting!Y55)</f>
        <v>8.4847999999999999</v>
      </c>
      <c r="N54">
        <f t="shared" si="2"/>
        <v>8.4847999999999999</v>
      </c>
      <c r="O54">
        <v>52</v>
      </c>
      <c r="P54" t="e">
        <f>IF(OR(LOG10(SUM(B$3:B54))=P53,P53=""),NA(),LOG10(SUM(B$3:B54)))</f>
        <v>#N/A</v>
      </c>
      <c r="Q54">
        <f>IF(OR(LOG10(SUM(C$3:C54))=Q53,Q53=""),NA(),LOG10(SUM(C$3:C54)))</f>
        <v>3.2878231754890574</v>
      </c>
      <c r="R54">
        <f>IF(OR(LOG10(SUM(D$3:D54))=R53,R53=""),NA(),LOG10(SUM(D$3:D54)))</f>
        <v>2.4043290263506694</v>
      </c>
      <c r="S54" t="e">
        <f>IF(OR(LOG10(SUM(E$3:E54))=S53,S53=""),NA(),LOG10(SUM(E$3:E54)))</f>
        <v>#N/A</v>
      </c>
      <c r="T54">
        <f>IF(OR(LOG10(SUM(F$3:F54))=T53,T53=""),NA(),LOG10(SUM(F$3:F54)))</f>
        <v>2.9805310710905841</v>
      </c>
      <c r="U54">
        <f>IF(OR(LOG10(SUM(G$3:G54))=U53,U53=""),NA(),LOG10(SUM(G$3:G54)))</f>
        <v>2.1042972366890225</v>
      </c>
      <c r="V54" t="e">
        <f>IF(OR(LOG10(SUM(H$3:H54))=V53,V53=""),NA(),LOG10(SUM(H$3:H54)))</f>
        <v>#N/A</v>
      </c>
      <c r="W54" t="e">
        <f>IF(OR(LOG10(SUM(I$3:I54))=W53,W53=""),NA(),LOG10(SUM(I$3:I54)))</f>
        <v>#N/A</v>
      </c>
      <c r="X54">
        <f>IF(OR(LOG10(SUM(J$3:J54))=X53,X53=""),NA(),LOG10(SUM(J$3:J54)))</f>
        <v>2.3718902098599384</v>
      </c>
      <c r="Y54" t="e">
        <f>IF(OR(LOG10(SUM(K$3:K54))=Y53,Y53=""),NA(),LOG10(SUM(K$3:K54)))</f>
        <v>#N/A</v>
      </c>
      <c r="Z54" t="e">
        <f>IF(OR(LOG10(SUM(L$3:L54))=Z53,Z53=""),NA(),LOG10(SUM(L$3:L54)))</f>
        <v>#N/A</v>
      </c>
      <c r="AA54">
        <f>IF(OR(LOG10(SUM(M$3:M54))=AA53,AA53=""),NA(),LOG10(SUM(M$3:M54)))</f>
        <v>2.1152975738111208</v>
      </c>
      <c r="AB54">
        <f>IF(OR(LOG10(SUM(N$3:N54))=AB53,AB53=""),NA(),LOG10(SUM(N$3:N54)))</f>
        <v>1.967597580298728</v>
      </c>
      <c r="AD54" t="str">
        <f t="shared" si="13"/>
        <v/>
      </c>
      <c r="AE54" t="str">
        <f t="shared" si="13"/>
        <v>(52,3.28782317548906)</v>
      </c>
      <c r="AF54" t="str">
        <f t="shared" si="13"/>
        <v>(52,2.40432902635067)</v>
      </c>
      <c r="AG54" t="str">
        <f t="shared" si="13"/>
        <v/>
      </c>
      <c r="AH54" t="str">
        <f t="shared" si="13"/>
        <v>(52,2.98053107109058)</v>
      </c>
      <c r="AI54" t="str">
        <f t="shared" si="13"/>
        <v>(52,2.10429723668902)</v>
      </c>
      <c r="AJ54" t="str">
        <f t="shared" si="12"/>
        <v/>
      </c>
      <c r="AK54" t="str">
        <f t="shared" si="12"/>
        <v/>
      </c>
      <c r="AL54" t="str">
        <f t="shared" si="12"/>
        <v>(52,2.37189020985994)</v>
      </c>
      <c r="AM54" t="str">
        <f t="shared" si="12"/>
        <v/>
      </c>
      <c r="AN54" t="str">
        <f t="shared" si="12"/>
        <v/>
      </c>
      <c r="AO54" t="str">
        <f t="shared" si="12"/>
        <v>(52,2.11529757381112)</v>
      </c>
      <c r="AP54" t="str">
        <f t="shared" si="12"/>
        <v>(52,1.96759758029873)</v>
      </c>
      <c r="AS54">
        <f t="shared" si="4"/>
        <v>9.4536999999999995</v>
      </c>
      <c r="AT54">
        <f t="shared" si="5"/>
        <v>8.4847999999999999</v>
      </c>
      <c r="AU54">
        <f t="shared" si="6"/>
        <v>10.1172</v>
      </c>
      <c r="AV54">
        <f t="shared" si="7"/>
        <v>8.4847999999999999</v>
      </c>
      <c r="AX54">
        <f>LOG10(SUM(AS$3:AS54))</f>
        <v>2.3715122784342886</v>
      </c>
      <c r="AY54">
        <f>LOG10(SUM(AT$3:AT54))</f>
        <v>1.9677589883222697</v>
      </c>
      <c r="AZ54">
        <f>LOG10(SUM(AU$3:AU54))</f>
        <v>2.0162898090659307</v>
      </c>
      <c r="BA54">
        <f>LOG10(SUM(AV$3:AV54))</f>
        <v>2.104979169438173</v>
      </c>
      <c r="BC54" t="str">
        <f t="shared" si="8"/>
        <v>(52,2.37151227843429)</v>
      </c>
      <c r="BD54" t="str">
        <f t="shared" si="9"/>
        <v>(52,1.96775898832227)</v>
      </c>
      <c r="BE54" t="str">
        <f t="shared" si="10"/>
        <v>(52,2.01628980906593)</v>
      </c>
      <c r="BF54" t="str">
        <f t="shared" si="11"/>
        <v>(52,2.10497916943817)</v>
      </c>
    </row>
    <row r="55" spans="1:58">
      <c r="A55">
        <v>53</v>
      </c>
      <c r="B55" t="e">
        <f>IF(OR(Sorting!B56=0,Sorting!A56="Grand Total"),NA(),Sorting!B56)</f>
        <v>#N/A</v>
      </c>
      <c r="C55">
        <f>IF(OR(Sorting!D56=0,Sorting!C56="Grand Total"),NA(),Sorting!D56)</f>
        <v>147.45779999999999</v>
      </c>
      <c r="D55">
        <f>IF(OR(Sorting!F56=0,Sorting!E56="Grand Total"),NA(),Sorting!F56)</f>
        <v>10.1829</v>
      </c>
      <c r="E55" t="e">
        <f>IF(OR(Sorting!H56=0,Sorting!G56="Grand Total"),NA(),Sorting!H56)</f>
        <v>#N/A</v>
      </c>
      <c r="F55">
        <f>IF(OR(Sorting!J56=0,Sorting!I56="Grand Total"),NA(),Sorting!J56)</f>
        <v>162.71719999999999</v>
      </c>
      <c r="G55">
        <f>IF(OR(Sorting!L56=0,Sorting!K56="Grand Total"),NA(),Sorting!L56)</f>
        <v>12.2437</v>
      </c>
      <c r="H55" t="e">
        <f>IF(OR(Sorting!O56=0,Sorting!N56="Grand Total"),NA(),Sorting!O56)</f>
        <v>#N/A</v>
      </c>
      <c r="I55" t="e">
        <f>IF(OR(Sorting!Q56=0,Sorting!P56="Grand Total"),NA(),Sorting!Q56)</f>
        <v>#N/A</v>
      </c>
      <c r="J55">
        <f>IF(OR(Sorting!S56=0,Sorting!R56="Grand Total"),NA(),Sorting!S56)</f>
        <v>9.4770000000000003</v>
      </c>
      <c r="K55" t="e">
        <f>IF(OR(Sorting!U56=0,Sorting!T56="Grand Total"),NA(),Sorting!U56)</f>
        <v>#N/A</v>
      </c>
      <c r="L55" t="e">
        <f>IF(OR(Sorting!W56=0,Sorting!V56="Grand Total"),NA(),Sorting!W56)</f>
        <v>#N/A</v>
      </c>
      <c r="M55">
        <f>IF(OR(Sorting!Y56=0,Sorting!X56="Grand Total"),NA(),Sorting!Y56)</f>
        <v>9.3895999999999997</v>
      </c>
      <c r="N55">
        <f t="shared" si="2"/>
        <v>9.3895999999999997</v>
      </c>
      <c r="O55">
        <v>53</v>
      </c>
      <c r="P55" t="e">
        <f>IF(OR(LOG10(SUM(B$3:B55))=P54,P54=""),NA(),LOG10(SUM(B$3:B55)))</f>
        <v>#N/A</v>
      </c>
      <c r="Q55">
        <f>IF(OR(LOG10(SUM(C$3:C55))=Q54,Q54=""),NA(),LOG10(SUM(C$3:C55)))</f>
        <v>3.3196376352384576</v>
      </c>
      <c r="R55">
        <f>IF(OR(LOG10(SUM(D$3:D55))=R54,R54=""),NA(),LOG10(SUM(D$3:D55)))</f>
        <v>2.4214194770570843</v>
      </c>
      <c r="S55" t="e">
        <f>IF(OR(LOG10(SUM(E$3:E55))=S54,S54=""),NA(),LOG10(SUM(E$3:E55)))</f>
        <v>#N/A</v>
      </c>
      <c r="T55">
        <f>IF(OR(LOG10(SUM(F$3:F55))=T54,T54=""),NA(),LOG10(SUM(F$3:F55)))</f>
        <v>3.0487828510388244</v>
      </c>
      <c r="U55">
        <f>IF(OR(LOG10(SUM(G$3:G55))=U54,U54=""),NA(),LOG10(SUM(G$3:G55)))</f>
        <v>2.1442256982602905</v>
      </c>
      <c r="V55" t="e">
        <f>IF(OR(LOG10(SUM(H$3:H55))=V54,V54=""),NA(),LOG10(SUM(H$3:H55)))</f>
        <v>#N/A</v>
      </c>
      <c r="W55" t="e">
        <f>IF(OR(LOG10(SUM(I$3:I55))=W54,W54=""),NA(),LOG10(SUM(I$3:I55)))</f>
        <v>#N/A</v>
      </c>
      <c r="X55">
        <f>IF(OR(LOG10(SUM(J$3:J55))=X54,X54=""),NA(),LOG10(SUM(J$3:J55)))</f>
        <v>2.3890285064457539</v>
      </c>
      <c r="Y55" t="e">
        <f>IF(OR(LOG10(SUM(K$3:K55))=Y54,Y54=""),NA(),LOG10(SUM(K$3:K55)))</f>
        <v>#N/A</v>
      </c>
      <c r="Z55" t="e">
        <f>IF(OR(LOG10(SUM(L$3:L55))=Z54,Z54=""),NA(),LOG10(SUM(L$3:L55)))</f>
        <v>#N/A</v>
      </c>
      <c r="AA55">
        <f>IF(OR(LOG10(SUM(M$3:M55))=AA54,AA54=""),NA(),LOG10(SUM(M$3:M55)))</f>
        <v>2.1454935024125787</v>
      </c>
      <c r="AB55">
        <f>IF(OR(LOG10(SUM(N$3:N55))=AB54,AB54=""),NA(),LOG10(SUM(N$3:N55)))</f>
        <v>2.0094517456892165</v>
      </c>
      <c r="AD55" t="str">
        <f t="shared" si="13"/>
        <v/>
      </c>
      <c r="AE55" t="str">
        <f t="shared" si="13"/>
        <v>(53,3.31963763523846)</v>
      </c>
      <c r="AF55" t="str">
        <f t="shared" si="13"/>
        <v>(53,2.42141947705708)</v>
      </c>
      <c r="AG55" t="str">
        <f t="shared" si="13"/>
        <v/>
      </c>
      <c r="AH55" t="str">
        <f t="shared" si="13"/>
        <v>(53,3.04878285103882)</v>
      </c>
      <c r="AI55" t="str">
        <f t="shared" si="13"/>
        <v>(53,2.14422569826029)</v>
      </c>
      <c r="AJ55" t="str">
        <f t="shared" si="12"/>
        <v/>
      </c>
      <c r="AK55" t="str">
        <f t="shared" si="12"/>
        <v/>
      </c>
      <c r="AL55" t="str">
        <f t="shared" si="12"/>
        <v>(53,2.38902850644575)</v>
      </c>
      <c r="AM55" t="str">
        <f t="shared" si="12"/>
        <v/>
      </c>
      <c r="AN55" t="str">
        <f t="shared" si="12"/>
        <v/>
      </c>
      <c r="AO55" t="str">
        <f t="shared" si="12"/>
        <v>(53,2.14549350241258)</v>
      </c>
      <c r="AP55" t="str">
        <f t="shared" si="12"/>
        <v>(53,2.00945174568922)</v>
      </c>
      <c r="AS55">
        <f t="shared" si="4"/>
        <v>9.4770000000000003</v>
      </c>
      <c r="AT55">
        <f t="shared" si="5"/>
        <v>9.3895999999999997</v>
      </c>
      <c r="AU55">
        <f t="shared" si="6"/>
        <v>10.1829</v>
      </c>
      <c r="AV55">
        <f t="shared" si="7"/>
        <v>9.3895999999999997</v>
      </c>
      <c r="AX55">
        <f>LOG10(SUM(AS$3:AS55))</f>
        <v>2.3886652047748096</v>
      </c>
      <c r="AY55">
        <f>LOG10(SUM(AT$3:AT55))</f>
        <v>2.0095983269213633</v>
      </c>
      <c r="AZ55">
        <f>LOG10(SUM(AU$3:AU55))</f>
        <v>2.0569238989223577</v>
      </c>
      <c r="BA55">
        <f>LOG10(SUM(AV$3:AV55))</f>
        <v>2.1358758835438825</v>
      </c>
      <c r="BC55" t="str">
        <f t="shared" si="8"/>
        <v>(53,2.38866520477481)</v>
      </c>
      <c r="BD55" t="str">
        <f t="shared" si="9"/>
        <v>(53,2.00959832692136)</v>
      </c>
      <c r="BE55" t="str">
        <f t="shared" si="10"/>
        <v>(53,2.05692389892236)</v>
      </c>
      <c r="BF55" t="str">
        <f t="shared" si="11"/>
        <v>(53,2.13587588354388)</v>
      </c>
    </row>
    <row r="56" spans="1:58">
      <c r="A56">
        <v>54</v>
      </c>
      <c r="B56" t="e">
        <f>IF(OR(Sorting!B57=0,Sorting!A57="Grand Total"),NA(),Sorting!B57)</f>
        <v>#N/A</v>
      </c>
      <c r="C56">
        <f>IF(OR(Sorting!D57=0,Sorting!C57="Grand Total"),NA(),Sorting!D57)</f>
        <v>147.56870000000001</v>
      </c>
      <c r="D56">
        <f>IF(OR(Sorting!F57=0,Sorting!E57="Grand Total"),NA(),Sorting!F57)</f>
        <v>10.198399999999999</v>
      </c>
      <c r="E56" t="e">
        <f>IF(OR(Sorting!H57=0,Sorting!G57="Grand Total"),NA(),Sorting!H57)</f>
        <v>#N/A</v>
      </c>
      <c r="F56">
        <f>IF(OR(Sorting!J57=0,Sorting!I57="Grand Total"),NA(),Sorting!J57)</f>
        <v>163.13749999999999</v>
      </c>
      <c r="G56">
        <f>IF(OR(Sorting!L57=0,Sorting!K57="Grand Total"),NA(),Sorting!L57)</f>
        <v>12.259399999999999</v>
      </c>
      <c r="H56" t="e">
        <f>IF(OR(Sorting!O57=0,Sorting!N57="Grand Total"),NA(),Sorting!O57)</f>
        <v>#N/A</v>
      </c>
      <c r="I56" t="e">
        <f>IF(OR(Sorting!Q57=0,Sorting!P57="Grand Total"),NA(),Sorting!Q57)</f>
        <v>#N/A</v>
      </c>
      <c r="J56">
        <f>IF(OR(Sorting!S57=0,Sorting!R57="Grand Total"),NA(),Sorting!S57)</f>
        <v>9.5449000000000002</v>
      </c>
      <c r="K56" t="e">
        <f>IF(OR(Sorting!U57=0,Sorting!T57="Grand Total"),NA(),Sorting!U57)</f>
        <v>#N/A</v>
      </c>
      <c r="L56" t="e">
        <f>IF(OR(Sorting!W57=0,Sorting!V57="Grand Total"),NA(),Sorting!W57)</f>
        <v>#N/A</v>
      </c>
      <c r="M56">
        <f>IF(OR(Sorting!Y57=0,Sorting!X57="Grand Total"),NA(),Sorting!Y57)</f>
        <v>9.4</v>
      </c>
      <c r="N56">
        <f t="shared" si="2"/>
        <v>9.4</v>
      </c>
      <c r="O56">
        <v>54</v>
      </c>
      <c r="P56" t="e">
        <f>IF(OR(LOG10(SUM(B$3:B56))=P55,P55=""),NA(),LOG10(SUM(B$3:B56)))</f>
        <v>#N/A</v>
      </c>
      <c r="Q56">
        <f>IF(OR(LOG10(SUM(C$3:C56))=Q55,Q55=""),NA(),LOG10(SUM(C$3:C56)))</f>
        <v>3.3493012915672731</v>
      </c>
      <c r="R56">
        <f>IF(OR(LOG10(SUM(D$3:D56))=R55,R55=""),NA(),LOG10(SUM(D$3:D56)))</f>
        <v>2.4378873281951035</v>
      </c>
      <c r="S56" t="e">
        <f>IF(OR(LOG10(SUM(E$3:E56))=S55,S55=""),NA(),LOG10(SUM(E$3:E56)))</f>
        <v>#N/A</v>
      </c>
      <c r="T56">
        <f>IF(OR(LOG10(SUM(F$3:F56))=T55,T55=""),NA(),LOG10(SUM(F$3:F56)))</f>
        <v>3.1078933776091091</v>
      </c>
      <c r="U56">
        <f>IF(OR(LOG10(SUM(G$3:G56))=U55,U55=""),NA(),LOG10(SUM(G$3:G56)))</f>
        <v>2.1808352551006607</v>
      </c>
      <c r="V56" t="e">
        <f>IF(OR(LOG10(SUM(H$3:H56))=V55,V55=""),NA(),LOG10(SUM(H$3:H56)))</f>
        <v>#N/A</v>
      </c>
      <c r="W56" t="e">
        <f>IF(OR(LOG10(SUM(I$3:I56))=W55,W55=""),NA(),LOG10(SUM(I$3:I56)))</f>
        <v>#N/A</v>
      </c>
      <c r="X56">
        <f>IF(OR(LOG10(SUM(J$3:J56))=X55,X55=""),NA(),LOG10(SUM(J$3:J56)))</f>
        <v>2.405631981792669</v>
      </c>
      <c r="Y56" t="e">
        <f>IF(OR(LOG10(SUM(K$3:K56))=Y55,Y55=""),NA(),LOG10(SUM(K$3:K56)))</f>
        <v>#N/A</v>
      </c>
      <c r="Z56" t="e">
        <f>IF(OR(LOG10(SUM(L$3:L56))=Z55,Z55=""),NA(),LOG10(SUM(L$3:L56)))</f>
        <v>#N/A</v>
      </c>
      <c r="AA56">
        <f>IF(OR(LOG10(SUM(M$3:M56))=AA55,AA55=""),NA(),LOG10(SUM(M$3:M56)))</f>
        <v>2.1737560153357274</v>
      </c>
      <c r="AB56">
        <f>IF(OR(LOG10(SUM(N$3:N56))=AB55,AB55=""),NA(),LOG10(SUM(N$3:N56)))</f>
        <v>2.0476649729063858</v>
      </c>
      <c r="AD56" t="str">
        <f t="shared" si="13"/>
        <v/>
      </c>
      <c r="AE56" t="str">
        <f t="shared" si="13"/>
        <v>(54,3.34930129156727)</v>
      </c>
      <c r="AF56" t="str">
        <f t="shared" si="13"/>
        <v>(54,2.4378873281951)</v>
      </c>
      <c r="AG56" t="str">
        <f t="shared" si="13"/>
        <v/>
      </c>
      <c r="AH56" t="str">
        <f t="shared" si="13"/>
        <v>(54,3.10789337760911)</v>
      </c>
      <c r="AI56" t="str">
        <f t="shared" si="13"/>
        <v>(54,2.18083525510066)</v>
      </c>
      <c r="AJ56" t="str">
        <f t="shared" si="12"/>
        <v/>
      </c>
      <c r="AK56" t="str">
        <f t="shared" si="12"/>
        <v/>
      </c>
      <c r="AL56" t="str">
        <f t="shared" si="12"/>
        <v>(54,2.40563198179267)</v>
      </c>
      <c r="AM56" t="str">
        <f t="shared" si="12"/>
        <v/>
      </c>
      <c r="AN56" t="str">
        <f t="shared" si="12"/>
        <v/>
      </c>
      <c r="AO56" t="str">
        <f t="shared" si="12"/>
        <v>(54,2.17375601533573)</v>
      </c>
      <c r="AP56" t="str">
        <f t="shared" si="12"/>
        <v>(54,2.04766497290639)</v>
      </c>
      <c r="AS56">
        <f t="shared" si="4"/>
        <v>9.5449000000000002</v>
      </c>
      <c r="AT56">
        <f t="shared" si="5"/>
        <v>9.4</v>
      </c>
      <c r="AU56">
        <f t="shared" si="6"/>
        <v>10.198399999999999</v>
      </c>
      <c r="AV56">
        <f t="shared" si="7"/>
        <v>9.4</v>
      </c>
      <c r="AX56">
        <f>LOG10(SUM(AS$3:AS56))</f>
        <v>2.4052823128143683</v>
      </c>
      <c r="AY56">
        <f>LOG10(SUM(AT$3:AT56))</f>
        <v>2.0477992096206714</v>
      </c>
      <c r="AZ56">
        <f>LOG10(SUM(AU$3:AU56))</f>
        <v>2.0941334845766941</v>
      </c>
      <c r="BA56">
        <f>LOG10(SUM(AV$3:AV56))</f>
        <v>2.1647506776437484</v>
      </c>
      <c r="BC56" t="str">
        <f t="shared" si="8"/>
        <v>(54,2.40528231281437)</v>
      </c>
      <c r="BD56" t="str">
        <f t="shared" si="9"/>
        <v>(54,2.04779920962067)</v>
      </c>
      <c r="BE56" t="str">
        <f t="shared" si="10"/>
        <v>(54,2.09413348457669)</v>
      </c>
      <c r="BF56" t="str">
        <f t="shared" si="11"/>
        <v>(54,2.16475067764375)</v>
      </c>
    </row>
    <row r="57" spans="1:58">
      <c r="A57">
        <v>55</v>
      </c>
      <c r="B57" t="e">
        <f>IF(OR(Sorting!B58=0,Sorting!A58="Grand Total"),NA(),Sorting!B58)</f>
        <v>#N/A</v>
      </c>
      <c r="C57">
        <f>IF(OR(Sorting!D58=0,Sorting!C58="Grand Total"),NA(),Sorting!D58)</f>
        <v>148.6328</v>
      </c>
      <c r="D57">
        <f>IF(OR(Sorting!F58=0,Sorting!E58="Grand Total"),NA(),Sorting!F58)</f>
        <v>10.3344</v>
      </c>
      <c r="E57" t="e">
        <f>IF(OR(Sorting!H58=0,Sorting!G58="Grand Total"),NA(),Sorting!H58)</f>
        <v>#N/A</v>
      </c>
      <c r="F57">
        <f>IF(OR(Sorting!J58=0,Sorting!I58="Grand Total"),NA(),Sorting!J58)</f>
        <v>165.28899999999999</v>
      </c>
      <c r="G57">
        <f>IF(OR(Sorting!L58=0,Sorting!K58="Grand Total"),NA(),Sorting!L58)</f>
        <v>12.267200000000001</v>
      </c>
      <c r="H57" t="e">
        <f>IF(OR(Sorting!O58=0,Sorting!N58="Grand Total"),NA(),Sorting!O58)</f>
        <v>#N/A</v>
      </c>
      <c r="I57" t="e">
        <f>IF(OR(Sorting!Q58=0,Sorting!P58="Grand Total"),NA(),Sorting!Q58)</f>
        <v>#N/A</v>
      </c>
      <c r="J57">
        <f>IF(OR(Sorting!S58=0,Sorting!R58="Grand Total"),NA(),Sorting!S58)</f>
        <v>9.5645000000000007</v>
      </c>
      <c r="K57" t="e">
        <f>IF(OR(Sorting!U58=0,Sorting!T58="Grand Total"),NA(),Sorting!U58)</f>
        <v>#N/A</v>
      </c>
      <c r="L57" t="e">
        <f>IF(OR(Sorting!W58=0,Sorting!V58="Grand Total"),NA(),Sorting!W58)</f>
        <v>#N/A</v>
      </c>
      <c r="M57">
        <f>IF(OR(Sorting!Y58=0,Sorting!X58="Grand Total"),NA(),Sorting!Y58)</f>
        <v>9.4693000000000005</v>
      </c>
      <c r="N57">
        <f t="shared" si="2"/>
        <v>9.4693000000000005</v>
      </c>
      <c r="O57">
        <v>55</v>
      </c>
      <c r="P57" t="e">
        <f>IF(OR(LOG10(SUM(B$3:B57))=P56,P56=""),NA(),LOG10(SUM(B$3:B57)))</f>
        <v>#N/A</v>
      </c>
      <c r="Q57">
        <f>IF(OR(LOG10(SUM(C$3:C57))=Q56,Q56=""),NA(),LOG10(SUM(C$3:C57)))</f>
        <v>3.3772616352200768</v>
      </c>
      <c r="R57">
        <f>IF(OR(LOG10(SUM(D$3:D57))=R56,R56=""),NA(),LOG10(SUM(D$3:D57)))</f>
        <v>2.4539612009488234</v>
      </c>
      <c r="S57" t="e">
        <f>IF(OR(LOG10(SUM(E$3:E57))=S56,S56=""),NA(),LOG10(SUM(E$3:E57)))</f>
        <v>#N/A</v>
      </c>
      <c r="T57">
        <f>IF(OR(LOG10(SUM(F$3:F57))=T56,T56=""),NA(),LOG10(SUM(F$3:F57)))</f>
        <v>3.1605600024516858</v>
      </c>
      <c r="U57">
        <f>IF(OR(LOG10(SUM(G$3:G57))=U56,U56=""),NA(),LOG10(SUM(G$3:G57)))</f>
        <v>2.2146179031898314</v>
      </c>
      <c r="V57" t="e">
        <f>IF(OR(LOG10(SUM(H$3:H57))=V56,V56=""),NA(),LOG10(SUM(H$3:H57)))</f>
        <v>#N/A</v>
      </c>
      <c r="W57" t="e">
        <f>IF(OR(LOG10(SUM(I$3:I57))=W56,W56=""),NA(),LOG10(SUM(I$3:I57)))</f>
        <v>#N/A</v>
      </c>
      <c r="X57">
        <f>IF(OR(LOG10(SUM(J$3:J57))=X56,X56=""),NA(),LOG10(SUM(J$3:J57)))</f>
        <v>2.421656236463841</v>
      </c>
      <c r="Y57" t="e">
        <f>IF(OR(LOG10(SUM(K$3:K57))=Y56,Y56=""),NA(),LOG10(SUM(K$3:K57)))</f>
        <v>#N/A</v>
      </c>
      <c r="Z57" t="e">
        <f>IF(OR(LOG10(SUM(L$3:L57))=Z56,Z56=""),NA(),LOG10(SUM(L$3:L57)))</f>
        <v>#N/A</v>
      </c>
      <c r="AA57">
        <f>IF(OR(LOG10(SUM(M$3:M57))=AA56,AA56=""),NA(),LOG10(SUM(M$3:M57)))</f>
        <v>2.2004808623420731</v>
      </c>
      <c r="AB57">
        <f>IF(OR(LOG10(SUM(N$3:N57))=AB56,AB56=""),NA(),LOG10(SUM(N$3:N57)))</f>
        <v>2.0830347488405652</v>
      </c>
      <c r="AD57" t="str">
        <f t="shared" si="13"/>
        <v/>
      </c>
      <c r="AE57" t="str">
        <f t="shared" si="13"/>
        <v>(55,3.37726163522008)</v>
      </c>
      <c r="AF57" t="str">
        <f t="shared" si="13"/>
        <v>(55,2.45396120094882)</v>
      </c>
      <c r="AG57" t="str">
        <f t="shared" si="13"/>
        <v/>
      </c>
      <c r="AH57" t="str">
        <f t="shared" si="13"/>
        <v>(55,3.16056000245169)</v>
      </c>
      <c r="AI57" t="str">
        <f t="shared" si="13"/>
        <v>(55,2.21461790318983)</v>
      </c>
      <c r="AJ57" t="str">
        <f t="shared" si="12"/>
        <v/>
      </c>
      <c r="AK57" t="str">
        <f t="shared" si="12"/>
        <v/>
      </c>
      <c r="AL57" t="str">
        <f t="shared" si="12"/>
        <v>(55,2.42165623646384)</v>
      </c>
      <c r="AM57" t="str">
        <f t="shared" si="12"/>
        <v/>
      </c>
      <c r="AN57" t="str">
        <f t="shared" si="12"/>
        <v/>
      </c>
      <c r="AO57" t="str">
        <f t="shared" si="12"/>
        <v>(55,2.20048086234207)</v>
      </c>
      <c r="AP57" t="str">
        <f t="shared" si="12"/>
        <v>(55,2.08303474884057)</v>
      </c>
      <c r="AS57">
        <f t="shared" si="4"/>
        <v>9.5645000000000007</v>
      </c>
      <c r="AT57">
        <f t="shared" si="5"/>
        <v>9.4693000000000005</v>
      </c>
      <c r="AU57">
        <f t="shared" si="6"/>
        <v>10.3344</v>
      </c>
      <c r="AV57">
        <f t="shared" si="7"/>
        <v>9.4693000000000005</v>
      </c>
      <c r="AX57">
        <f>LOG10(SUM(AS$3:AS57))</f>
        <v>2.4213192390912228</v>
      </c>
      <c r="AY57">
        <f>LOG10(SUM(AT$3:AT57))</f>
        <v>2.0831584878931619</v>
      </c>
      <c r="AZ57">
        <f>LOG10(SUM(AU$3:AU57))</f>
        <v>2.1288443216991544</v>
      </c>
      <c r="BA57">
        <f>LOG10(SUM(AV$3:AV57))</f>
        <v>2.1920182449639714</v>
      </c>
      <c r="BC57" t="str">
        <f t="shared" si="8"/>
        <v>(55,2.42131923909122)</v>
      </c>
      <c r="BD57" t="str">
        <f t="shared" si="9"/>
        <v>(55,2.08315848789316)</v>
      </c>
      <c r="BE57" t="str">
        <f t="shared" si="10"/>
        <v>(55,2.12884432169915)</v>
      </c>
      <c r="BF57" t="str">
        <f t="shared" si="11"/>
        <v>(55,2.19201824496397)</v>
      </c>
    </row>
    <row r="58" spans="1:58">
      <c r="A58">
        <v>56</v>
      </c>
      <c r="B58" t="e">
        <f>IF(OR(Sorting!B59=0,Sorting!A59="Grand Total"),NA(),Sorting!B59)</f>
        <v>#N/A</v>
      </c>
      <c r="C58">
        <f>IF(OR(Sorting!D59=0,Sorting!C59="Grand Total"),NA(),Sorting!D59)</f>
        <v>149.33279999999999</v>
      </c>
      <c r="D58">
        <f>IF(OR(Sorting!F59=0,Sorting!E59="Grand Total"),NA(),Sorting!F59)</f>
        <v>10.390599999999999</v>
      </c>
      <c r="E58" t="e">
        <f>IF(OR(Sorting!H59=0,Sorting!G59="Grand Total"),NA(),Sorting!H59)</f>
        <v>#N/A</v>
      </c>
      <c r="F58">
        <f>IF(OR(Sorting!J59=0,Sorting!I59="Grand Total"),NA(),Sorting!J59)</f>
        <v>172.94380000000001</v>
      </c>
      <c r="G58">
        <f>IF(OR(Sorting!L59=0,Sorting!K59="Grand Total"),NA(),Sorting!L59)</f>
        <v>12.323399999999999</v>
      </c>
      <c r="H58" t="e">
        <f>IF(OR(Sorting!O59=0,Sorting!N59="Grand Total"),NA(),Sorting!O59)</f>
        <v>#N/A</v>
      </c>
      <c r="I58" t="e">
        <f>IF(OR(Sorting!Q59=0,Sorting!P59="Grand Total"),NA(),Sorting!Q59)</f>
        <v>#N/A</v>
      </c>
      <c r="J58">
        <f>IF(OR(Sorting!S59=0,Sorting!R59="Grand Total"),NA(),Sorting!S59)</f>
        <v>9.6237999999999992</v>
      </c>
      <c r="K58" t="e">
        <f>IF(OR(Sorting!U59=0,Sorting!T59="Grand Total"),NA(),Sorting!U59)</f>
        <v>#N/A</v>
      </c>
      <c r="L58" t="e">
        <f>IF(OR(Sorting!W59=0,Sorting!V59="Grand Total"),NA(),Sorting!W59)</f>
        <v>#N/A</v>
      </c>
      <c r="M58">
        <f>IF(OR(Sorting!Y59=0,Sorting!X59="Grand Total"),NA(),Sorting!Y59)</f>
        <v>9.4707000000000008</v>
      </c>
      <c r="N58">
        <f t="shared" si="2"/>
        <v>9.4707000000000008</v>
      </c>
      <c r="O58">
        <v>56</v>
      </c>
      <c r="P58" t="e">
        <f>IF(OR(LOG10(SUM(B$3:B58))=P57,P57=""),NA(),LOG10(SUM(B$3:B58)))</f>
        <v>#N/A</v>
      </c>
      <c r="Q58">
        <f>IF(OR(LOG10(SUM(C$3:C58))=Q57,Q57=""),NA(),LOG10(SUM(C$3:C58)))</f>
        <v>3.4036502603877095</v>
      </c>
      <c r="R58">
        <f>IF(OR(LOG10(SUM(D$3:D58))=R57,R57=""),NA(),LOG10(SUM(D$3:D58)))</f>
        <v>2.4695441258409914</v>
      </c>
      <c r="S58" t="e">
        <f>IF(OR(LOG10(SUM(E$3:E58))=S57,S57=""),NA(),LOG10(SUM(E$3:E58)))</f>
        <v>#N/A</v>
      </c>
      <c r="T58">
        <f>IF(OR(LOG10(SUM(F$3:F58))=T57,T57=""),NA(),LOG10(SUM(F$3:F58)))</f>
        <v>3.2095816548667178</v>
      </c>
      <c r="U58">
        <f>IF(OR(LOG10(SUM(G$3:G58))=U57,U57=""),NA(),LOG10(SUM(G$3:G58)))</f>
        <v>2.2460998020957095</v>
      </c>
      <c r="V58" t="e">
        <f>IF(OR(LOG10(SUM(H$3:H58))=V57,V57=""),NA(),LOG10(SUM(H$3:H58)))</f>
        <v>#N/A</v>
      </c>
      <c r="W58" t="e">
        <f>IF(OR(LOG10(SUM(I$3:I58))=W57,W57=""),NA(),LOG10(SUM(I$3:I58)))</f>
        <v>#N/A</v>
      </c>
      <c r="X58">
        <f>IF(OR(LOG10(SUM(J$3:J58))=X57,X57=""),NA(),LOG10(SUM(J$3:J58)))</f>
        <v>2.437204339831764</v>
      </c>
      <c r="Y58" t="e">
        <f>IF(OR(LOG10(SUM(K$3:K58))=Y57,Y57=""),NA(),LOG10(SUM(K$3:K58)))</f>
        <v>#N/A</v>
      </c>
      <c r="Z58" t="e">
        <f>IF(OR(LOG10(SUM(L$3:L58))=Z57,Z57=""),NA(),LOG10(SUM(L$3:L58)))</f>
        <v>#N/A</v>
      </c>
      <c r="AA58">
        <f>IF(OR(LOG10(SUM(M$3:M58))=AA57,AA57=""),NA(),LOG10(SUM(M$3:M58)))</f>
        <v>2.2256596780239084</v>
      </c>
      <c r="AB58">
        <f>IF(OR(LOG10(SUM(N$3:N58))=AB57,AB57=""),NA(),LOG10(SUM(N$3:N58)))</f>
        <v>2.1157442737409129</v>
      </c>
      <c r="AD58" t="str">
        <f t="shared" si="13"/>
        <v/>
      </c>
      <c r="AE58" t="str">
        <f t="shared" si="13"/>
        <v>(56,3.40365026038771)</v>
      </c>
      <c r="AF58" t="str">
        <f t="shared" si="13"/>
        <v>(56,2.46954412584099)</v>
      </c>
      <c r="AG58" t="str">
        <f t="shared" si="13"/>
        <v/>
      </c>
      <c r="AH58" t="str">
        <f t="shared" si="13"/>
        <v>(56,3.20958165486672)</v>
      </c>
      <c r="AI58" t="str">
        <f t="shared" si="13"/>
        <v>(56,2.24609980209571)</v>
      </c>
      <c r="AJ58" t="str">
        <f t="shared" si="12"/>
        <v/>
      </c>
      <c r="AK58" t="str">
        <f t="shared" si="12"/>
        <v/>
      </c>
      <c r="AL58" t="str">
        <f t="shared" si="12"/>
        <v>(56,2.43720433983176)</v>
      </c>
      <c r="AM58" t="str">
        <f t="shared" si="12"/>
        <v/>
      </c>
      <c r="AN58" t="str">
        <f t="shared" si="12"/>
        <v/>
      </c>
      <c r="AO58" t="str">
        <f t="shared" si="12"/>
        <v>(56,2.22565967802391)</v>
      </c>
      <c r="AP58" t="str">
        <f t="shared" si="12"/>
        <v>(56,2.11574427374091)</v>
      </c>
      <c r="AS58">
        <f t="shared" si="4"/>
        <v>9.6237999999999992</v>
      </c>
      <c r="AT58">
        <f t="shared" si="5"/>
        <v>9.4707000000000008</v>
      </c>
      <c r="AU58">
        <f t="shared" si="6"/>
        <v>10.390599999999999</v>
      </c>
      <c r="AV58">
        <f t="shared" si="7"/>
        <v>9.4707000000000008</v>
      </c>
      <c r="AX58">
        <f>LOG10(SUM(AS$3:AS58))</f>
        <v>2.4368791982722859</v>
      </c>
      <c r="AY58">
        <f>LOG10(SUM(AT$3:AT58))</f>
        <v>2.1158590367032168</v>
      </c>
      <c r="AZ58">
        <f>LOG10(SUM(AU$3:AU58))</f>
        <v>2.1611534976501434</v>
      </c>
      <c r="BA58">
        <f>LOG10(SUM(AV$3:AV58))</f>
        <v>2.217678148863282</v>
      </c>
      <c r="BC58" t="str">
        <f t="shared" si="8"/>
        <v>(56,2.43687919827229)</v>
      </c>
      <c r="BD58" t="str">
        <f t="shared" si="9"/>
        <v>(56,2.11585903670322)</v>
      </c>
      <c r="BE58" t="str">
        <f t="shared" si="10"/>
        <v>(56,2.16115349765014)</v>
      </c>
      <c r="BF58" t="str">
        <f t="shared" si="11"/>
        <v>(56,2.21767814886328)</v>
      </c>
    </row>
    <row r="59" spans="1:58">
      <c r="A59">
        <v>57</v>
      </c>
      <c r="B59" t="e">
        <f>IF(OR(Sorting!B60=0,Sorting!A60="Grand Total"),NA(),Sorting!B60)</f>
        <v>#N/A</v>
      </c>
      <c r="C59">
        <f>IF(OR(Sorting!D60=0,Sorting!C60="Grand Total"),NA(),Sorting!D60)</f>
        <v>219.52969999999999</v>
      </c>
      <c r="D59">
        <f>IF(OR(Sorting!F60=0,Sorting!E60="Grand Total"),NA(),Sorting!F60)</f>
        <v>11.4953</v>
      </c>
      <c r="E59" t="e">
        <f>IF(OR(Sorting!H60=0,Sorting!G60="Grand Total"),NA(),Sorting!H60)</f>
        <v>#N/A</v>
      </c>
      <c r="F59">
        <f>IF(OR(Sorting!J60=0,Sorting!I60="Grand Total"),NA(),Sorting!J60)</f>
        <v>235.5609</v>
      </c>
      <c r="G59">
        <f>IF(OR(Sorting!L60=0,Sorting!K60="Grand Total"),NA(),Sorting!L60)</f>
        <v>12.4125</v>
      </c>
      <c r="H59" t="e">
        <f>IF(OR(Sorting!O60=0,Sorting!N60="Grand Total"),NA(),Sorting!O60)</f>
        <v>#N/A</v>
      </c>
      <c r="I59" t="e">
        <f>IF(OR(Sorting!Q60=0,Sorting!P60="Grand Total"),NA(),Sorting!Q60)</f>
        <v>#N/A</v>
      </c>
      <c r="J59">
        <f>IF(OR(Sorting!S60=0,Sorting!R60="Grand Total"),NA(),Sorting!S60)</f>
        <v>10.9787</v>
      </c>
      <c r="K59" t="e">
        <f>IF(OR(Sorting!U60=0,Sorting!T60="Grand Total"),NA(),Sorting!U60)</f>
        <v>#N/A</v>
      </c>
      <c r="L59" t="e">
        <f>IF(OR(Sorting!W60=0,Sorting!V60="Grand Total"),NA(),Sorting!W60)</f>
        <v>#N/A</v>
      </c>
      <c r="M59">
        <f>IF(OR(Sorting!Y60=0,Sorting!X60="Grand Total"),NA(),Sorting!Y60)</f>
        <v>9.5609999999999999</v>
      </c>
      <c r="N59">
        <f t="shared" si="2"/>
        <v>9.5609999999999999</v>
      </c>
      <c r="O59">
        <v>57</v>
      </c>
      <c r="P59" t="e">
        <f>IF(OR(LOG10(SUM(B$3:B59))=P58,P58=""),NA(),LOG10(SUM(B$3:B59)))</f>
        <v>#N/A</v>
      </c>
      <c r="Q59">
        <f>IF(OR(LOG10(SUM(C$3:C59))=Q58,Q58=""),NA(),LOG10(SUM(C$3:C59)))</f>
        <v>3.4397458823904055</v>
      </c>
      <c r="R59">
        <f>IF(OR(LOG10(SUM(D$3:D59))=R58,R58=""),NA(),LOG10(SUM(D$3:D59)))</f>
        <v>2.4861563546671661</v>
      </c>
      <c r="S59" t="e">
        <f>IF(OR(LOG10(SUM(E$3:E59))=S58,S58=""),NA(),LOG10(SUM(E$3:E59)))</f>
        <v>#N/A</v>
      </c>
      <c r="T59">
        <f>IF(OR(LOG10(SUM(F$3:F59))=T58,T58=""),NA(),LOG10(SUM(F$3:F59)))</f>
        <v>3.2685333935719814</v>
      </c>
      <c r="U59">
        <f>IF(OR(LOG10(SUM(G$3:G59))=U58,U58=""),NA(),LOG10(SUM(G$3:G59)))</f>
        <v>2.275658190805367</v>
      </c>
      <c r="V59" t="e">
        <f>IF(OR(LOG10(SUM(H$3:H59))=V58,V58=""),NA(),LOG10(SUM(H$3:H59)))</f>
        <v>#N/A</v>
      </c>
      <c r="W59" t="e">
        <f>IF(OR(LOG10(SUM(I$3:I59))=W58,W58=""),NA(),LOG10(SUM(I$3:I59)))</f>
        <v>#N/A</v>
      </c>
      <c r="X59">
        <f>IF(OR(LOG10(SUM(J$3:J59))=X58,X58=""),NA(),LOG10(SUM(J$3:J59)))</f>
        <v>2.4542872337776052</v>
      </c>
      <c r="Y59" t="e">
        <f>IF(OR(LOG10(SUM(K$3:K59))=Y58,Y58=""),NA(),LOG10(SUM(K$3:K59)))</f>
        <v>#N/A</v>
      </c>
      <c r="Z59" t="e">
        <f>IF(OR(LOG10(SUM(L$3:L59))=Z58,Z58=""),NA(),LOG10(SUM(L$3:L59)))</f>
        <v>#N/A</v>
      </c>
      <c r="AA59">
        <f>IF(OR(LOG10(SUM(M$3:M59))=AA58,AA58=""),NA(),LOG10(SUM(M$3:M59)))</f>
        <v>2.2496791182084257</v>
      </c>
      <c r="AB59">
        <f>IF(OR(LOG10(SUM(N$3:N59))=AB58,AB58=""),NA(),LOG10(SUM(N$3:N59)))</f>
        <v>2.1464418551369264</v>
      </c>
      <c r="AD59" t="str">
        <f t="shared" si="13"/>
        <v/>
      </c>
      <c r="AE59" t="str">
        <f t="shared" si="13"/>
        <v>(57,3.43974588239041)</v>
      </c>
      <c r="AF59" t="str">
        <f t="shared" si="13"/>
        <v>(57,2.48615635466717)</v>
      </c>
      <c r="AG59" t="str">
        <f t="shared" si="13"/>
        <v/>
      </c>
      <c r="AH59" t="str">
        <f t="shared" si="13"/>
        <v>(57,3.26853339357198)</v>
      </c>
      <c r="AI59" t="str">
        <f t="shared" si="13"/>
        <v>(57,2.27565819080537)</v>
      </c>
      <c r="AJ59" t="str">
        <f t="shared" si="12"/>
        <v/>
      </c>
      <c r="AK59" t="str">
        <f t="shared" si="12"/>
        <v/>
      </c>
      <c r="AL59" t="str">
        <f t="shared" si="12"/>
        <v>(57,2.45428723377761)</v>
      </c>
      <c r="AM59" t="str">
        <f t="shared" si="12"/>
        <v/>
      </c>
      <c r="AN59" t="str">
        <f t="shared" si="12"/>
        <v/>
      </c>
      <c r="AO59" t="str">
        <f t="shared" si="12"/>
        <v>(57,2.24967911820843)</v>
      </c>
      <c r="AP59" t="str">
        <f t="shared" si="12"/>
        <v>(57,2.14644185513693)</v>
      </c>
      <c r="AS59">
        <f t="shared" si="4"/>
        <v>10.9787</v>
      </c>
      <c r="AT59">
        <f t="shared" si="5"/>
        <v>9.5609999999999999</v>
      </c>
      <c r="AU59">
        <f t="shared" si="6"/>
        <v>11.4953</v>
      </c>
      <c r="AV59">
        <f t="shared" si="7"/>
        <v>9.5609999999999999</v>
      </c>
      <c r="AX59">
        <f>LOG10(SUM(AS$3:AS59))</f>
        <v>2.4539746378481726</v>
      </c>
      <c r="AY59">
        <f>LOG10(SUM(AT$3:AT59))</f>
        <v>2.1465487872340296</v>
      </c>
      <c r="AZ59">
        <f>LOG10(SUM(AU$3:AU59))</f>
        <v>2.1943025543468737</v>
      </c>
      <c r="BA59">
        <f>LOG10(SUM(AV$3:AV59))</f>
        <v>2.2421307911566024</v>
      </c>
      <c r="BC59" t="str">
        <f t="shared" si="8"/>
        <v>(57,2.45397463784817)</v>
      </c>
      <c r="BD59" t="str">
        <f t="shared" si="9"/>
        <v>(57,2.14654878723403)</v>
      </c>
      <c r="BE59" t="str">
        <f t="shared" si="10"/>
        <v>(57,2.19430255434687)</v>
      </c>
      <c r="BF59" t="str">
        <f t="shared" si="11"/>
        <v>(57,2.2421307911566)</v>
      </c>
    </row>
    <row r="60" spans="1:58">
      <c r="A60">
        <v>58</v>
      </c>
      <c r="B60" t="e">
        <f>IF(OR(Sorting!B61=0,Sorting!A61="Grand Total"),NA(),Sorting!B61)</f>
        <v>#N/A</v>
      </c>
      <c r="C60">
        <f>IF(OR(Sorting!D61=0,Sorting!C61="Grand Total"),NA(),Sorting!D61)</f>
        <v>221.3562</v>
      </c>
      <c r="D60">
        <f>IF(OR(Sorting!F61=0,Sorting!E61="Grand Total"),NA(),Sorting!F61)</f>
        <v>11.5985</v>
      </c>
      <c r="E60" t="e">
        <f>IF(OR(Sorting!H61=0,Sorting!G61="Grand Total"),NA(),Sorting!H61)</f>
        <v>#N/A</v>
      </c>
      <c r="F60">
        <f>IF(OR(Sorting!J61=0,Sorting!I61="Grand Total"),NA(),Sorting!J61)</f>
        <v>236.76560000000001</v>
      </c>
      <c r="G60">
        <f>IF(OR(Sorting!L61=0,Sorting!K61="Grand Total"),NA(),Sorting!L61)</f>
        <v>12.953200000000001</v>
      </c>
      <c r="H60" t="e">
        <f>IF(OR(Sorting!O61=0,Sorting!N61="Grand Total"),NA(),Sorting!O61)</f>
        <v>#N/A</v>
      </c>
      <c r="I60" t="e">
        <f>IF(OR(Sorting!Q61=0,Sorting!P61="Grand Total"),NA(),Sorting!Q61)</f>
        <v>#N/A</v>
      </c>
      <c r="J60">
        <f>IF(OR(Sorting!S61=0,Sorting!R61="Grand Total"),NA(),Sorting!S61)</f>
        <v>10.992699999999999</v>
      </c>
      <c r="K60" t="e">
        <f>IF(OR(Sorting!U61=0,Sorting!T61="Grand Total"),NA(),Sorting!U61)</f>
        <v>#N/A</v>
      </c>
      <c r="L60" t="e">
        <f>IF(OR(Sorting!W61=0,Sorting!V61="Grand Total"),NA(),Sorting!W61)</f>
        <v>#N/A</v>
      </c>
      <c r="M60">
        <f>IF(OR(Sorting!Y61=0,Sorting!X61="Grand Total"),NA(),Sorting!Y61)</f>
        <v>9.5617999999999999</v>
      </c>
      <c r="N60">
        <f t="shared" si="2"/>
        <v>9.5617999999999999</v>
      </c>
      <c r="O60">
        <v>58</v>
      </c>
      <c r="P60" t="e">
        <f>IF(OR(LOG10(SUM(B$3:B60))=P59,P59=""),NA(),LOG10(SUM(B$3:B60)))</f>
        <v>#N/A</v>
      </c>
      <c r="Q60">
        <f>IF(OR(LOG10(SUM(C$3:C60))=Q59,Q59=""),NA(),LOG10(SUM(C$3:C60)))</f>
        <v>3.4733371381719653</v>
      </c>
      <c r="R60">
        <f>IF(OR(LOG10(SUM(D$3:D60))=R59,R59=""),NA(),LOG10(SUM(D$3:D60)))</f>
        <v>2.5022974951500396</v>
      </c>
      <c r="S60" t="e">
        <f>IF(OR(LOG10(SUM(E$3:E60))=S59,S59=""),NA(),LOG10(SUM(E$3:E60)))</f>
        <v>#N/A</v>
      </c>
      <c r="T60">
        <f>IF(OR(LOG10(SUM(F$3:F60))=T59,T59=""),NA(),LOG10(SUM(F$3:F60)))</f>
        <v>3.3206810532508739</v>
      </c>
      <c r="U60">
        <f>IF(OR(LOG10(SUM(G$3:G60))=U59,U59=""),NA(),LOG10(SUM(G$3:G60)))</f>
        <v>2.3044987138026434</v>
      </c>
      <c r="V60" t="e">
        <f>IF(OR(LOG10(SUM(H$3:H60))=V59,V59=""),NA(),LOG10(SUM(H$3:H60)))</f>
        <v>#N/A</v>
      </c>
      <c r="W60" t="e">
        <f>IF(OR(LOG10(SUM(I$3:I60))=W59,W59=""),NA(),LOG10(SUM(I$3:I60)))</f>
        <v>#N/A</v>
      </c>
      <c r="X60">
        <f>IF(OR(LOG10(SUM(J$3:J60))=X59,X59=""),NA(),LOG10(SUM(J$3:J60)))</f>
        <v>2.4707440962164346</v>
      </c>
      <c r="Y60" t="e">
        <f>IF(OR(LOG10(SUM(K$3:K60))=Y59,Y59=""),NA(),LOG10(SUM(K$3:K60)))</f>
        <v>#N/A</v>
      </c>
      <c r="Z60" t="e">
        <f>IF(OR(LOG10(SUM(L$3:L60))=Z59,Z59=""),NA(),LOG10(SUM(L$3:L60)))</f>
        <v>#N/A</v>
      </c>
      <c r="AA60">
        <f>IF(OR(LOG10(SUM(M$3:M60))=AA59,AA59=""),NA(),LOG10(SUM(M$3:M60)))</f>
        <v>2.2724413083038111</v>
      </c>
      <c r="AB60">
        <f>IF(OR(LOG10(SUM(N$3:N60))=AB59,AB59=""),NA(),LOG10(SUM(N$3:N60)))</f>
        <v>2.1751144464221452</v>
      </c>
      <c r="AD60" t="str">
        <f t="shared" si="13"/>
        <v/>
      </c>
      <c r="AE60" t="str">
        <f t="shared" si="13"/>
        <v>(58,3.47333713817197)</v>
      </c>
      <c r="AF60" t="str">
        <f t="shared" si="13"/>
        <v>(58,2.50229749515004)</v>
      </c>
      <c r="AG60" t="str">
        <f t="shared" si="13"/>
        <v/>
      </c>
      <c r="AH60" t="str">
        <f t="shared" si="13"/>
        <v>(58,3.32068105325087)</v>
      </c>
      <c r="AI60" t="str">
        <f t="shared" si="13"/>
        <v>(58,2.30449871380264)</v>
      </c>
      <c r="AJ60" t="str">
        <f t="shared" si="12"/>
        <v/>
      </c>
      <c r="AK60" t="str">
        <f t="shared" si="12"/>
        <v/>
      </c>
      <c r="AL60" t="str">
        <f t="shared" si="12"/>
        <v>(58,2.47074409621643)</v>
      </c>
      <c r="AM60" t="str">
        <f t="shared" si="12"/>
        <v/>
      </c>
      <c r="AN60" t="str">
        <f t="shared" si="12"/>
        <v/>
      </c>
      <c r="AO60" t="str">
        <f t="shared" si="12"/>
        <v>(58,2.27244130830381)</v>
      </c>
      <c r="AP60" t="str">
        <f t="shared" si="12"/>
        <v>(58,2.17511444642215)</v>
      </c>
      <c r="AS60">
        <f t="shared" si="4"/>
        <v>10.992699999999999</v>
      </c>
      <c r="AT60">
        <f t="shared" si="5"/>
        <v>9.5617999999999999</v>
      </c>
      <c r="AU60">
        <f t="shared" si="6"/>
        <v>11.5985</v>
      </c>
      <c r="AV60">
        <f t="shared" si="7"/>
        <v>9.5617999999999999</v>
      </c>
      <c r="AX60">
        <f>LOG10(SUM(AS$3:AS60))</f>
        <v>2.4704431279943191</v>
      </c>
      <c r="AY60">
        <f>LOG10(SUM(AT$3:AT60))</f>
        <v>2.1752145475356324</v>
      </c>
      <c r="AZ60">
        <f>LOG10(SUM(AU$3:AU60))</f>
        <v>2.2253666668481094</v>
      </c>
      <c r="BA60">
        <f>LOG10(SUM(AV$3:AV60))</f>
        <v>2.2652816094934778</v>
      </c>
      <c r="BC60" t="str">
        <f t="shared" si="8"/>
        <v>(58,2.47044312799432)</v>
      </c>
      <c r="BD60" t="str">
        <f t="shared" si="9"/>
        <v>(58,2.17521454753563)</v>
      </c>
      <c r="BE60" t="str">
        <f t="shared" si="10"/>
        <v>(58,2.22536666684811)</v>
      </c>
      <c r="BF60" t="str">
        <f t="shared" si="11"/>
        <v>(58,2.26528160949348)</v>
      </c>
    </row>
    <row r="61" spans="1:58">
      <c r="A61">
        <v>59</v>
      </c>
      <c r="B61" t="e">
        <f>IF(OR(Sorting!B62=0,Sorting!A62="Grand Total"),NA(),Sorting!B62)</f>
        <v>#N/A</v>
      </c>
      <c r="C61">
        <f>IF(OR(Sorting!D62=0,Sorting!C62="Grand Total"),NA(),Sorting!D62)</f>
        <v>224.70939999999999</v>
      </c>
      <c r="D61">
        <f>IF(OR(Sorting!F62=0,Sorting!E62="Grand Total"),NA(),Sorting!F62)</f>
        <v>13.446899999999999</v>
      </c>
      <c r="E61" t="e">
        <f>IF(OR(Sorting!H62=0,Sorting!G62="Grand Total"),NA(),Sorting!H62)</f>
        <v>#N/A</v>
      </c>
      <c r="F61">
        <f>IF(OR(Sorting!J62=0,Sorting!I62="Grand Total"),NA(),Sorting!J62)</f>
        <v>237.3</v>
      </c>
      <c r="G61">
        <f>IF(OR(Sorting!L62=0,Sorting!K62="Grand Total"),NA(),Sorting!L62)</f>
        <v>14.3453</v>
      </c>
      <c r="H61" t="e">
        <f>IF(OR(Sorting!O62=0,Sorting!N62="Grand Total"),NA(),Sorting!O62)</f>
        <v>#N/A</v>
      </c>
      <c r="I61" t="e">
        <f>IF(OR(Sorting!Q62=0,Sorting!P62="Grand Total"),NA(),Sorting!Q62)</f>
        <v>#N/A</v>
      </c>
      <c r="J61">
        <f>IF(OR(Sorting!S62=0,Sorting!R62="Grand Total"),NA(),Sorting!S62)</f>
        <v>12.3704</v>
      </c>
      <c r="K61" t="e">
        <f>IF(OR(Sorting!U62=0,Sorting!T62="Grand Total"),NA(),Sorting!U62)</f>
        <v>#N/A</v>
      </c>
      <c r="L61" t="e">
        <f>IF(OR(Sorting!W62=0,Sorting!V62="Grand Total"),NA(),Sorting!W62)</f>
        <v>#N/A</v>
      </c>
      <c r="M61">
        <f>IF(OR(Sorting!Y62=0,Sorting!X62="Grand Total"),NA(),Sorting!Y62)</f>
        <v>11.0084</v>
      </c>
      <c r="N61">
        <f t="shared" si="2"/>
        <v>11.0084</v>
      </c>
      <c r="O61">
        <v>59</v>
      </c>
      <c r="P61" t="e">
        <f>IF(OR(LOG10(SUM(B$3:B61))=P60,P60=""),NA(),LOG10(SUM(B$3:B61)))</f>
        <v>#N/A</v>
      </c>
      <c r="Q61">
        <f>IF(OR(LOG10(SUM(C$3:C61))=Q60,Q60=""),NA(),LOG10(SUM(C$3:C61)))</f>
        <v>3.5049712293604816</v>
      </c>
      <c r="R61">
        <f>IF(OR(LOG10(SUM(D$3:D61))=R60,R60=""),NA(),LOG10(SUM(D$3:D61)))</f>
        <v>2.5202895962832121</v>
      </c>
      <c r="S61" t="e">
        <f>IF(OR(LOG10(SUM(E$3:E61))=S60,S60=""),NA(),LOG10(SUM(E$3:E61)))</f>
        <v>#N/A</v>
      </c>
      <c r="T61">
        <f>IF(OR(LOG10(SUM(F$3:F61))=T60,T60=""),NA(),LOG10(SUM(F$3:F61)))</f>
        <v>3.3673326399810817</v>
      </c>
      <c r="U61">
        <f>IF(OR(LOG10(SUM(G$3:G61))=U60,U60=""),NA(),LOG10(SUM(G$3:G61)))</f>
        <v>2.3343513984004276</v>
      </c>
      <c r="V61" t="e">
        <f>IF(OR(LOG10(SUM(H$3:H61))=V60,V60=""),NA(),LOG10(SUM(H$3:H61)))</f>
        <v>#N/A</v>
      </c>
      <c r="W61" t="e">
        <f>IF(OR(LOG10(SUM(I$3:I61))=W60,W60=""),NA(),LOG10(SUM(I$3:I61)))</f>
        <v>#N/A</v>
      </c>
      <c r="X61">
        <f>IF(OR(LOG10(SUM(J$3:J61))=X60,X60=""),NA(),LOG10(SUM(J$3:J61)))</f>
        <v>2.4885470503627203</v>
      </c>
      <c r="Y61" t="e">
        <f>IF(OR(LOG10(SUM(K$3:K61))=Y60,Y60=""),NA(),LOG10(SUM(K$3:K61)))</f>
        <v>#N/A</v>
      </c>
      <c r="Z61" t="e">
        <f>IF(OR(LOG10(SUM(L$3:L61))=Z60,Z60=""),NA(),LOG10(SUM(L$3:L61)))</f>
        <v>#N/A</v>
      </c>
      <c r="AA61">
        <f>IF(OR(LOG10(SUM(M$3:M61))=AA60,AA60=""),NA(),LOG10(SUM(M$3:M61)))</f>
        <v>2.2972499971910048</v>
      </c>
      <c r="AB61">
        <f>IF(OR(LOG10(SUM(N$3:N61))=AB60,AB60=""),NA(),LOG10(SUM(N$3:N61)))</f>
        <v>2.2059385778984475</v>
      </c>
      <c r="AD61" t="str">
        <f t="shared" si="13"/>
        <v/>
      </c>
      <c r="AE61" t="str">
        <f t="shared" si="13"/>
        <v>(59,3.50497122936048)</v>
      </c>
      <c r="AF61" t="str">
        <f t="shared" si="13"/>
        <v>(59,2.52028959628321)</v>
      </c>
      <c r="AG61" t="str">
        <f t="shared" si="13"/>
        <v/>
      </c>
      <c r="AH61" t="str">
        <f t="shared" si="13"/>
        <v>(59,3.36733263998108)</v>
      </c>
      <c r="AI61" t="str">
        <f t="shared" si="13"/>
        <v>(59,2.33435139840043)</v>
      </c>
      <c r="AJ61" t="str">
        <f t="shared" si="12"/>
        <v/>
      </c>
      <c r="AK61" t="str">
        <f t="shared" si="12"/>
        <v/>
      </c>
      <c r="AL61" t="str">
        <f t="shared" si="12"/>
        <v>(59,2.48854705036272)</v>
      </c>
      <c r="AM61" t="str">
        <f t="shared" si="12"/>
        <v/>
      </c>
      <c r="AN61" t="str">
        <f t="shared" si="12"/>
        <v/>
      </c>
      <c r="AO61" t="str">
        <f t="shared" si="12"/>
        <v>(59,2.297249997191)</v>
      </c>
      <c r="AP61" t="str">
        <f t="shared" si="12"/>
        <v>(59,2.20593857789845)</v>
      </c>
      <c r="AS61">
        <f t="shared" si="4"/>
        <v>12.3704</v>
      </c>
      <c r="AT61">
        <f t="shared" si="5"/>
        <v>11.0084</v>
      </c>
      <c r="AU61">
        <f t="shared" si="6"/>
        <v>13.446899999999999</v>
      </c>
      <c r="AV61">
        <f t="shared" si="7"/>
        <v>11.0084</v>
      </c>
      <c r="AX61">
        <f>LOG10(SUM(AS$3:AS61))</f>
        <v>2.4882581742420524</v>
      </c>
      <c r="AY61">
        <f>LOG10(SUM(AT$3:AT61))</f>
        <v>2.2060318213209493</v>
      </c>
      <c r="AZ61">
        <f>LOG10(SUM(AU$3:AU61))</f>
        <v>2.258802685339302</v>
      </c>
      <c r="BA61">
        <f>LOG10(SUM(AV$3:AV61))</f>
        <v>2.2904909375345621</v>
      </c>
      <c r="BC61" t="str">
        <f t="shared" si="8"/>
        <v>(59,2.48825817424205)</v>
      </c>
      <c r="BD61" t="str">
        <f t="shared" si="9"/>
        <v>(59,2.20603182132095)</v>
      </c>
      <c r="BE61" t="str">
        <f t="shared" si="10"/>
        <v>(59,2.2588026853393)</v>
      </c>
      <c r="BF61" t="str">
        <f t="shared" si="11"/>
        <v>(59,2.29049093753456)</v>
      </c>
    </row>
    <row r="62" spans="1:58">
      <c r="A62">
        <v>60</v>
      </c>
      <c r="B62" t="e">
        <f>IF(OR(Sorting!B63=0,Sorting!A63="Grand Total"),NA(),Sorting!B63)</f>
        <v>#N/A</v>
      </c>
      <c r="C62">
        <f>IF(OR(Sorting!D63=0,Sorting!C63="Grand Total"),NA(),Sorting!D63)</f>
        <v>224.75620000000001</v>
      </c>
      <c r="D62">
        <f>IF(OR(Sorting!F63=0,Sorting!E63="Grand Total"),NA(),Sorting!F63)</f>
        <v>13.4984</v>
      </c>
      <c r="E62" t="e">
        <f>IF(OR(Sorting!H63=0,Sorting!G63="Grand Total"),NA(),Sorting!H63)</f>
        <v>#N/A</v>
      </c>
      <c r="F62">
        <f>IF(OR(Sorting!J63=0,Sorting!I63="Grand Total"),NA(),Sorting!J63)</f>
        <v>238.19069999999999</v>
      </c>
      <c r="G62">
        <f>IF(OR(Sorting!L63=0,Sorting!K63="Grand Total"),NA(),Sorting!L63)</f>
        <v>14.3985</v>
      </c>
      <c r="H62" t="e">
        <f>IF(OR(Sorting!O63=0,Sorting!N63="Grand Total"),NA(),Sorting!O63)</f>
        <v>#N/A</v>
      </c>
      <c r="I62" t="e">
        <f>IF(OR(Sorting!Q63=0,Sorting!P63="Grand Total"),NA(),Sorting!Q63)</f>
        <v>#N/A</v>
      </c>
      <c r="J62">
        <f>IF(OR(Sorting!S63=0,Sorting!R63="Grand Total"),NA(),Sorting!S63)</f>
        <v>12.424300000000001</v>
      </c>
      <c r="K62" t="e">
        <f>IF(OR(Sorting!U63=0,Sorting!T63="Grand Total"),NA(),Sorting!U63)</f>
        <v>#N/A</v>
      </c>
      <c r="L62" t="e">
        <f>IF(OR(Sorting!W63=0,Sorting!V63="Grand Total"),NA(),Sorting!W63)</f>
        <v>#N/A</v>
      </c>
      <c r="M62">
        <f>IF(OR(Sorting!Y63=0,Sorting!X63="Grand Total"),NA(),Sorting!Y63)</f>
        <v>11.017799999999999</v>
      </c>
      <c r="N62">
        <f t="shared" si="2"/>
        <v>11.017799999999999</v>
      </c>
      <c r="O62">
        <v>60</v>
      </c>
      <c r="P62" t="e">
        <f>IF(OR(LOG10(SUM(B$3:B62))=P61,P61=""),NA(),LOG10(SUM(B$3:B62)))</f>
        <v>#N/A</v>
      </c>
      <c r="Q62">
        <f>IF(OR(LOG10(SUM(C$3:C62))=Q61,Q61=""),NA(),LOG10(SUM(C$3:C62)))</f>
        <v>3.5344626446091976</v>
      </c>
      <c r="R62">
        <f>IF(OR(LOG10(SUM(D$3:D62))=R61,R61=""),NA(),LOG10(SUM(D$3:D62)))</f>
        <v>2.5376307340735234</v>
      </c>
      <c r="S62" t="e">
        <f>IF(OR(LOG10(SUM(E$3:E62))=S61,S61=""),NA(),LOG10(SUM(E$3:E62)))</f>
        <v>#N/A</v>
      </c>
      <c r="T62">
        <f>IF(OR(LOG10(SUM(F$3:F62))=T61,T61=""),NA(),LOG10(SUM(F$3:F62)))</f>
        <v>3.4096061472047619</v>
      </c>
      <c r="U62">
        <f>IF(OR(LOG10(SUM(G$3:G62))=U61,U61=""),NA(),LOG10(SUM(G$3:G62)))</f>
        <v>2.3623836916823104</v>
      </c>
      <c r="V62" t="e">
        <f>IF(OR(LOG10(SUM(H$3:H62))=V61,V61=""),NA(),LOG10(SUM(H$3:H62)))</f>
        <v>#N/A</v>
      </c>
      <c r="W62" t="e">
        <f>IF(OR(LOG10(SUM(I$3:I62))=W61,W61=""),NA(),LOG10(SUM(I$3:I62)))</f>
        <v>#N/A</v>
      </c>
      <c r="X62">
        <f>IF(OR(LOG10(SUM(J$3:J62))=X61,X61=""),NA(),LOG10(SUM(J$3:J62)))</f>
        <v>2.5057219202434475</v>
      </c>
      <c r="Y62" t="e">
        <f>IF(OR(LOG10(SUM(K$3:K62))=Y61,Y61=""),NA(),LOG10(SUM(K$3:K62)))</f>
        <v>#N/A</v>
      </c>
      <c r="Z62" t="e">
        <f>IF(OR(LOG10(SUM(L$3:L62))=Z61,Z61=""),NA(),LOG10(SUM(L$3:L62)))</f>
        <v>#N/A</v>
      </c>
      <c r="AA62">
        <f>IF(OR(LOG10(SUM(M$3:M62))=AA61,AA61=""),NA(),LOG10(SUM(M$3:M62)))</f>
        <v>2.3207372723851023</v>
      </c>
      <c r="AB62">
        <f>IF(OR(LOG10(SUM(N$3:N62))=AB61,AB61=""),NA(),LOG10(SUM(N$3:N62)))</f>
        <v>2.2347429770017775</v>
      </c>
      <c r="AD62" t="str">
        <f t="shared" si="13"/>
        <v/>
      </c>
      <c r="AE62" t="str">
        <f t="shared" si="13"/>
        <v>(60,3.5344626446092)</v>
      </c>
      <c r="AF62" t="str">
        <f t="shared" si="13"/>
        <v>(60,2.53763073407352)</v>
      </c>
      <c r="AG62" t="str">
        <f t="shared" si="13"/>
        <v/>
      </c>
      <c r="AH62" t="str">
        <f t="shared" si="13"/>
        <v>(60,3.40960614720476)</v>
      </c>
      <c r="AI62" t="str">
        <f t="shared" si="13"/>
        <v>(60,2.36238369168231)</v>
      </c>
      <c r="AJ62" t="str">
        <f t="shared" si="12"/>
        <v/>
      </c>
      <c r="AK62" t="str">
        <f t="shared" si="12"/>
        <v/>
      </c>
      <c r="AL62" t="str">
        <f t="shared" si="12"/>
        <v>(60,2.50572192024345)</v>
      </c>
      <c r="AM62" t="str">
        <f t="shared" si="12"/>
        <v/>
      </c>
      <c r="AN62" t="str">
        <f t="shared" si="12"/>
        <v/>
      </c>
      <c r="AO62" t="str">
        <f t="shared" si="12"/>
        <v>(60,2.3207372723851)</v>
      </c>
      <c r="AP62" t="str">
        <f t="shared" si="12"/>
        <v>(60,2.23474297700178)</v>
      </c>
      <c r="AS62">
        <f t="shared" si="4"/>
        <v>12.424300000000001</v>
      </c>
      <c r="AT62">
        <f t="shared" si="5"/>
        <v>11.017799999999999</v>
      </c>
      <c r="AU62">
        <f t="shared" si="6"/>
        <v>13.4984</v>
      </c>
      <c r="AV62">
        <f t="shared" si="7"/>
        <v>11.017799999999999</v>
      </c>
      <c r="AX62">
        <f>LOG10(SUM(AS$3:AS62))</f>
        <v>2.5054442488295687</v>
      </c>
      <c r="AY62">
        <f>LOG10(SUM(AT$3:AT62))</f>
        <v>2.2348302373212126</v>
      </c>
      <c r="AZ62">
        <f>LOG10(SUM(AU$3:AU62))</f>
        <v>2.2899622229163294</v>
      </c>
      <c r="BA62">
        <f>LOG10(SUM(AV$3:AV62))</f>
        <v>2.3143366792151467</v>
      </c>
      <c r="BC62" t="str">
        <f t="shared" si="8"/>
        <v>(60,2.50544424882957)</v>
      </c>
      <c r="BD62" t="str">
        <f t="shared" si="9"/>
        <v>(60,2.23483023732121)</v>
      </c>
      <c r="BE62" t="str">
        <f t="shared" si="10"/>
        <v>(60,2.28996222291633)</v>
      </c>
      <c r="BF62" t="str">
        <f t="shared" si="11"/>
        <v>(60,2.31433667921515)</v>
      </c>
    </row>
    <row r="63" spans="1:58">
      <c r="A63">
        <v>61</v>
      </c>
      <c r="B63" t="e">
        <f>IF(OR(Sorting!B64=0,Sorting!A64="Grand Total"),NA(),Sorting!B64)</f>
        <v>#N/A</v>
      </c>
      <c r="C63">
        <f>IF(OR(Sorting!D64=0,Sorting!C64="Grand Total"),NA(),Sorting!D64)</f>
        <v>225.1266</v>
      </c>
      <c r="D63">
        <f>IF(OR(Sorting!F64=0,Sorting!E64="Grand Total"),NA(),Sorting!F64)</f>
        <v>13.5313</v>
      </c>
      <c r="E63" t="e">
        <f>IF(OR(Sorting!H64=0,Sorting!G64="Grand Total"),NA(),Sorting!H64)</f>
        <v>#N/A</v>
      </c>
      <c r="F63">
        <f>IF(OR(Sorting!J64=0,Sorting!I64="Grand Total"),NA(),Sorting!J64)</f>
        <v>238.6078</v>
      </c>
      <c r="G63">
        <f>IF(OR(Sorting!L64=0,Sorting!K64="Grand Total"),NA(),Sorting!L64)</f>
        <v>16.423500000000001</v>
      </c>
      <c r="H63" t="e">
        <f>IF(OR(Sorting!O64=0,Sorting!N64="Grand Total"),NA(),Sorting!O64)</f>
        <v>#N/A</v>
      </c>
      <c r="I63" t="e">
        <f>IF(OR(Sorting!Q64=0,Sorting!P64="Grand Total"),NA(),Sorting!Q64)</f>
        <v>#N/A</v>
      </c>
      <c r="J63">
        <f>IF(OR(Sorting!S64=0,Sorting!R64="Grand Total"),NA(),Sorting!S64)</f>
        <v>12.510199999999999</v>
      </c>
      <c r="K63" t="e">
        <f>IF(OR(Sorting!U64=0,Sorting!T64="Grand Total"),NA(),Sorting!U64)</f>
        <v>#N/A</v>
      </c>
      <c r="L63" t="e">
        <f>IF(OR(Sorting!W64=0,Sorting!V64="Grand Total"),NA(),Sorting!W64)</f>
        <v>#N/A</v>
      </c>
      <c r="M63">
        <f>IF(OR(Sorting!Y64=0,Sorting!X64="Grand Total"),NA(),Sorting!Y64)</f>
        <v>12.415900000000001</v>
      </c>
      <c r="N63">
        <f t="shared" si="2"/>
        <v>12.415900000000001</v>
      </c>
      <c r="O63">
        <v>61</v>
      </c>
      <c r="P63" t="e">
        <f>IF(OR(LOG10(SUM(B$3:B63))=P62,P62=""),NA(),LOG10(SUM(B$3:B63)))</f>
        <v>#N/A</v>
      </c>
      <c r="Q63">
        <f>IF(OR(LOG10(SUM(C$3:C63))=Q62,Q62=""),NA(),LOG10(SUM(C$3:C63)))</f>
        <v>3.5621222067423255</v>
      </c>
      <c r="R63">
        <f>IF(OR(LOG10(SUM(D$3:D63))=R62,R62=""),NA(),LOG10(SUM(D$3:D63)))</f>
        <v>2.5543458252313576</v>
      </c>
      <c r="S63" t="e">
        <f>IF(OR(LOG10(SUM(E$3:E63))=S62,S62=""),NA(),LOG10(SUM(E$3:E63)))</f>
        <v>#N/A</v>
      </c>
      <c r="T63">
        <f>IF(OR(LOG10(SUM(F$3:F63))=T62,T62=""),NA(),LOG10(SUM(F$3:F63)))</f>
        <v>3.4481919096201374</v>
      </c>
      <c r="U63">
        <f>IF(OR(LOG10(SUM(G$3:G63))=U62,U62=""),NA(),LOG10(SUM(G$3:G63)))</f>
        <v>2.3922942969923029</v>
      </c>
      <c r="V63" t="e">
        <f>IF(OR(LOG10(SUM(H$3:H63))=V62,V62=""),NA(),LOG10(SUM(H$3:H63)))</f>
        <v>#N/A</v>
      </c>
      <c r="W63" t="e">
        <f>IF(OR(LOG10(SUM(I$3:I63))=W62,W62=""),NA(),LOG10(SUM(I$3:I63)))</f>
        <v>#N/A</v>
      </c>
      <c r="X63">
        <f>IF(OR(LOG10(SUM(J$3:J63))=X62,X62=""),NA(),LOG10(SUM(J$3:J63)))</f>
        <v>2.5223554092456988</v>
      </c>
      <c r="Y63" t="e">
        <f>IF(OR(LOG10(SUM(K$3:K63))=Y62,Y62=""),NA(),LOG10(SUM(K$3:K63)))</f>
        <v>#N/A</v>
      </c>
      <c r="Z63" t="e">
        <f>IF(OR(LOG10(SUM(L$3:L63))=Z62,Z62=""),NA(),LOG10(SUM(L$3:L63)))</f>
        <v>#N/A</v>
      </c>
      <c r="AA63">
        <f>IF(OR(LOG10(SUM(M$3:M63))=AA62,AA62=""),NA(),LOG10(SUM(M$3:M63)))</f>
        <v>2.3457666725777093</v>
      </c>
      <c r="AB63">
        <f>IF(OR(LOG10(SUM(N$3:N63))=AB62,AB62=""),NA(),LOG10(SUM(N$3:N63)))</f>
        <v>2.2650658193088997</v>
      </c>
      <c r="AD63" t="str">
        <f t="shared" si="13"/>
        <v/>
      </c>
      <c r="AE63" t="str">
        <f t="shared" si="13"/>
        <v>(61,3.56212220674233)</v>
      </c>
      <c r="AF63" t="str">
        <f t="shared" si="13"/>
        <v>(61,2.55434582523136)</v>
      </c>
      <c r="AG63" t="str">
        <f t="shared" si="13"/>
        <v/>
      </c>
      <c r="AH63" t="str">
        <f t="shared" si="13"/>
        <v>(61,3.44819190962014)</v>
      </c>
      <c r="AI63" t="str">
        <f t="shared" si="13"/>
        <v>(61,2.3922942969923)</v>
      </c>
      <c r="AJ63" t="str">
        <f t="shared" si="12"/>
        <v/>
      </c>
      <c r="AK63" t="str">
        <f t="shared" si="12"/>
        <v/>
      </c>
      <c r="AL63" t="str">
        <f t="shared" si="12"/>
        <v>(61,2.5223554092457)</v>
      </c>
      <c r="AM63" t="str">
        <f t="shared" si="12"/>
        <v/>
      </c>
      <c r="AN63" t="str">
        <f t="shared" si="12"/>
        <v/>
      </c>
      <c r="AO63" t="str">
        <f t="shared" si="12"/>
        <v>(61,2.34576667257771)</v>
      </c>
      <c r="AP63" t="str">
        <f t="shared" si="12"/>
        <v>(61,2.2650658193089)</v>
      </c>
      <c r="AS63">
        <f t="shared" si="4"/>
        <v>12.510199999999999</v>
      </c>
      <c r="AT63">
        <f t="shared" si="5"/>
        <v>12.415900000000001</v>
      </c>
      <c r="AU63">
        <f t="shared" si="6"/>
        <v>13.5313</v>
      </c>
      <c r="AV63">
        <f t="shared" si="7"/>
        <v>12.415900000000001</v>
      </c>
      <c r="AX63">
        <f>LOG10(SUM(AS$3:AS63))</f>
        <v>2.5220881747827075</v>
      </c>
      <c r="AY63">
        <f>LOG10(SUM(AT$3:AT63))</f>
        <v>2.2651471954138076</v>
      </c>
      <c r="AZ63">
        <f>LOG10(SUM(AU$3:AU63))</f>
        <v>2.3191035597659968</v>
      </c>
      <c r="BA63">
        <f>LOG10(SUM(AV$3:AV63))</f>
        <v>2.3397270364283616</v>
      </c>
      <c r="BC63" t="str">
        <f t="shared" si="8"/>
        <v>(61,2.52208817478271)</v>
      </c>
      <c r="BD63" t="str">
        <f t="shared" si="9"/>
        <v>(61,2.26514719541381)</v>
      </c>
      <c r="BE63" t="str">
        <f t="shared" si="10"/>
        <v>(61,2.319103559766)</v>
      </c>
      <c r="BF63" t="str">
        <f t="shared" si="11"/>
        <v>(61,2.33972703642836)</v>
      </c>
    </row>
    <row r="64" spans="1:58">
      <c r="A64">
        <v>62</v>
      </c>
      <c r="B64" t="e">
        <f>IF(OR(Sorting!B65=0,Sorting!A65="Grand Total"),NA(),Sorting!B65)</f>
        <v>#N/A</v>
      </c>
      <c r="C64">
        <f>IF(OR(Sorting!D65=0,Sorting!C65="Grand Total"),NA(),Sorting!D65)</f>
        <v>229.31569999999999</v>
      </c>
      <c r="D64">
        <f>IF(OR(Sorting!F65=0,Sorting!E65="Grand Total"),NA(),Sorting!F65)</f>
        <v>13.607799999999999</v>
      </c>
      <c r="E64" t="e">
        <f>IF(OR(Sorting!H65=0,Sorting!G65="Grand Total"),NA(),Sorting!H65)</f>
        <v>#N/A</v>
      </c>
      <c r="F64">
        <f>IF(OR(Sorting!J65=0,Sorting!I65="Grand Total"),NA(),Sorting!J65)</f>
        <v>238.64529999999999</v>
      </c>
      <c r="G64">
        <f>IF(OR(Sorting!L65=0,Sorting!K65="Grand Total"),NA(),Sorting!L65)</f>
        <v>16.473400000000002</v>
      </c>
      <c r="H64" t="e">
        <f>IF(OR(Sorting!O65=0,Sorting!N65="Grand Total"),NA(),Sorting!O65)</f>
        <v>#N/A</v>
      </c>
      <c r="I64" t="e">
        <f>IF(OR(Sorting!Q65=0,Sorting!P65="Grand Total"),NA(),Sorting!Q65)</f>
        <v>#N/A</v>
      </c>
      <c r="J64">
        <f>IF(OR(Sorting!S65=0,Sorting!R65="Grand Total"),NA(),Sorting!S65)</f>
        <v>12.557</v>
      </c>
      <c r="K64" t="e">
        <f>IF(OR(Sorting!U65=0,Sorting!T65="Grand Total"),NA(),Sorting!U65)</f>
        <v>#N/A</v>
      </c>
      <c r="L64" t="e">
        <f>IF(OR(Sorting!W65=0,Sorting!V65="Grand Total"),NA(),Sorting!W65)</f>
        <v>#N/A</v>
      </c>
      <c r="M64">
        <f>IF(OR(Sorting!Y65=0,Sorting!X65="Grand Total"),NA(),Sorting!Y65)</f>
        <v>12.4191</v>
      </c>
      <c r="N64">
        <f t="shared" si="2"/>
        <v>12.4191</v>
      </c>
      <c r="O64">
        <v>62</v>
      </c>
      <c r="P64" t="e">
        <f>IF(OR(LOG10(SUM(B$3:B64))=P63,P63=""),NA(),LOG10(SUM(B$3:B64)))</f>
        <v>#N/A</v>
      </c>
      <c r="Q64">
        <f>IF(OR(LOG10(SUM(C$3:C64))=Q63,Q63=""),NA(),LOG10(SUM(C$3:C64)))</f>
        <v>3.5885945562071364</v>
      </c>
      <c r="R64">
        <f>IF(OR(LOG10(SUM(D$3:D64))=R63,R63=""),NA(),LOG10(SUM(D$3:D64)))</f>
        <v>2.5705306813969044</v>
      </c>
      <c r="S64" t="e">
        <f>IF(OR(LOG10(SUM(E$3:E64))=S63,S63=""),NA(),LOG10(SUM(E$3:E64)))</f>
        <v>#N/A</v>
      </c>
      <c r="T64">
        <f>IF(OR(LOG10(SUM(F$3:F64))=T63,T63=""),NA(),LOG10(SUM(F$3:F64)))</f>
        <v>3.4836327778419585</v>
      </c>
      <c r="U64">
        <f>IF(OR(LOG10(SUM(G$3:G64))=U63,U63=""),NA(),LOG10(SUM(G$3:G64)))</f>
        <v>2.4203593061838178</v>
      </c>
      <c r="V64" t="e">
        <f>IF(OR(LOG10(SUM(H$3:H64))=V63,V63=""),NA(),LOG10(SUM(H$3:H64)))</f>
        <v>#N/A</v>
      </c>
      <c r="W64" t="e">
        <f>IF(OR(LOG10(SUM(I$3:I64))=W63,W63=""),NA(),LOG10(SUM(I$3:I64)))</f>
        <v>#N/A</v>
      </c>
      <c r="X64">
        <f>IF(OR(LOG10(SUM(J$3:J64))=X63,X63=""),NA(),LOG10(SUM(J$3:J64)))</f>
        <v>2.5384340987545344</v>
      </c>
      <c r="Y64" t="e">
        <f>IF(OR(LOG10(SUM(K$3:K64))=Y63,Y63=""),NA(),LOG10(SUM(K$3:K64)))</f>
        <v>#N/A</v>
      </c>
      <c r="Z64" t="e">
        <f>IF(OR(LOG10(SUM(L$3:L64))=Z63,Z63=""),NA(),LOG10(SUM(L$3:L64)))</f>
        <v>#N/A</v>
      </c>
      <c r="AA64">
        <f>IF(OR(LOG10(SUM(M$3:M64))=AA63,AA63=""),NA(),LOG10(SUM(M$3:M64)))</f>
        <v>2.3694377734382939</v>
      </c>
      <c r="AB64">
        <f>IF(OR(LOG10(SUM(N$3:N64))=AB63,AB63=""),NA(),LOG10(SUM(N$3:N64)))</f>
        <v>2.2934160370490488</v>
      </c>
      <c r="AD64" t="str">
        <f t="shared" si="13"/>
        <v/>
      </c>
      <c r="AE64" t="str">
        <f t="shared" si="13"/>
        <v>(62,3.58859455620714)</v>
      </c>
      <c r="AF64" t="str">
        <f t="shared" si="13"/>
        <v>(62,2.5705306813969)</v>
      </c>
      <c r="AG64" t="str">
        <f t="shared" si="13"/>
        <v/>
      </c>
      <c r="AH64" t="str">
        <f t="shared" si="13"/>
        <v>(62,3.48363277784196)</v>
      </c>
      <c r="AI64" t="str">
        <f t="shared" si="13"/>
        <v>(62,2.42035930618382)</v>
      </c>
      <c r="AJ64" t="str">
        <f t="shared" si="12"/>
        <v/>
      </c>
      <c r="AK64" t="str">
        <f t="shared" si="12"/>
        <v/>
      </c>
      <c r="AL64" t="str">
        <f t="shared" si="12"/>
        <v>(62,2.53843409875453)</v>
      </c>
      <c r="AM64" t="str">
        <f t="shared" si="12"/>
        <v/>
      </c>
      <c r="AN64" t="str">
        <f t="shared" si="12"/>
        <v/>
      </c>
      <c r="AO64" t="str">
        <f t="shared" si="12"/>
        <v>(62,2.36943777343829)</v>
      </c>
      <c r="AP64" t="str">
        <f t="shared" si="12"/>
        <v>(62,2.29341603704905)</v>
      </c>
      <c r="AS64">
        <f t="shared" si="4"/>
        <v>12.557</v>
      </c>
      <c r="AT64">
        <f t="shared" si="5"/>
        <v>12.4191</v>
      </c>
      <c r="AU64">
        <f t="shared" si="6"/>
        <v>13.607799999999999</v>
      </c>
      <c r="AV64">
        <f t="shared" si="7"/>
        <v>12.4191</v>
      </c>
      <c r="AX64">
        <f>LOG10(SUM(AS$3:AS64))</f>
        <v>2.5381765799676108</v>
      </c>
      <c r="AY64">
        <f>LOG10(SUM(AT$3:AT64))</f>
        <v>2.2934922711445238</v>
      </c>
      <c r="AZ64">
        <f>LOG10(SUM(AU$3:AU64))</f>
        <v>2.3465614640009402</v>
      </c>
      <c r="BA64">
        <f>LOG10(SUM(AV$3:AV64))</f>
        <v>2.3637206339228087</v>
      </c>
      <c r="BC64" t="str">
        <f t="shared" si="8"/>
        <v>(62,2.53817657996761)</v>
      </c>
      <c r="BD64" t="str">
        <f t="shared" si="9"/>
        <v>(62,2.29349227114452)</v>
      </c>
      <c r="BE64" t="str">
        <f t="shared" si="10"/>
        <v>(62,2.34656146400094)</v>
      </c>
      <c r="BF64" t="str">
        <f t="shared" si="11"/>
        <v>(62,2.36372063392281)</v>
      </c>
    </row>
    <row r="65" spans="1:58">
      <c r="A65">
        <v>63</v>
      </c>
      <c r="B65" t="e">
        <f>IF(OR(Sorting!B66=0,Sorting!A66="Grand Total"),NA(),Sorting!B66)</f>
        <v>#N/A</v>
      </c>
      <c r="C65" t="e">
        <f>IF(OR(Sorting!D66=0,Sorting!C66="Grand Total"),NA(),Sorting!D66)</f>
        <v>#N/A</v>
      </c>
      <c r="D65">
        <f>IF(OR(Sorting!F66=0,Sorting!E66="Grand Total"),NA(),Sorting!F66)</f>
        <v>13.6625</v>
      </c>
      <c r="E65" t="e">
        <f>IF(OR(Sorting!H66=0,Sorting!G66="Grand Total"),NA(),Sorting!H66)</f>
        <v>#N/A</v>
      </c>
      <c r="F65" t="e">
        <f>IF(OR(Sorting!J66=0,Sorting!I66="Grand Total"),NA(),Sorting!J66)</f>
        <v>#N/A</v>
      </c>
      <c r="G65">
        <f>IF(OR(Sorting!L66=0,Sorting!K66="Grand Total"),NA(),Sorting!L66)</f>
        <v>16.476600000000001</v>
      </c>
      <c r="H65" t="e">
        <f>IF(OR(Sorting!O66=0,Sorting!N66="Grand Total"),NA(),Sorting!O66)</f>
        <v>#N/A</v>
      </c>
      <c r="I65" t="e">
        <f>IF(OR(Sorting!Q66=0,Sorting!P66="Grand Total"),NA(),Sorting!Q66)</f>
        <v>#N/A</v>
      </c>
      <c r="J65">
        <f>IF(OR(Sorting!S66=0,Sorting!R66="Grand Total"),NA(),Sorting!S66)</f>
        <v>12.6286</v>
      </c>
      <c r="K65" t="e">
        <f>IF(OR(Sorting!U66=0,Sorting!T66="Grand Total"),NA(),Sorting!U66)</f>
        <v>#N/A</v>
      </c>
      <c r="L65" t="e">
        <f>IF(OR(Sorting!W66=0,Sorting!V66="Grand Total"),NA(),Sorting!W66)</f>
        <v>#N/A</v>
      </c>
      <c r="M65">
        <f>IF(OR(Sorting!Y66=0,Sorting!X66="Grand Total"),NA(),Sorting!Y66)</f>
        <v>12.4376</v>
      </c>
      <c r="N65">
        <f t="shared" si="2"/>
        <v>12.4376</v>
      </c>
      <c r="O65">
        <v>63</v>
      </c>
      <c r="P65" t="e">
        <f>IF(OR(LOG10(SUM(B$3:B65))=P64,P64=""),NA(),LOG10(SUM(B$3:B65)))</f>
        <v>#N/A</v>
      </c>
      <c r="Q65" t="e">
        <f>IF(OR(LOG10(SUM(C$3:C65))=Q64,Q64=""),NA(),LOG10(SUM(C$3:C65)))</f>
        <v>#N/A</v>
      </c>
      <c r="R65">
        <f>IF(OR(LOG10(SUM(D$3:D65))=R64,R64=""),NA(),LOG10(SUM(D$3:D65)))</f>
        <v>2.5861955879653942</v>
      </c>
      <c r="S65" t="e">
        <f>IF(OR(LOG10(SUM(E$3:E65))=S64,S64=""),NA(),LOG10(SUM(E$3:E65)))</f>
        <v>#N/A</v>
      </c>
      <c r="T65" t="e">
        <f>IF(OR(LOG10(SUM(F$3:F65))=T64,T64=""),NA(),LOG10(SUM(F$3:F65)))</f>
        <v>#N/A</v>
      </c>
      <c r="U65">
        <f>IF(OR(LOG10(SUM(G$3:G65))=U64,U64=""),NA(),LOG10(SUM(G$3:G65)))</f>
        <v>2.4467252274296016</v>
      </c>
      <c r="V65" t="e">
        <f>IF(OR(LOG10(SUM(H$3:H65))=V64,V64=""),NA(),LOG10(SUM(H$3:H65)))</f>
        <v>#N/A</v>
      </c>
      <c r="W65" t="e">
        <f>IF(OR(LOG10(SUM(I$3:I65))=W64,W64=""),NA(),LOG10(SUM(I$3:I65)))</f>
        <v>#N/A</v>
      </c>
      <c r="X65">
        <f>IF(OR(LOG10(SUM(J$3:J65))=X64,X64=""),NA(),LOG10(SUM(J$3:J65)))</f>
        <v>2.5540255440438306</v>
      </c>
      <c r="Y65" t="e">
        <f>IF(OR(LOG10(SUM(K$3:K65))=Y64,Y64=""),NA(),LOG10(SUM(K$3:K65)))</f>
        <v>#N/A</v>
      </c>
      <c r="Z65" t="e">
        <f>IF(OR(LOG10(SUM(L$3:L65))=Z64,Z64=""),NA(),LOG10(SUM(L$3:L65)))</f>
        <v>#N/A</v>
      </c>
      <c r="AA65">
        <f>IF(OR(LOG10(SUM(M$3:M65))=AA64,AA64=""),NA(),LOG10(SUM(M$3:M65)))</f>
        <v>2.391917689384345</v>
      </c>
      <c r="AB65">
        <f>IF(OR(LOG10(SUM(N$3:N65))=AB64,AB64=""),NA(),LOG10(SUM(N$3:N65)))</f>
        <v>2.3200669006301085</v>
      </c>
      <c r="AD65" t="str">
        <f t="shared" si="13"/>
        <v/>
      </c>
      <c r="AE65" t="str">
        <f t="shared" si="13"/>
        <v/>
      </c>
      <c r="AF65" t="str">
        <f t="shared" si="13"/>
        <v>(63,2.58619558796539)</v>
      </c>
      <c r="AG65" t="str">
        <f t="shared" si="13"/>
        <v/>
      </c>
      <c r="AH65" t="str">
        <f t="shared" si="13"/>
        <v/>
      </c>
      <c r="AI65" t="str">
        <f t="shared" si="13"/>
        <v>(63,2.4467252274296)</v>
      </c>
      <c r="AJ65" t="str">
        <f t="shared" si="12"/>
        <v/>
      </c>
      <c r="AK65" t="str">
        <f t="shared" si="12"/>
        <v/>
      </c>
      <c r="AL65" t="str">
        <f t="shared" si="12"/>
        <v>(63,2.55402554404383)</v>
      </c>
      <c r="AM65" t="str">
        <f t="shared" si="12"/>
        <v/>
      </c>
      <c r="AN65" t="str">
        <f t="shared" si="12"/>
        <v/>
      </c>
      <c r="AO65" t="str">
        <f t="shared" si="12"/>
        <v>(63,2.39191768938435)</v>
      </c>
      <c r="AP65" t="str">
        <f t="shared" si="12"/>
        <v>(63,2.32006690063011)</v>
      </c>
      <c r="AS65">
        <f t="shared" si="4"/>
        <v>12.6286</v>
      </c>
      <c r="AT65">
        <f t="shared" si="5"/>
        <v>12.4376</v>
      </c>
      <c r="AU65">
        <f t="shared" si="6"/>
        <v>13.6625</v>
      </c>
      <c r="AV65">
        <f t="shared" si="7"/>
        <v>12.4376</v>
      </c>
      <c r="AX65">
        <f>LOG10(SUM(AS$3:AS65))</f>
        <v>2.5537771089573797</v>
      </c>
      <c r="AY65">
        <f>LOG10(SUM(AT$3:AT65))</f>
        <v>2.3201385975760931</v>
      </c>
      <c r="AZ65">
        <f>LOG10(SUM(AU$3:AU65))</f>
        <v>2.3724868856664147</v>
      </c>
      <c r="BA65">
        <f>LOG10(SUM(AV$3:AV65))</f>
        <v>2.3864907611420825</v>
      </c>
      <c r="BC65" t="str">
        <f t="shared" si="8"/>
        <v>(63,2.55377710895738)</v>
      </c>
      <c r="BD65" t="str">
        <f t="shared" si="9"/>
        <v>(63,2.32013859757609)</v>
      </c>
      <c r="BE65" t="str">
        <f t="shared" si="10"/>
        <v>(63,2.37248688566641)</v>
      </c>
      <c r="BF65" t="str">
        <f t="shared" si="11"/>
        <v>(63,2.38649076114208)</v>
      </c>
    </row>
    <row r="66" spans="1:58">
      <c r="A66">
        <v>64</v>
      </c>
      <c r="B66" t="e">
        <f>IF(OR(Sorting!B67=0,Sorting!A67="Grand Total"),NA(),Sorting!B67)</f>
        <v>#N/A</v>
      </c>
      <c r="C66" t="e">
        <f>IF(OR(Sorting!D67=0,Sorting!C67="Grand Total"),NA(),Sorting!D67)</f>
        <v>#N/A</v>
      </c>
      <c r="D66">
        <f>IF(OR(Sorting!F67=0,Sorting!E67="Grand Total"),NA(),Sorting!F67)</f>
        <v>18.259399999999999</v>
      </c>
      <c r="E66" t="e">
        <f>IF(OR(Sorting!H67=0,Sorting!G67="Grand Total"),NA(),Sorting!H67)</f>
        <v>#N/A</v>
      </c>
      <c r="F66" t="e">
        <f>IF(OR(Sorting!J67=0,Sorting!I67="Grand Total"),NA(),Sorting!J67)</f>
        <v>#N/A</v>
      </c>
      <c r="G66">
        <f>IF(OR(Sorting!L67=0,Sorting!K67="Grand Total"),NA(),Sorting!L67)</f>
        <v>16.5656</v>
      </c>
      <c r="H66" t="e">
        <f>IF(OR(Sorting!O67=0,Sorting!N67="Grand Total"),NA(),Sorting!O67)</f>
        <v>#N/A</v>
      </c>
      <c r="I66" t="e">
        <f>IF(OR(Sorting!Q67=0,Sorting!P67="Grand Total"),NA(),Sorting!Q67)</f>
        <v>#N/A</v>
      </c>
      <c r="J66">
        <f>IF(OR(Sorting!S67=0,Sorting!R67="Grand Total"),NA(),Sorting!S67)</f>
        <v>28.084299999999999</v>
      </c>
      <c r="K66" t="e">
        <f>IF(OR(Sorting!U67=0,Sorting!T67="Grand Total"),NA(),Sorting!U67)</f>
        <v>#N/A</v>
      </c>
      <c r="L66" t="e">
        <f>IF(OR(Sorting!W67=0,Sorting!V67="Grand Total"),NA(),Sorting!W67)</f>
        <v>#N/A</v>
      </c>
      <c r="M66">
        <f>IF(OR(Sorting!Y67=0,Sorting!X67="Grand Total"),NA(),Sorting!Y67)</f>
        <v>12.457599999999999</v>
      </c>
      <c r="N66">
        <f t="shared" si="2"/>
        <v>12.457599999999999</v>
      </c>
      <c r="O66">
        <v>64</v>
      </c>
      <c r="P66" t="e">
        <f>IF(OR(LOG10(SUM(B$3:B66))=P65,P65=""),NA(),LOG10(SUM(B$3:B66)))</f>
        <v>#N/A</v>
      </c>
      <c r="Q66" t="e">
        <f>IF(OR(LOG10(SUM(C$3:C66))=Q65,Q65=""),NA(),LOG10(SUM(C$3:C66)))</f>
        <v>#N/A</v>
      </c>
      <c r="R66">
        <f>IF(OR(LOG10(SUM(D$3:D66))=R65,R65=""),NA(),LOG10(SUM(D$3:D66)))</f>
        <v>2.6062861108754229</v>
      </c>
      <c r="S66" t="e">
        <f>IF(OR(LOG10(SUM(E$3:E66))=S65,S65=""),NA(),LOG10(SUM(E$3:E66)))</f>
        <v>#N/A</v>
      </c>
      <c r="T66" t="e">
        <f>IF(OR(LOG10(SUM(F$3:F66))=T65,T65=""),NA(),LOG10(SUM(F$3:F66)))</f>
        <v>#N/A</v>
      </c>
      <c r="U66">
        <f>IF(OR(LOG10(SUM(G$3:G66))=U65,U65=""),NA(),LOG10(SUM(G$3:G66)))</f>
        <v>2.4717121568926421</v>
      </c>
      <c r="V66" t="e">
        <f>IF(OR(LOG10(SUM(H$3:H66))=V65,V65=""),NA(),LOG10(SUM(H$3:H66)))</f>
        <v>#N/A</v>
      </c>
      <c r="W66" t="e">
        <f>IF(OR(LOG10(SUM(I$3:I66))=W65,W65=""),NA(),LOG10(SUM(I$3:I66)))</f>
        <v>#N/A</v>
      </c>
      <c r="X66">
        <f>IF(OR(LOG10(SUM(J$3:J66))=X65,X65=""),NA(),LOG10(SUM(J$3:J66)))</f>
        <v>2.5868142935973006</v>
      </c>
      <c r="Y66" t="e">
        <f>IF(OR(LOG10(SUM(K$3:K66))=Y65,Y65=""),NA(),LOG10(SUM(K$3:K66)))</f>
        <v>#N/A</v>
      </c>
      <c r="Z66" t="e">
        <f>IF(OR(LOG10(SUM(L$3:L66))=Z65,Z65=""),NA(),LOG10(SUM(L$3:L66)))</f>
        <v>#N/A</v>
      </c>
      <c r="AA66">
        <f>IF(OR(LOG10(SUM(M$3:M66))=AA65,AA65=""),NA(),LOG10(SUM(M$3:M66)))</f>
        <v>2.413324580199764</v>
      </c>
      <c r="AB66">
        <f>IF(OR(LOG10(SUM(N$3:N66))=AB65,AB65=""),NA(),LOG10(SUM(N$3:N66)))</f>
        <v>2.3452156695862443</v>
      </c>
      <c r="AD66" t="str">
        <f t="shared" si="13"/>
        <v/>
      </c>
      <c r="AE66" t="str">
        <f t="shared" si="13"/>
        <v/>
      </c>
      <c r="AF66" t="str">
        <f t="shared" si="13"/>
        <v>(64,2.60628611087542)</v>
      </c>
      <c r="AG66" t="str">
        <f t="shared" si="13"/>
        <v/>
      </c>
      <c r="AH66" t="str">
        <f t="shared" si="13"/>
        <v/>
      </c>
      <c r="AI66" t="str">
        <f t="shared" si="13"/>
        <v>(64,2.47171215689264)</v>
      </c>
      <c r="AJ66" t="str">
        <f t="shared" si="12"/>
        <v/>
      </c>
      <c r="AK66" t="str">
        <f t="shared" si="12"/>
        <v/>
      </c>
      <c r="AL66" t="str">
        <f t="shared" si="12"/>
        <v>(64,2.5868142935973)</v>
      </c>
      <c r="AM66" t="str">
        <f t="shared" si="12"/>
        <v/>
      </c>
      <c r="AN66" t="str">
        <f t="shared" si="12"/>
        <v/>
      </c>
      <c r="AO66" t="str">
        <f t="shared" si="12"/>
        <v>(64,2.41332458019976)</v>
      </c>
      <c r="AP66" t="str">
        <f t="shared" si="12"/>
        <v>(64,2.34521566958624)</v>
      </c>
      <c r="AS66">
        <f t="shared" si="4"/>
        <v>18.259399999999999</v>
      </c>
      <c r="AT66">
        <f t="shared" si="5"/>
        <v>12.457599999999999</v>
      </c>
      <c r="AU66">
        <f t="shared" si="6"/>
        <v>16.5656</v>
      </c>
      <c r="AV66">
        <f t="shared" si="7"/>
        <v>12.457599999999999</v>
      </c>
      <c r="AX66">
        <f>LOG10(SUM(AS$3:AS66))</f>
        <v>2.575386581577531</v>
      </c>
      <c r="AY66">
        <f>LOG10(SUM(AT$3:AT66))</f>
        <v>2.3452833329999381</v>
      </c>
      <c r="AZ66">
        <f>LOG10(SUM(AU$3:AU66))</f>
        <v>2.4019769769634403</v>
      </c>
      <c r="BA66">
        <f>LOG10(SUM(AV$3:AV66))</f>
        <v>2.4081602242391074</v>
      </c>
      <c r="BC66" t="str">
        <f t="shared" si="8"/>
        <v>(64,2.57538658157753)</v>
      </c>
      <c r="BD66" t="str">
        <f t="shared" si="9"/>
        <v>(64,2.34528333299994)</v>
      </c>
      <c r="BE66" t="str">
        <f t="shared" si="10"/>
        <v>(64,2.40197697696344)</v>
      </c>
      <c r="BF66" t="str">
        <f t="shared" si="11"/>
        <v>(64,2.40816022423911)</v>
      </c>
    </row>
    <row r="67" spans="1:58">
      <c r="A67">
        <v>65</v>
      </c>
      <c r="B67" t="e">
        <f>IF(OR(Sorting!B68=0,Sorting!A68="Grand Total"),NA(),Sorting!B68)</f>
        <v>#N/A</v>
      </c>
      <c r="C67" t="e">
        <f>IF(OR(Sorting!D68=0,Sorting!C68="Grand Total"),NA(),Sorting!D68)</f>
        <v>#N/A</v>
      </c>
      <c r="D67">
        <f>IF(OR(Sorting!F68=0,Sorting!E68="Grand Total"),NA(),Sorting!F68)</f>
        <v>18.278199999999998</v>
      </c>
      <c r="E67" t="e">
        <f>IF(OR(Sorting!H68=0,Sorting!G68="Grand Total"),NA(),Sorting!H68)</f>
        <v>#N/A</v>
      </c>
      <c r="F67" t="e">
        <f>IF(OR(Sorting!J68=0,Sorting!I68="Grand Total"),NA(),Sorting!J68)</f>
        <v>#N/A</v>
      </c>
      <c r="G67">
        <f>IF(OR(Sorting!L68=0,Sorting!K68="Grand Total"),NA(),Sorting!L68)</f>
        <v>16.587499999999999</v>
      </c>
      <c r="H67" t="e">
        <f>IF(OR(Sorting!O68=0,Sorting!N68="Grand Total"),NA(),Sorting!O68)</f>
        <v>#N/A</v>
      </c>
      <c r="I67" t="e">
        <f>IF(OR(Sorting!Q68=0,Sorting!P68="Grand Total"),NA(),Sorting!Q68)</f>
        <v>#N/A</v>
      </c>
      <c r="J67">
        <f>IF(OR(Sorting!S68=0,Sorting!R68="Grand Total"),NA(),Sorting!S68)</f>
        <v>28.3124</v>
      </c>
      <c r="K67" t="e">
        <f>IF(OR(Sorting!U68=0,Sorting!T68="Grand Total"),NA(),Sorting!U68)</f>
        <v>#N/A</v>
      </c>
      <c r="L67" t="e">
        <f>IF(OR(Sorting!W68=0,Sorting!V68="Grand Total"),NA(),Sorting!W68)</f>
        <v>#N/A</v>
      </c>
      <c r="M67">
        <f>IF(OR(Sorting!Y68=0,Sorting!X68="Grand Total"),NA(),Sorting!Y68)</f>
        <v>12.4582</v>
      </c>
      <c r="N67">
        <f t="shared" si="2"/>
        <v>12.4582</v>
      </c>
      <c r="O67">
        <v>65</v>
      </c>
      <c r="P67" t="e">
        <f>IF(OR(LOG10(SUM(B$3:B67))=P66,P66=""),NA(),LOG10(SUM(B$3:B67)))</f>
        <v>#N/A</v>
      </c>
      <c r="Q67" t="e">
        <f>IF(OR(LOG10(SUM(C$3:C67))=Q66,Q66=""),NA(),LOG10(SUM(C$3:C67)))</f>
        <v>#N/A</v>
      </c>
      <c r="R67">
        <f>IF(OR(LOG10(SUM(D$3:D67))=R66,R66=""),NA(),LOG10(SUM(D$3:D67)))</f>
        <v>2.6255075309180089</v>
      </c>
      <c r="S67" t="e">
        <f>IF(OR(LOG10(SUM(E$3:E67))=S66,S66=""),NA(),LOG10(SUM(E$3:E67)))</f>
        <v>#N/A</v>
      </c>
      <c r="T67" t="e">
        <f>IF(OR(LOG10(SUM(F$3:F67))=T66,T66=""),NA(),LOG10(SUM(F$3:F67)))</f>
        <v>#N/A</v>
      </c>
      <c r="U67">
        <f>IF(OR(LOG10(SUM(G$3:G67))=U66,U66=""),NA(),LOG10(SUM(G$3:G67)))</f>
        <v>2.4953697521535401</v>
      </c>
      <c r="V67" t="e">
        <f>IF(OR(LOG10(SUM(H$3:H67))=V66,V66=""),NA(),LOG10(SUM(H$3:H67)))</f>
        <v>#N/A</v>
      </c>
      <c r="W67" t="e">
        <f>IF(OR(LOG10(SUM(I$3:I67))=W66,W66=""),NA(),LOG10(SUM(I$3:I67)))</f>
        <v>#N/A</v>
      </c>
      <c r="X67">
        <f>IF(OR(LOG10(SUM(J$3:J67))=X66,X66=""),NA(),LOG10(SUM(J$3:J67)))</f>
        <v>2.6175394127536284</v>
      </c>
      <c r="Y67" t="e">
        <f>IF(OR(LOG10(SUM(K$3:K67))=Y66,Y66=""),NA(),LOG10(SUM(K$3:K67)))</f>
        <v>#N/A</v>
      </c>
      <c r="Z67" t="e">
        <f>IF(OR(LOG10(SUM(L$3:L67))=Z66,Z66=""),NA(),LOG10(SUM(L$3:L67)))</f>
        <v>#N/A</v>
      </c>
      <c r="AA67">
        <f>IF(OR(LOG10(SUM(M$3:M67))=AA66,AA66=""),NA(),LOG10(SUM(M$3:M67)))</f>
        <v>2.4337266422706914</v>
      </c>
      <c r="AB67">
        <f>IF(OR(LOG10(SUM(N$3:N67))=AB66,AB66=""),NA(),LOG10(SUM(N$3:N67)))</f>
        <v>2.3689886285545718</v>
      </c>
      <c r="AD67" t="str">
        <f t="shared" si="13"/>
        <v/>
      </c>
      <c r="AE67" t="str">
        <f t="shared" si="13"/>
        <v/>
      </c>
      <c r="AF67" t="str">
        <f t="shared" si="13"/>
        <v>(65,2.62550753091801)</v>
      </c>
      <c r="AG67" t="str">
        <f t="shared" si="13"/>
        <v/>
      </c>
      <c r="AH67" t="str">
        <f t="shared" si="13"/>
        <v/>
      </c>
      <c r="AI67" t="str">
        <f t="shared" si="13"/>
        <v>(65,2.49536975215354)</v>
      </c>
      <c r="AJ67" t="str">
        <f t="shared" si="12"/>
        <v/>
      </c>
      <c r="AK67" t="str">
        <f t="shared" si="12"/>
        <v/>
      </c>
      <c r="AL67" t="str">
        <f t="shared" si="12"/>
        <v>(65,2.61753941275363)</v>
      </c>
      <c r="AM67" t="str">
        <f t="shared" si="12"/>
        <v/>
      </c>
      <c r="AN67" t="str">
        <f t="shared" si="12"/>
        <v/>
      </c>
      <c r="AO67" t="str">
        <f t="shared" si="12"/>
        <v>(65,2.43372664227069)</v>
      </c>
      <c r="AP67" t="str">
        <f t="shared" si="12"/>
        <v>(65,2.36898862855457)</v>
      </c>
      <c r="AS67">
        <f t="shared" si="4"/>
        <v>18.278199999999998</v>
      </c>
      <c r="AT67">
        <f t="shared" si="5"/>
        <v>12.4582</v>
      </c>
      <c r="AU67">
        <f t="shared" si="6"/>
        <v>16.587499999999999</v>
      </c>
      <c r="AV67">
        <f t="shared" si="7"/>
        <v>12.4582</v>
      </c>
      <c r="AX67">
        <f>LOG10(SUM(AS$3:AS67))</f>
        <v>2.5959922907000839</v>
      </c>
      <c r="AY67">
        <f>LOG10(SUM(AT$3:AT67))</f>
        <v>2.369052687937037</v>
      </c>
      <c r="AZ67">
        <f>LOG10(SUM(AU$3:AU67))</f>
        <v>2.4296266554755612</v>
      </c>
      <c r="BA67">
        <f>LOG10(SUM(AV$3:AV67))</f>
        <v>2.4288006336903738</v>
      </c>
      <c r="BC67" t="str">
        <f t="shared" si="8"/>
        <v>(65,2.59599229070008)</v>
      </c>
      <c r="BD67" t="str">
        <f t="shared" si="9"/>
        <v>(65,2.36905268793704)</v>
      </c>
      <c r="BE67" t="str">
        <f t="shared" si="10"/>
        <v>(65,2.42962665547556)</v>
      </c>
      <c r="BF67" t="str">
        <f t="shared" si="11"/>
        <v>(65,2.42880063369037)</v>
      </c>
    </row>
    <row r="68" spans="1:58">
      <c r="A68">
        <v>66</v>
      </c>
      <c r="B68" t="e">
        <f>IF(OR(Sorting!B69=0,Sorting!A69="Grand Total"),NA(),Sorting!B69)</f>
        <v>#N/A</v>
      </c>
      <c r="C68" t="e">
        <f>IF(OR(Sorting!D69=0,Sorting!C69="Grand Total"),NA(),Sorting!D69)</f>
        <v>#N/A</v>
      </c>
      <c r="D68">
        <f>IF(OR(Sorting!F69=0,Sorting!E69="Grand Total"),NA(),Sorting!F69)</f>
        <v>23.176600000000001</v>
      </c>
      <c r="E68" t="e">
        <f>IF(OR(Sorting!H69=0,Sorting!G69="Grand Total"),NA(),Sorting!H69)</f>
        <v>#N/A</v>
      </c>
      <c r="F68" t="e">
        <f>IF(OR(Sorting!J69=0,Sorting!I69="Grand Total"),NA(),Sorting!J69)</f>
        <v>#N/A</v>
      </c>
      <c r="G68">
        <f>IF(OR(Sorting!L69=0,Sorting!K69="Grand Total"),NA(),Sorting!L69)</f>
        <v>28.263999999999999</v>
      </c>
      <c r="H68" t="e">
        <f>IF(OR(Sorting!O69=0,Sorting!N69="Grand Total"),NA(),Sorting!O69)</f>
        <v>#N/A</v>
      </c>
      <c r="I68" t="e">
        <f>IF(OR(Sorting!Q69=0,Sorting!P69="Grand Total"),NA(),Sorting!Q69)</f>
        <v>#N/A</v>
      </c>
      <c r="J68" t="e">
        <f>IF(OR(Sorting!S69=0,Sorting!R69="Grand Total"),NA(),Sorting!S69)</f>
        <v>#N/A</v>
      </c>
      <c r="K68" t="e">
        <f>IF(OR(Sorting!U69=0,Sorting!T69="Grand Total"),NA(),Sorting!U69)</f>
        <v>#N/A</v>
      </c>
      <c r="L68" t="e">
        <f>IF(OR(Sorting!W69=0,Sorting!V69="Grand Total"),NA(),Sorting!W69)</f>
        <v>#N/A</v>
      </c>
      <c r="M68">
        <f>IF(OR(Sorting!Y69=0,Sorting!X69="Grand Total"),NA(),Sorting!Y69)</f>
        <v>28.264099999999999</v>
      </c>
      <c r="N68">
        <f>MIN(_xlfn.IFNA(B68,99999),_xlfn.IFNA(C68,99999),_xlfn.IFNA(D68,99999),_xlfn.IFNA(E68,99999),_xlfn.IFNA(F68,99999),_xlfn.IFNA(G68,99999),_xlfn.IFNA(H68,99999),_xlfn.IFNA(I68,99999),_xlfn.IFNA(J68,99999),_xlfn.IFNA(K68,99999),_xlfn.IFNA(L68,99999),_xlfn.IFNA(M68,99999))</f>
        <v>23.176600000000001</v>
      </c>
      <c r="O68">
        <v>66</v>
      </c>
      <c r="P68" t="e">
        <f>IF(OR(LOG10(SUM(B$3:B68))=P67,P67=""),NA(),LOG10(SUM(B$3:B68)))</f>
        <v>#N/A</v>
      </c>
      <c r="Q68" t="e">
        <f>IF(OR(LOG10(SUM(C$3:C68))=Q67,Q67=""),NA(),LOG10(SUM(C$3:C68)))</f>
        <v>#N/A</v>
      </c>
      <c r="R68">
        <f>IF(OR(LOG10(SUM(D$3:D68))=R67,R67=""),NA(),LOG10(SUM(D$3:D68)))</f>
        <v>2.6487172542101569</v>
      </c>
      <c r="S68" t="e">
        <f>IF(OR(LOG10(SUM(E$3:E68))=S67,S67=""),NA(),LOG10(SUM(E$3:E68)))</f>
        <v>#N/A</v>
      </c>
      <c r="T68" t="e">
        <f>IF(OR(LOG10(SUM(F$3:F68))=T67,T67=""),NA(),LOG10(SUM(F$3:F68)))</f>
        <v>#N/A</v>
      </c>
      <c r="U68">
        <f>IF(OR(LOG10(SUM(G$3:G68))=U67,U67=""),NA(),LOG10(SUM(G$3:G68)))</f>
        <v>2.5329303535918393</v>
      </c>
      <c r="V68" t="e">
        <f>IF(OR(LOG10(SUM(H$3:H68))=V67,V67=""),NA(),LOG10(SUM(H$3:H68)))</f>
        <v>#N/A</v>
      </c>
      <c r="W68" t="e">
        <f>IF(OR(LOG10(SUM(I$3:I68))=W67,W67=""),NA(),LOG10(SUM(I$3:I68)))</f>
        <v>#N/A</v>
      </c>
      <c r="X68" t="e">
        <f>IF(OR(LOG10(SUM(J$3:J68))=X67,X67=""),NA(),LOG10(SUM(J$3:J68)))</f>
        <v>#N/A</v>
      </c>
      <c r="Y68" t="e">
        <f>IF(OR(LOG10(SUM(K$3:K68))=Y67,Y67=""),NA(),LOG10(SUM(K$3:K68)))</f>
        <v>#N/A</v>
      </c>
      <c r="Z68" t="e">
        <f>IF(OR(LOG10(SUM(L$3:L68))=Z67,Z67=""),NA(),LOG10(SUM(L$3:L68)))</f>
        <v>#N/A</v>
      </c>
      <c r="AA68">
        <f>IF(OR(LOG10(SUM(M$3:M68))=AA67,AA67=""),NA(),LOG10(SUM(M$3:M68)))</f>
        <v>2.4767405011307795</v>
      </c>
      <c r="AB68">
        <f>IF(OR(LOG10(SUM(N$3:N68))=AB67,AB67=""),NA(),LOG10(SUM(N$3:N68)))</f>
        <v>2.4100247041840777</v>
      </c>
      <c r="AD68" t="str">
        <f t="shared" si="13"/>
        <v/>
      </c>
      <c r="AE68" t="str">
        <f t="shared" si="13"/>
        <v/>
      </c>
      <c r="AF68" t="str">
        <f t="shared" si="13"/>
        <v>(66,2.64871725421016)</v>
      </c>
      <c r="AG68" t="str">
        <f t="shared" si="13"/>
        <v/>
      </c>
      <c r="AH68" t="str">
        <f t="shared" si="13"/>
        <v/>
      </c>
      <c r="AI68" t="str">
        <f t="shared" si="13"/>
        <v>(66,2.53293035359184)</v>
      </c>
      <c r="AJ68" t="str">
        <f t="shared" si="12"/>
        <v/>
      </c>
      <c r="AK68" t="str">
        <f t="shared" si="12"/>
        <v/>
      </c>
      <c r="AL68" t="str">
        <f t="shared" si="12"/>
        <v/>
      </c>
      <c r="AM68" t="str">
        <f t="shared" si="12"/>
        <v/>
      </c>
      <c r="AN68" t="str">
        <f t="shared" si="12"/>
        <v/>
      </c>
      <c r="AO68" t="str">
        <f t="shared" si="12"/>
        <v>(66,2.47674050113078)</v>
      </c>
      <c r="AP68" t="str">
        <f t="shared" si="12"/>
        <v>(66,2.41002470418408)</v>
      </c>
      <c r="AS68">
        <f t="shared" ref="AS68:AS69" si="14">MIN(_xlfn.IFNA(B68,99999),_xlfn.IFNA(C68,99999),_xlfn.IFNA(D68,99999),_xlfn.IFNA(H68,99999),_xlfn.IFNA(I68,99999),_xlfn.IFNA(J68,99999))</f>
        <v>23.176600000000001</v>
      </c>
      <c r="AT68">
        <f t="shared" ref="AT68:AT69" si="15">MIN(_xlfn.IFNA(E68,99999),_xlfn.IFNA(F68,99999),_xlfn.IFNA(G68,99999),_xlfn.IFNA(K68,99999),_xlfn.IFNA(L68,99999),_xlfn.IFNA(M68,99999))</f>
        <v>28.263999999999999</v>
      </c>
      <c r="AU68">
        <f t="shared" ref="AU68:AU69" si="16">MIN(_xlfn.IFNA(B68,99999),_xlfn.IFNA(C68,99999),_xlfn.IFNA(D68,99999),_xlfn.IFNA(E68,99999),_xlfn.IFNA(F68,99999),_xlfn.IFNA(G68,99999))</f>
        <v>23.176600000000001</v>
      </c>
      <c r="AV68">
        <f t="shared" ref="AV68:AV69" si="17">MIN(_xlfn.IFNA(H68,99999),_xlfn.IFNA(I68,99999),_xlfn.IFNA(J68,99999),_xlfn.IFNA(K68,99999),_xlfn.IFNA(L68,99999),_xlfn.IFNA(M68,99999))</f>
        <v>28.264099999999999</v>
      </c>
      <c r="AX68">
        <f>LOG10(SUM(AS$3:AS68))</f>
        <v>2.6207884644801025</v>
      </c>
      <c r="AY68">
        <f>LOG10(SUM(AT$3:AT68))</f>
        <v>2.4185930988292466</v>
      </c>
      <c r="AZ68">
        <f>LOG10(SUM(AU$3:AU68))</f>
        <v>2.4655297728090555</v>
      </c>
      <c r="BA68">
        <f>LOG10(SUM(AV$3:AV68))</f>
        <v>2.4722813901987517</v>
      </c>
      <c r="BC68" t="str">
        <f t="shared" ref="BC68:BC69" si="18">_xlfn.IFNA("("&amp;$O68&amp;","&amp;AX68&amp;")","")</f>
        <v>(66,2.6207884644801)</v>
      </c>
      <c r="BD68" t="str">
        <f t="shared" ref="BD68:BD69" si="19">_xlfn.IFNA("("&amp;$O68&amp;","&amp;AY68&amp;")","")</f>
        <v>(66,2.41859309882925)</v>
      </c>
      <c r="BE68" t="str">
        <f t="shared" ref="BE68:BE69" si="20">_xlfn.IFNA("("&amp;$O68&amp;","&amp;AZ68&amp;")","")</f>
        <v>(66,2.46552977280906)</v>
      </c>
      <c r="BF68" t="str">
        <f t="shared" ref="BF68:BF69" si="21">_xlfn.IFNA("("&amp;$O68&amp;","&amp;BA68&amp;")","")</f>
        <v>(66,2.47228139019875)</v>
      </c>
    </row>
    <row r="69" spans="1:58">
      <c r="A69">
        <v>67</v>
      </c>
      <c r="B69" t="e">
        <f>IF(OR(Sorting!B70=0,Sorting!A70="Grand Total"),NA(),Sorting!B70)</f>
        <v>#N/A</v>
      </c>
      <c r="C69" t="e">
        <f>IF(OR(Sorting!D70=0,Sorting!C70="Grand Total"),NA(),Sorting!D70)</f>
        <v>#N/A</v>
      </c>
      <c r="D69">
        <f>IF(OR(Sorting!F70=0,Sorting!E70="Grand Total"),NA(),Sorting!F70)</f>
        <v>23.265599999999999</v>
      </c>
      <c r="E69" t="e">
        <f>IF(OR(Sorting!H70=0,Sorting!G70="Grand Total"),NA(),Sorting!H70)</f>
        <v>#N/A</v>
      </c>
      <c r="F69" t="e">
        <f>IF(OR(Sorting!J70=0,Sorting!I70="Grand Total"),NA(),Sorting!J70)</f>
        <v>#N/A</v>
      </c>
      <c r="G69">
        <f>IF(OR(Sorting!L70=0,Sorting!K70="Grand Total"),NA(),Sorting!L70)</f>
        <v>28.548500000000001</v>
      </c>
      <c r="H69" t="e">
        <f>IF(OR(Sorting!O70=0,Sorting!N70="Grand Total"),NA(),Sorting!O70)</f>
        <v>#N/A</v>
      </c>
      <c r="I69" t="e">
        <f>IF(OR(Sorting!Q70=0,Sorting!P70="Grand Total"),NA(),Sorting!Q70)</f>
        <v>#N/A</v>
      </c>
      <c r="J69" t="e">
        <f>IF(OR(Sorting!S70=0,Sorting!R70="Grand Total"),NA(),Sorting!S70)</f>
        <v>#N/A</v>
      </c>
      <c r="K69" t="e">
        <f>IF(OR(Sorting!U70=0,Sorting!T70="Grand Total"),NA(),Sorting!U70)</f>
        <v>#N/A</v>
      </c>
      <c r="L69" t="e">
        <f>IF(OR(Sorting!W70=0,Sorting!V70="Grand Total"),NA(),Sorting!W70)</f>
        <v>#N/A</v>
      </c>
      <c r="M69">
        <f>IF(OR(Sorting!Y70=0,Sorting!X70="Grand Total"),NA(),Sorting!Y70)</f>
        <v>28.362500000000001</v>
      </c>
      <c r="N69">
        <f>MIN(_xlfn.IFNA(B69,99999),_xlfn.IFNA(C69,99999),_xlfn.IFNA(D69,99999),_xlfn.IFNA(E69,99999),_xlfn.IFNA(F69,99999),_xlfn.IFNA(G69,99999),_xlfn.IFNA(H69,99999),_xlfn.IFNA(I69,99999),_xlfn.IFNA(J69,99999),_xlfn.IFNA(K69,99999),_xlfn.IFNA(L69,99999),_xlfn.IFNA(M69,99999))</f>
        <v>23.265599999999999</v>
      </c>
      <c r="O69">
        <v>67</v>
      </c>
      <c r="P69" t="e">
        <f>IF(OR(LOG10(SUM(B$3:B69))=P68,P68=""),NA(),LOG10(SUM(B$3:B69)))</f>
        <v>#N/A</v>
      </c>
      <c r="Q69" t="e">
        <f>IF(OR(LOG10(SUM(C$3:C69))=Q68,Q68=""),NA(),LOG10(SUM(C$3:C69)))</f>
        <v>#N/A</v>
      </c>
      <c r="R69">
        <f>IF(OR(LOG10(SUM(D$3:D69))=R68,R68=""),NA(),LOG10(SUM(D$3:D69)))</f>
        <v>2.6708317552296621</v>
      </c>
      <c r="S69" t="e">
        <f>IF(OR(LOG10(SUM(E$3:E69))=S68,S68=""),NA(),LOG10(SUM(E$3:E69)))</f>
        <v>#N/A</v>
      </c>
      <c r="T69" t="e">
        <f>IF(OR(LOG10(SUM(F$3:F69))=T68,T68=""),NA(),LOG10(SUM(F$3:F69)))</f>
        <v>#N/A</v>
      </c>
      <c r="U69">
        <f>IF(OR(LOG10(SUM(G$3:G69))=U68,U68=""),NA(),LOG10(SUM(G$3:G69)))</f>
        <v>2.5678338264981542</v>
      </c>
      <c r="V69" t="e">
        <f>IF(OR(LOG10(SUM(H$3:H69))=V68,V68=""),NA(),LOG10(SUM(H$3:H69)))</f>
        <v>#N/A</v>
      </c>
      <c r="W69" t="e">
        <f>IF(OR(LOG10(SUM(I$3:I69))=W68,W68=""),NA(),LOG10(SUM(I$3:I69)))</f>
        <v>#N/A</v>
      </c>
      <c r="X69" t="e">
        <f>IF(OR(LOG10(SUM(J$3:J69))=X68,X68=""),NA(),LOG10(SUM(J$3:J69)))</f>
        <v>#N/A</v>
      </c>
      <c r="Y69" t="e">
        <f>IF(OR(LOG10(SUM(K$3:K69))=Y68,Y68=""),NA(),LOG10(SUM(K$3:K69)))</f>
        <v>#N/A</v>
      </c>
      <c r="Z69" t="e">
        <f>IF(OR(LOG10(SUM(L$3:L69))=Z68,Z68=""),NA(),LOG10(SUM(L$3:L69)))</f>
        <v>#N/A</v>
      </c>
      <c r="AA69">
        <f>IF(OR(LOG10(SUM(M$3:M69))=AA68,AA68=""),NA(),LOG10(SUM(M$3:M69)))</f>
        <v>2.5160057009197305</v>
      </c>
      <c r="AB69">
        <f>IF(OR(LOG10(SUM(N$3:N69))=AB68,AB68=""),NA(),LOG10(SUM(N$3:N69)))</f>
        <v>2.4476537746316533</v>
      </c>
      <c r="AD69" t="str">
        <f t="shared" si="13"/>
        <v/>
      </c>
      <c r="AE69" t="str">
        <f t="shared" si="13"/>
        <v/>
      </c>
      <c r="AF69" t="str">
        <f t="shared" si="13"/>
        <v>(67,2.67083175522966)</v>
      </c>
      <c r="AG69" t="str">
        <f t="shared" si="13"/>
        <v/>
      </c>
      <c r="AH69" t="str">
        <f t="shared" si="13"/>
        <v/>
      </c>
      <c r="AI69" t="str">
        <f t="shared" si="13"/>
        <v>(67,2.56783382649815)</v>
      </c>
      <c r="AJ69" t="str">
        <f t="shared" si="12"/>
        <v/>
      </c>
      <c r="AK69" t="str">
        <f t="shared" si="12"/>
        <v/>
      </c>
      <c r="AL69" t="str">
        <f t="shared" si="12"/>
        <v/>
      </c>
      <c r="AM69" t="str">
        <f t="shared" si="12"/>
        <v/>
      </c>
      <c r="AN69" t="str">
        <f t="shared" si="12"/>
        <v/>
      </c>
      <c r="AO69" t="str">
        <f t="shared" si="12"/>
        <v>(67,2.51600570091973)</v>
      </c>
      <c r="AP69" t="str">
        <f t="shared" si="12"/>
        <v>(67,2.44765377463165)</v>
      </c>
      <c r="AS69">
        <f t="shared" si="14"/>
        <v>23.265599999999999</v>
      </c>
      <c r="AT69">
        <f t="shared" si="15"/>
        <v>28.362500000000001</v>
      </c>
      <c r="AU69">
        <f t="shared" si="16"/>
        <v>23.265599999999999</v>
      </c>
      <c r="AV69">
        <f t="shared" si="17"/>
        <v>28.362500000000001</v>
      </c>
      <c r="AX69">
        <f>LOG10(SUM(AS$3:AS69))</f>
        <v>2.6443327111277104</v>
      </c>
      <c r="AY69">
        <f>LOG10(SUM(AT$3:AT69))</f>
        <v>2.4632038394917979</v>
      </c>
      <c r="AZ69">
        <f>LOG10(SUM(AU$3:AU69))</f>
        <v>2.4988126663036767</v>
      </c>
      <c r="BA69">
        <f>LOG10(SUM(AV$3:AV69))</f>
        <v>2.5119338698306195</v>
      </c>
      <c r="BC69" t="str">
        <f t="shared" si="18"/>
        <v>(67,2.64433271112771)</v>
      </c>
      <c r="BD69" t="str">
        <f t="shared" si="19"/>
        <v>(67,2.4632038394918)</v>
      </c>
      <c r="BE69" t="str">
        <f t="shared" si="20"/>
        <v>(67,2.49881266630368)</v>
      </c>
      <c r="BF69" t="str">
        <f t="shared" si="21"/>
        <v>(67,2.51193386983062)</v>
      </c>
    </row>
    <row r="70" spans="1:58">
      <c r="AD70" t="str">
        <f>"};\addlegendentry{"&amp;P2&amp;"}"</f>
        <v>};\addlegendentry{RC1}</v>
      </c>
      <c r="AE70" t="str">
        <f t="shared" ref="AE70:AN70" si="22">"};\addlegendentry{"&amp;Q2&amp;"}"</f>
        <v>};\addlegendentry{RC2}</v>
      </c>
      <c r="AF70" t="str">
        <f t="shared" si="22"/>
        <v>};\addlegendentry{RC3}</v>
      </c>
      <c r="AG70" t="str">
        <f t="shared" si="22"/>
        <v>};\addlegendentry{RC4}</v>
      </c>
      <c r="AH70" t="str">
        <f t="shared" si="22"/>
        <v>};\addlegendentry{RC5}</v>
      </c>
      <c r="AI70" t="str">
        <f t="shared" si="22"/>
        <v>};\addlegendentry{RC6}</v>
      </c>
      <c r="AJ70" t="str">
        <f t="shared" si="22"/>
        <v>};\addlegendentry{QE1}</v>
      </c>
      <c r="AK70" t="str">
        <f t="shared" si="22"/>
        <v>};\addlegendentry{QE2}</v>
      </c>
      <c r="AL70" t="str">
        <f t="shared" si="22"/>
        <v>};\addlegendentry{QE3}</v>
      </c>
      <c r="AM70" t="str">
        <f t="shared" si="22"/>
        <v>};\addlegendentry{QE4}</v>
      </c>
      <c r="AN70" t="str">
        <f t="shared" si="22"/>
        <v>};\addlegendentry{QE5}</v>
      </c>
      <c r="AO70" t="str">
        <f>"};\addlegendentry{"&amp;AA2&amp;"}"</f>
        <v>};\addlegendentry{QE6}</v>
      </c>
      <c r="AP70" t="str">
        <f t="shared" ref="AP70" si="23">"};\addlegendentry{"&amp;AB2&amp;"}"</f>
        <v>};\addlegendentry{VB}</v>
      </c>
      <c r="BC70" t="str">
        <f>"};\addlegendentry{"&amp;AX2&amp;"}"</f>
        <v>};\addlegendentry{VB (Polys)}</v>
      </c>
      <c r="BD70" t="str">
        <f t="shared" ref="BD70:BF70" si="24">"};\addlegendentry{"&amp;AY2&amp;"}"</f>
        <v>};\addlegendentry{VB (Ecs)}</v>
      </c>
      <c r="BE70" t="str">
        <f t="shared" si="24"/>
        <v>};\addlegendentry{VB (RC)}</v>
      </c>
      <c r="BF70" t="str">
        <f t="shared" si="24"/>
        <v>};\addlegendentry{VB (PL)}</v>
      </c>
    </row>
  </sheetData>
  <mergeCells count="4">
    <mergeCell ref="B1:M1"/>
    <mergeCell ref="P1:AA1"/>
    <mergeCell ref="AX1:BA1"/>
    <mergeCell ref="AS1:A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BDE2-B8B3-41CC-A12A-F155C929C720}">
  <dimension ref="A1"/>
  <sheetViews>
    <sheetView topLeftCell="A52" zoomScale="85" zoomScaleNormal="85" workbookViewId="0">
      <selection activeCell="O58" sqref="O58"/>
    </sheetView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2103-E1F6-4081-B719-887C93A2FB89}">
  <dimension ref="A30:AL30"/>
  <sheetViews>
    <sheetView topLeftCell="A16" zoomScaleNormal="100" workbookViewId="0">
      <selection activeCell="N31" sqref="N31"/>
    </sheetView>
  </sheetViews>
  <sheetFormatPr defaultRowHeight="15"/>
  <cols>
    <col min="13" max="13" width="3.140625" customWidth="1"/>
    <col min="26" max="26" width="3.42578125" customWidth="1"/>
  </cols>
  <sheetData>
    <row r="30" spans="1:38">
      <c r="A30" s="33" t="s">
        <v>125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N30" s="33" t="s">
        <v>126</v>
      </c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AA30" s="33" t="s">
        <v>127</v>
      </c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</sheetData>
  <mergeCells count="3">
    <mergeCell ref="A30:L30"/>
    <mergeCell ref="N30:Y30"/>
    <mergeCell ref="AA30:AL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4777-7769-4CEE-B266-8191D5D66031}">
  <dimension ref="A29:Y29"/>
  <sheetViews>
    <sheetView topLeftCell="A16" zoomScale="115" zoomScaleNormal="115" workbookViewId="0">
      <selection activeCell="N30" sqref="N30"/>
    </sheetView>
  </sheetViews>
  <sheetFormatPr defaultRowHeight="15"/>
  <cols>
    <col min="13" max="13" width="3.140625" customWidth="1"/>
    <col min="26" max="26" width="3.42578125" customWidth="1"/>
  </cols>
  <sheetData>
    <row r="29" spans="1:25">
      <c r="A29" s="33" t="s">
        <v>128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N29" s="33" t="s">
        <v>129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</sheetData>
  <mergeCells count="2">
    <mergeCell ref="A29:L29"/>
    <mergeCell ref="N29:Y2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55A3-C296-4609-809D-E5DCF3EF8D1E}">
  <dimension ref="A1"/>
  <sheetViews>
    <sheetView zoomScale="85" zoomScaleNormal="85" workbookViewId="0">
      <selection activeCell="AB67" sqref="AB67"/>
    </sheetView>
  </sheetViews>
  <sheetFormatPr defaultRowHeight="15"/>
  <cols>
    <col min="13" max="13" width="3.140625" customWidth="1"/>
    <col min="26" max="26" width="3.4257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Meta</vt:lpstr>
      <vt:lpstr>Meta_cells</vt:lpstr>
      <vt:lpstr>Meta_memory</vt:lpstr>
      <vt:lpstr>Sorting</vt:lpstr>
      <vt:lpstr>Sorting 2</vt:lpstr>
      <vt:lpstr>SurvPlot1</vt:lpstr>
      <vt:lpstr>SurvPlot2</vt:lpstr>
      <vt:lpstr>SurvPlot3</vt:lpstr>
      <vt:lpstr>SurvPlot3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 Lee</dc:creator>
  <cp:lastModifiedBy>Corin Lee</cp:lastModifiedBy>
  <dcterms:created xsi:type="dcterms:W3CDTF">2025-05-13T18:06:08Z</dcterms:created>
  <dcterms:modified xsi:type="dcterms:W3CDTF">2025-11-18T20:04:23Z</dcterms:modified>
</cp:coreProperties>
</file>